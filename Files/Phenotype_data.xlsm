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726" codeName="{F2B83AC3-3A92-4FF1-8D57-CA5CB3A19BB1}"/>
  <workbookPr codeName="ThisWorkbook" defaultThemeVersion="124226"/>
  <mc:AlternateContent xmlns:mc="http://schemas.openxmlformats.org/markup-compatibility/2006">
    <mc:Choice Requires="x15">
      <x15ac:absPath xmlns:x15ac="http://schemas.microsoft.com/office/spreadsheetml/2010/11/ac" url="C:\Fast-LMM\Cpp_MKL\Files\"/>
    </mc:Choice>
  </mc:AlternateContent>
  <bookViews>
    <workbookView xWindow="0" yWindow="195" windowWidth="15285" windowHeight="6765" firstSheet="5" activeTab="5"/>
  </bookViews>
  <sheets>
    <sheet name="all mice (except april 2012)" sheetId="11" r:id="rId1"/>
    <sheet name="pivots" sheetId="35" r:id="rId2"/>
    <sheet name="plusN" sheetId="33" r:id="rId3"/>
    <sheet name="All inst data" sheetId="13" r:id="rId4"/>
    <sheet name="HMDPinst" sheetId="15" r:id="rId5"/>
    <sheet name="HMDPinstLG" sheetId="23" r:id="rId6"/>
    <sheet name="genotypedStrains" sheetId="30" r:id="rId7"/>
  </sheets>
  <calcPr calcId="171027"/>
  <pivotCaches>
    <pivotCache cacheId="0" r:id="rId8"/>
    <pivotCache cacheId="1" r:id="rId9"/>
  </pivotCaches>
</workbook>
</file>

<file path=xl/calcChain.xml><?xml version="1.0" encoding="utf-8"?>
<calcChain xmlns="http://schemas.openxmlformats.org/spreadsheetml/2006/main">
  <c r="I324" i="11" l="1"/>
  <c r="J324" i="11"/>
  <c r="I323" i="11"/>
  <c r="J323" i="11"/>
  <c r="I322" i="11"/>
  <c r="J322" i="11"/>
  <c r="I321" i="11"/>
  <c r="J321" i="11"/>
  <c r="I320" i="11"/>
  <c r="J320" i="11"/>
  <c r="I319" i="11"/>
  <c r="J319" i="11"/>
  <c r="I318" i="11"/>
  <c r="J318" i="11"/>
  <c r="I317" i="11"/>
  <c r="J317" i="11"/>
  <c r="I316" i="11"/>
  <c r="J316" i="11"/>
  <c r="I315" i="11"/>
  <c r="J315" i="11"/>
  <c r="I326" i="11"/>
  <c r="J326" i="11"/>
  <c r="I325" i="11"/>
  <c r="J325" i="11"/>
  <c r="I314" i="11"/>
  <c r="J314" i="11"/>
  <c r="I313" i="11"/>
  <c r="J313" i="11"/>
  <c r="I312" i="11"/>
  <c r="J312" i="11"/>
  <c r="I311" i="11"/>
  <c r="J311" i="11"/>
  <c r="Q652" i="13" l="1"/>
  <c r="O652" i="13"/>
  <c r="N652" i="13"/>
  <c r="Q651" i="13"/>
  <c r="O651" i="13"/>
  <c r="N651" i="13"/>
  <c r="Q650" i="13"/>
  <c r="O650" i="13"/>
  <c r="N650" i="13"/>
  <c r="Q649" i="13"/>
  <c r="O649" i="13"/>
  <c r="N649" i="13"/>
  <c r="Q648" i="13"/>
  <c r="O648" i="13"/>
  <c r="N648" i="13"/>
  <c r="Q647" i="13"/>
  <c r="O647" i="13"/>
  <c r="N647" i="13"/>
  <c r="Q646" i="13"/>
  <c r="O646" i="13"/>
  <c r="N646" i="13"/>
  <c r="Q645" i="13"/>
  <c r="O645" i="13"/>
  <c r="N645" i="13"/>
  <c r="Q644" i="13"/>
  <c r="O644" i="13"/>
  <c r="N644" i="13"/>
  <c r="Q643" i="13"/>
  <c r="O643" i="13"/>
  <c r="N643" i="13"/>
  <c r="Q642" i="13"/>
  <c r="O642" i="13"/>
  <c r="N642" i="13"/>
  <c r="Q641" i="13"/>
  <c r="O641" i="13"/>
  <c r="N641" i="13"/>
  <c r="Q640" i="13"/>
  <c r="O640" i="13"/>
  <c r="N640" i="13"/>
  <c r="Q639" i="13"/>
  <c r="O639" i="13"/>
  <c r="N639" i="13"/>
  <c r="Q638" i="13"/>
  <c r="O638" i="13"/>
  <c r="N638" i="13"/>
  <c r="Q637" i="13"/>
  <c r="O637" i="13"/>
  <c r="N637" i="13"/>
  <c r="Q636" i="13"/>
  <c r="O636" i="13"/>
  <c r="N636" i="13"/>
  <c r="Q635" i="13"/>
  <c r="O635" i="13"/>
  <c r="N635" i="13"/>
  <c r="Q634" i="13"/>
  <c r="O634" i="13"/>
  <c r="N634" i="13"/>
  <c r="Q633" i="13"/>
  <c r="O633" i="13"/>
  <c r="N633" i="13"/>
  <c r="Q632" i="13"/>
  <c r="O632" i="13"/>
  <c r="N632" i="13"/>
  <c r="Q631" i="13"/>
  <c r="O631" i="13"/>
  <c r="N631" i="13"/>
  <c r="Q630" i="13"/>
  <c r="O630" i="13"/>
  <c r="N630" i="13"/>
  <c r="Q629" i="13"/>
  <c r="O629" i="13"/>
  <c r="N629" i="13"/>
  <c r="Q628" i="13"/>
  <c r="O628" i="13"/>
  <c r="N628" i="13"/>
  <c r="Q627" i="13"/>
  <c r="O627" i="13"/>
  <c r="N627" i="13"/>
  <c r="Q626" i="13"/>
  <c r="O626" i="13"/>
  <c r="N626" i="13"/>
  <c r="Q625" i="13"/>
  <c r="O625" i="13"/>
  <c r="N625" i="13"/>
  <c r="Q624" i="13"/>
  <c r="O624" i="13"/>
  <c r="N624" i="13"/>
  <c r="Q623" i="13"/>
  <c r="O623" i="13"/>
  <c r="N623" i="13"/>
  <c r="Q622" i="13"/>
  <c r="O622" i="13"/>
  <c r="N622" i="13"/>
  <c r="Q621" i="13"/>
  <c r="O621" i="13"/>
  <c r="N621" i="13"/>
  <c r="Q620" i="13"/>
  <c r="O620" i="13"/>
  <c r="N620" i="13"/>
  <c r="Q619" i="13"/>
  <c r="O619" i="13"/>
  <c r="N619" i="13"/>
  <c r="Q618" i="13"/>
  <c r="O618" i="13"/>
  <c r="N618" i="13"/>
  <c r="Q617" i="13"/>
  <c r="O617" i="13"/>
  <c r="N617" i="13"/>
  <c r="Q616" i="13"/>
  <c r="O616" i="13"/>
  <c r="N616" i="13"/>
  <c r="Q615" i="13"/>
  <c r="O615" i="13"/>
  <c r="N615" i="13"/>
  <c r="Q614" i="13"/>
  <c r="O614" i="13"/>
  <c r="N614" i="13"/>
  <c r="Q613" i="13"/>
  <c r="O613" i="13"/>
  <c r="N613" i="13"/>
  <c r="Q612" i="13"/>
  <c r="O612" i="13"/>
  <c r="N612" i="13"/>
  <c r="Q611" i="13"/>
  <c r="O611" i="13"/>
  <c r="N611" i="13"/>
  <c r="Q610" i="13"/>
  <c r="O610" i="13"/>
  <c r="N610" i="13"/>
  <c r="Q609" i="13"/>
  <c r="O609" i="13"/>
  <c r="N609" i="13"/>
  <c r="Q608" i="13"/>
  <c r="O608" i="13"/>
  <c r="N608" i="13"/>
  <c r="Q607" i="13"/>
  <c r="O607" i="13"/>
  <c r="N607" i="13"/>
  <c r="Q606" i="13"/>
  <c r="O606" i="13"/>
  <c r="N606" i="13"/>
  <c r="Q605" i="13"/>
  <c r="O605" i="13"/>
  <c r="N605" i="13"/>
  <c r="Q604" i="13"/>
  <c r="O604" i="13"/>
  <c r="N604" i="13"/>
  <c r="Q603" i="13"/>
  <c r="O603" i="13"/>
  <c r="N603" i="13"/>
  <c r="Q602" i="13"/>
  <c r="O602" i="13"/>
  <c r="N602" i="13"/>
  <c r="Q601" i="13"/>
  <c r="O601" i="13"/>
  <c r="N601" i="13"/>
  <c r="Q600" i="13"/>
  <c r="O600" i="13"/>
  <c r="N600" i="13"/>
  <c r="Q599" i="13"/>
  <c r="O599" i="13"/>
  <c r="N599" i="13"/>
  <c r="Q598" i="13"/>
  <c r="O598" i="13"/>
  <c r="N598" i="13"/>
  <c r="Q597" i="13"/>
  <c r="O597" i="13"/>
  <c r="N597" i="13"/>
  <c r="Q596" i="13"/>
  <c r="O596" i="13"/>
  <c r="N596" i="13"/>
  <c r="Q595" i="13"/>
  <c r="O595" i="13"/>
  <c r="N595" i="13"/>
  <c r="Q594" i="13"/>
  <c r="O594" i="13"/>
  <c r="N594" i="13"/>
  <c r="Q593" i="13"/>
  <c r="O593" i="13"/>
  <c r="N593" i="13"/>
  <c r="Q592" i="13"/>
  <c r="O592" i="13"/>
  <c r="N592" i="13"/>
  <c r="Q591" i="13"/>
  <c r="O591" i="13"/>
  <c r="N591" i="13"/>
  <c r="Q590" i="13"/>
  <c r="O590" i="13"/>
  <c r="N590" i="13"/>
  <c r="Q589" i="13"/>
  <c r="O589" i="13"/>
  <c r="N589" i="13"/>
  <c r="Q588" i="13"/>
  <c r="O588" i="13"/>
  <c r="N588" i="13"/>
  <c r="Q587" i="13"/>
  <c r="O587" i="13"/>
  <c r="N587" i="13"/>
  <c r="Q586" i="13"/>
  <c r="O586" i="13"/>
  <c r="N586" i="13"/>
  <c r="Q585" i="13"/>
  <c r="O585" i="13"/>
  <c r="N585" i="13"/>
  <c r="Q584" i="13"/>
  <c r="O584" i="13"/>
  <c r="N584" i="13"/>
  <c r="Q583" i="13"/>
  <c r="O583" i="13"/>
  <c r="N583" i="13"/>
  <c r="Q582" i="13"/>
  <c r="O582" i="13"/>
  <c r="N582" i="13"/>
  <c r="Q581" i="13"/>
  <c r="O581" i="13"/>
  <c r="N581" i="13"/>
  <c r="Q580" i="13"/>
  <c r="O580" i="13"/>
  <c r="N580" i="13"/>
  <c r="Q579" i="13"/>
  <c r="O579" i="13"/>
  <c r="N579" i="13"/>
  <c r="Q578" i="13"/>
  <c r="O578" i="13"/>
  <c r="N578" i="13"/>
  <c r="Q577" i="13"/>
  <c r="O577" i="13"/>
  <c r="N577" i="13"/>
  <c r="Q576" i="13"/>
  <c r="O576" i="13"/>
  <c r="N576" i="13"/>
  <c r="Q575" i="13"/>
  <c r="O575" i="13"/>
  <c r="N575" i="13"/>
  <c r="Q574" i="13"/>
  <c r="O574" i="13"/>
  <c r="N574" i="13"/>
  <c r="Q573" i="13"/>
  <c r="O573" i="13"/>
  <c r="N573" i="13"/>
  <c r="Q572" i="13"/>
  <c r="O572" i="13"/>
  <c r="N572" i="13"/>
  <c r="Q571" i="13"/>
  <c r="O571" i="13"/>
  <c r="N571" i="13"/>
  <c r="Q570" i="13"/>
  <c r="O570" i="13"/>
  <c r="N570" i="13"/>
  <c r="Q569" i="13"/>
  <c r="O569" i="13"/>
  <c r="N569" i="13"/>
  <c r="Q568" i="13"/>
  <c r="O568" i="13"/>
  <c r="N568" i="13"/>
  <c r="Q567" i="13"/>
  <c r="O567" i="13"/>
  <c r="N567" i="13"/>
  <c r="Q566" i="13"/>
  <c r="O566" i="13"/>
  <c r="N566" i="13"/>
  <c r="Q565" i="13"/>
  <c r="O565" i="13"/>
  <c r="N565" i="13"/>
  <c r="Q564" i="13"/>
  <c r="O564" i="13"/>
  <c r="N564" i="13"/>
  <c r="Q563" i="13"/>
  <c r="O563" i="13"/>
  <c r="N563" i="13"/>
  <c r="Q562" i="13"/>
  <c r="O562" i="13"/>
  <c r="N562" i="13"/>
  <c r="Q561" i="13"/>
  <c r="O561" i="13"/>
  <c r="N561" i="13"/>
  <c r="Q560" i="13"/>
  <c r="O560" i="13"/>
  <c r="N560" i="13"/>
  <c r="Q559" i="13"/>
  <c r="O559" i="13"/>
  <c r="N559" i="13"/>
  <c r="Q558" i="13"/>
  <c r="O558" i="13"/>
  <c r="N558" i="13"/>
  <c r="Q557" i="13"/>
  <c r="O557" i="13"/>
  <c r="N557" i="13"/>
  <c r="Q556" i="13"/>
  <c r="O556" i="13"/>
  <c r="N556" i="13"/>
  <c r="Q555" i="13"/>
  <c r="O555" i="13"/>
  <c r="N555" i="13"/>
  <c r="Q554" i="13"/>
  <c r="O554" i="13"/>
  <c r="N554" i="13"/>
  <c r="Q553" i="13"/>
  <c r="O553" i="13"/>
  <c r="N553" i="13"/>
  <c r="Q552" i="13"/>
  <c r="O552" i="13"/>
  <c r="N552" i="13"/>
  <c r="Q551" i="13"/>
  <c r="O551" i="13"/>
  <c r="N551" i="13"/>
  <c r="Q550" i="13"/>
  <c r="O550" i="13"/>
  <c r="N550" i="13"/>
  <c r="Q549" i="13"/>
  <c r="O549" i="13"/>
  <c r="N549" i="13"/>
  <c r="Q548" i="13"/>
  <c r="O548" i="13"/>
  <c r="N548" i="13"/>
  <c r="Q547" i="13"/>
  <c r="O547" i="13"/>
  <c r="N547" i="13"/>
  <c r="Q546" i="13"/>
  <c r="O546" i="13"/>
  <c r="N546" i="13"/>
  <c r="Q545" i="13"/>
  <c r="O545" i="13"/>
  <c r="N545" i="13"/>
  <c r="Q544" i="13"/>
  <c r="O544" i="13"/>
  <c r="N544" i="13"/>
  <c r="Q543" i="13"/>
  <c r="O543" i="13"/>
  <c r="N543" i="13"/>
  <c r="Q542" i="13"/>
  <c r="O542" i="13"/>
  <c r="N542" i="13"/>
  <c r="Q541" i="13"/>
  <c r="O541" i="13"/>
  <c r="N541" i="13"/>
  <c r="Q540" i="13"/>
  <c r="O540" i="13"/>
  <c r="N540" i="13"/>
  <c r="Q539" i="13"/>
  <c r="O539" i="13"/>
  <c r="N539" i="13"/>
  <c r="Q538" i="13"/>
  <c r="O538" i="13"/>
  <c r="N538" i="13"/>
  <c r="Q537" i="13"/>
  <c r="O537" i="13"/>
  <c r="N537" i="13"/>
  <c r="Q536" i="13"/>
  <c r="O536" i="13"/>
  <c r="N536" i="13"/>
  <c r="Q535" i="13"/>
  <c r="O535" i="13"/>
  <c r="N535" i="13"/>
  <c r="Q534" i="13"/>
  <c r="O534" i="13"/>
  <c r="N534" i="13"/>
  <c r="Q533" i="13"/>
  <c r="O533" i="13"/>
  <c r="N533" i="13"/>
  <c r="Q532" i="13"/>
  <c r="O532" i="13"/>
  <c r="N532" i="13"/>
  <c r="Q531" i="13"/>
  <c r="O531" i="13"/>
  <c r="N531" i="13"/>
  <c r="Q530" i="13"/>
  <c r="O530" i="13"/>
  <c r="N530" i="13"/>
  <c r="Q529" i="13"/>
  <c r="O529" i="13"/>
  <c r="N529" i="13"/>
  <c r="Q528" i="13"/>
  <c r="O528" i="13"/>
  <c r="N528" i="13"/>
  <c r="Q527" i="13"/>
  <c r="O527" i="13"/>
  <c r="N527" i="13"/>
  <c r="Q526" i="13"/>
  <c r="O526" i="13"/>
  <c r="N526" i="13"/>
  <c r="Q525" i="13"/>
  <c r="O525" i="13"/>
  <c r="N525" i="13"/>
  <c r="Q524" i="13"/>
  <c r="O524" i="13"/>
  <c r="N524" i="13"/>
  <c r="Q523" i="13"/>
  <c r="O523" i="13"/>
  <c r="N523" i="13"/>
  <c r="Q522" i="13"/>
  <c r="O522" i="13"/>
  <c r="N522" i="13"/>
  <c r="Q521" i="13"/>
  <c r="O521" i="13"/>
  <c r="N521" i="13"/>
  <c r="Q520" i="13"/>
  <c r="O520" i="13"/>
  <c r="N520" i="13"/>
  <c r="Q519" i="13"/>
  <c r="O519" i="13"/>
  <c r="N519" i="13"/>
  <c r="Q518" i="13"/>
  <c r="O518" i="13"/>
  <c r="N518" i="13"/>
  <c r="Q517" i="13"/>
  <c r="O517" i="13"/>
  <c r="N517" i="13"/>
  <c r="Q516" i="13"/>
  <c r="O516" i="13"/>
  <c r="N516" i="13"/>
  <c r="Q515" i="13"/>
  <c r="O515" i="13"/>
  <c r="N515" i="13"/>
  <c r="Q514" i="13"/>
  <c r="O514" i="13"/>
  <c r="N514" i="13"/>
  <c r="Q513" i="13"/>
  <c r="O513" i="13"/>
  <c r="N513" i="13"/>
  <c r="Q512" i="13"/>
  <c r="O512" i="13"/>
  <c r="N512" i="13"/>
  <c r="Q511" i="13"/>
  <c r="O511" i="13"/>
  <c r="N511" i="13"/>
  <c r="Q510" i="13"/>
  <c r="O510" i="13"/>
  <c r="N510" i="13"/>
  <c r="Q509" i="13"/>
  <c r="O509" i="13"/>
  <c r="N509" i="13"/>
  <c r="Q508" i="13"/>
  <c r="O508" i="13"/>
  <c r="N508" i="13"/>
  <c r="Q507" i="13"/>
  <c r="O507" i="13"/>
  <c r="N507" i="13"/>
  <c r="Q506" i="13"/>
  <c r="O506" i="13"/>
  <c r="N506" i="13"/>
  <c r="Q505" i="13"/>
  <c r="O505" i="13"/>
  <c r="N505" i="13"/>
  <c r="Q504" i="13"/>
  <c r="O504" i="13"/>
  <c r="N504" i="13"/>
  <c r="Q503" i="13"/>
  <c r="O503" i="13"/>
  <c r="N503" i="13"/>
  <c r="Q502" i="13"/>
  <c r="O502" i="13"/>
  <c r="N502" i="13"/>
  <c r="Q501" i="13"/>
  <c r="O501" i="13"/>
  <c r="N501" i="13"/>
  <c r="Q500" i="13"/>
  <c r="O500" i="13"/>
  <c r="N500" i="13"/>
  <c r="Q499" i="13"/>
  <c r="O499" i="13"/>
  <c r="N499" i="13"/>
  <c r="Q498" i="13"/>
  <c r="O498" i="13"/>
  <c r="N498" i="13"/>
  <c r="Q497" i="13"/>
  <c r="O497" i="13"/>
  <c r="N497" i="13"/>
  <c r="Q496" i="13"/>
  <c r="O496" i="13"/>
  <c r="N496" i="13"/>
  <c r="Q495" i="13"/>
  <c r="O495" i="13"/>
  <c r="N495" i="13"/>
  <c r="Q494" i="13"/>
  <c r="O494" i="13"/>
  <c r="N494" i="13"/>
  <c r="Q493" i="13"/>
  <c r="O493" i="13"/>
  <c r="N493" i="13"/>
  <c r="Q492" i="13"/>
  <c r="O492" i="13"/>
  <c r="N492" i="13"/>
  <c r="Q491" i="13"/>
  <c r="O491" i="13"/>
  <c r="N491" i="13"/>
  <c r="Q490" i="13"/>
  <c r="O490" i="13"/>
  <c r="N490" i="13"/>
  <c r="Q489" i="13"/>
  <c r="O489" i="13"/>
  <c r="N489" i="13"/>
  <c r="Q488" i="13"/>
  <c r="O488" i="13"/>
  <c r="N488" i="13"/>
  <c r="Q487" i="13"/>
  <c r="O487" i="13"/>
  <c r="N487" i="13"/>
  <c r="Q486" i="13"/>
  <c r="O486" i="13"/>
  <c r="N486" i="13"/>
  <c r="Q485" i="13"/>
  <c r="O485" i="13"/>
  <c r="N485" i="13"/>
  <c r="Q484" i="13"/>
  <c r="O484" i="13"/>
  <c r="N484" i="13"/>
  <c r="Q483" i="13"/>
  <c r="O483" i="13"/>
  <c r="N483" i="13"/>
  <c r="Q482" i="13"/>
  <c r="O482" i="13"/>
  <c r="N482" i="13"/>
  <c r="Q481" i="13"/>
  <c r="O481" i="13"/>
  <c r="N481" i="13"/>
  <c r="Q480" i="13"/>
  <c r="O480" i="13"/>
  <c r="N480" i="13"/>
  <c r="Q479" i="13"/>
  <c r="O479" i="13"/>
  <c r="N479" i="13"/>
  <c r="Q478" i="13"/>
  <c r="O478" i="13"/>
  <c r="N478" i="13"/>
  <c r="Q477" i="13"/>
  <c r="O477" i="13"/>
  <c r="N477" i="13"/>
  <c r="Q476" i="13"/>
  <c r="O476" i="13"/>
  <c r="N476" i="13"/>
  <c r="Q475" i="13"/>
  <c r="O475" i="13"/>
  <c r="N475" i="13"/>
  <c r="Q474" i="13"/>
  <c r="O474" i="13"/>
  <c r="N474" i="13"/>
  <c r="Q473" i="13"/>
  <c r="O473" i="13"/>
  <c r="N473" i="13"/>
  <c r="Q472" i="13"/>
  <c r="O472" i="13"/>
  <c r="N472" i="13"/>
  <c r="Q471" i="13"/>
  <c r="O471" i="13"/>
  <c r="N471" i="13"/>
  <c r="Q470" i="13"/>
  <c r="O470" i="13"/>
  <c r="N470" i="13"/>
  <c r="Q469" i="13"/>
  <c r="O469" i="13"/>
  <c r="N469" i="13"/>
  <c r="Q468" i="13"/>
  <c r="O468" i="13"/>
  <c r="N468" i="13"/>
  <c r="Q467" i="13"/>
  <c r="O467" i="13"/>
  <c r="N467" i="13"/>
  <c r="Q466" i="13"/>
  <c r="O466" i="13"/>
  <c r="N466" i="13"/>
  <c r="Q465" i="13"/>
  <c r="O465" i="13"/>
  <c r="N465" i="13"/>
  <c r="Q464" i="13"/>
  <c r="O464" i="13"/>
  <c r="N464" i="13"/>
  <c r="Q463" i="13"/>
  <c r="O463" i="13"/>
  <c r="N463" i="13"/>
  <c r="Q462" i="13"/>
  <c r="O462" i="13"/>
  <c r="N462" i="13"/>
  <c r="Q461" i="13"/>
  <c r="O461" i="13"/>
  <c r="N461" i="13"/>
  <c r="Q460" i="13"/>
  <c r="O460" i="13"/>
  <c r="N460" i="13"/>
  <c r="Q459" i="13"/>
  <c r="O459" i="13"/>
  <c r="N459" i="13"/>
  <c r="Q458" i="13"/>
  <c r="O458" i="13"/>
  <c r="N458" i="13"/>
  <c r="Q457" i="13"/>
  <c r="O457" i="13"/>
  <c r="N457" i="13"/>
  <c r="Q456" i="13"/>
  <c r="O456" i="13"/>
  <c r="N456" i="13"/>
  <c r="Q455" i="13"/>
  <c r="O455" i="13"/>
  <c r="N455" i="13"/>
  <c r="Q454" i="13"/>
  <c r="O454" i="13"/>
  <c r="N454" i="13"/>
  <c r="Q453" i="13"/>
  <c r="O453" i="13"/>
  <c r="N453" i="13"/>
  <c r="Q452" i="13"/>
  <c r="O452" i="13"/>
  <c r="N452" i="13"/>
  <c r="Q451" i="13"/>
  <c r="O451" i="13"/>
  <c r="N451" i="13"/>
  <c r="Q450" i="13"/>
  <c r="O450" i="13"/>
  <c r="N450" i="13"/>
  <c r="Q449" i="13"/>
  <c r="O449" i="13"/>
  <c r="N449" i="13"/>
  <c r="Q448" i="13"/>
  <c r="O448" i="13"/>
  <c r="N448" i="13"/>
  <c r="Q447" i="13"/>
  <c r="O447" i="13"/>
  <c r="N447" i="13"/>
  <c r="Q446" i="13"/>
  <c r="O446" i="13"/>
  <c r="N446" i="13"/>
  <c r="Q445" i="13"/>
  <c r="O445" i="13"/>
  <c r="N445" i="13"/>
  <c r="Q444" i="13"/>
  <c r="O444" i="13"/>
  <c r="N444" i="13"/>
  <c r="Q443" i="13"/>
  <c r="O443" i="13"/>
  <c r="N443" i="13"/>
  <c r="Q442" i="13"/>
  <c r="O442" i="13"/>
  <c r="N442" i="13"/>
  <c r="Q441" i="13"/>
  <c r="O441" i="13"/>
  <c r="N441" i="13"/>
  <c r="Q440" i="13"/>
  <c r="O440" i="13"/>
  <c r="N440" i="13"/>
  <c r="Q439" i="13"/>
  <c r="O439" i="13"/>
  <c r="N439" i="13"/>
  <c r="Q438" i="13"/>
  <c r="O438" i="13"/>
  <c r="N438" i="13"/>
  <c r="Q437" i="13"/>
  <c r="O437" i="13"/>
  <c r="N437" i="13"/>
  <c r="Q436" i="13"/>
  <c r="O436" i="13"/>
  <c r="N436" i="13"/>
  <c r="Q435" i="13"/>
  <c r="O435" i="13"/>
  <c r="N435" i="13"/>
  <c r="Q434" i="13"/>
  <c r="O434" i="13"/>
  <c r="N434" i="13"/>
  <c r="Q433" i="13"/>
  <c r="O433" i="13"/>
  <c r="N433" i="13"/>
  <c r="Q432" i="13"/>
  <c r="O432" i="13"/>
  <c r="N432" i="13"/>
  <c r="Q431" i="13"/>
  <c r="O431" i="13"/>
  <c r="N431" i="13"/>
  <c r="Q430" i="13"/>
  <c r="O430" i="13"/>
  <c r="N430" i="13"/>
  <c r="Q429" i="13"/>
  <c r="O429" i="13"/>
  <c r="N429" i="13"/>
  <c r="Q428" i="13"/>
  <c r="O428" i="13"/>
  <c r="N428" i="13"/>
  <c r="Q427" i="13"/>
  <c r="O427" i="13"/>
  <c r="N427" i="13"/>
  <c r="Q426" i="13"/>
  <c r="O426" i="13"/>
  <c r="N426" i="13"/>
  <c r="Q425" i="13"/>
  <c r="O425" i="13"/>
  <c r="N425" i="13"/>
  <c r="Q424" i="13"/>
  <c r="O424" i="13"/>
  <c r="N424" i="13"/>
  <c r="Q423" i="13"/>
  <c r="O423" i="13"/>
  <c r="N423" i="13"/>
  <c r="Q422" i="13"/>
  <c r="O422" i="13"/>
  <c r="N422" i="13"/>
  <c r="Q421" i="13"/>
  <c r="O421" i="13"/>
  <c r="N421" i="13"/>
  <c r="Q420" i="13"/>
  <c r="O420" i="13"/>
  <c r="N420" i="13"/>
  <c r="Q419" i="13"/>
  <c r="O419" i="13"/>
  <c r="N419" i="13"/>
  <c r="Q418" i="13"/>
  <c r="O418" i="13"/>
  <c r="N418" i="13"/>
  <c r="Q417" i="13"/>
  <c r="O417" i="13"/>
  <c r="N417" i="13"/>
  <c r="Q416" i="13"/>
  <c r="O416" i="13"/>
  <c r="N416" i="13"/>
  <c r="Q415" i="13"/>
  <c r="O415" i="13"/>
  <c r="N415" i="13"/>
  <c r="Q414" i="13"/>
  <c r="O414" i="13"/>
  <c r="N414" i="13"/>
  <c r="Q413" i="13"/>
  <c r="O413" i="13"/>
  <c r="N413" i="13"/>
  <c r="Q412" i="13"/>
  <c r="O412" i="13"/>
  <c r="N412" i="13"/>
  <c r="Q411" i="13"/>
  <c r="O411" i="13"/>
  <c r="N411" i="13"/>
  <c r="Q410" i="13"/>
  <c r="O410" i="13"/>
  <c r="N410" i="13"/>
  <c r="Q409" i="13"/>
  <c r="O409" i="13"/>
  <c r="N409" i="13"/>
  <c r="Q408" i="13"/>
  <c r="O408" i="13"/>
  <c r="N408" i="13"/>
  <c r="Q407" i="13"/>
  <c r="O407" i="13"/>
  <c r="N407" i="13"/>
  <c r="Q406" i="13"/>
  <c r="O406" i="13"/>
  <c r="N406" i="13"/>
  <c r="Q405" i="13"/>
  <c r="O405" i="13"/>
  <c r="N405" i="13"/>
  <c r="Q404" i="13"/>
  <c r="O404" i="13"/>
  <c r="N404" i="13"/>
  <c r="Q403" i="13"/>
  <c r="O403" i="13"/>
  <c r="N403" i="13"/>
  <c r="Q402" i="13"/>
  <c r="O402" i="13"/>
  <c r="N402" i="13"/>
  <c r="Q401" i="13"/>
  <c r="O401" i="13"/>
  <c r="N401" i="13"/>
  <c r="Q400" i="13"/>
  <c r="O400" i="13"/>
  <c r="N400" i="13"/>
  <c r="Q399" i="13"/>
  <c r="O399" i="13"/>
  <c r="N399" i="13"/>
  <c r="Q398" i="13"/>
  <c r="O398" i="13"/>
  <c r="N398" i="13"/>
  <c r="Q397" i="13"/>
  <c r="O397" i="13"/>
  <c r="N397" i="13"/>
  <c r="Q396" i="13"/>
  <c r="O396" i="13"/>
  <c r="N396" i="13"/>
  <c r="Q395" i="13"/>
  <c r="O395" i="13"/>
  <c r="N395" i="13"/>
  <c r="Q394" i="13"/>
  <c r="O394" i="13"/>
  <c r="N394" i="13"/>
  <c r="Q393" i="13"/>
  <c r="O393" i="13"/>
  <c r="N393" i="13"/>
  <c r="Q392" i="13"/>
  <c r="O392" i="13"/>
  <c r="N392" i="13"/>
  <c r="Q391" i="13"/>
  <c r="O391" i="13"/>
  <c r="N391" i="13"/>
  <c r="Q390" i="13"/>
  <c r="O390" i="13"/>
  <c r="N390" i="13"/>
  <c r="Q389" i="13"/>
  <c r="O389" i="13"/>
  <c r="N389" i="13"/>
  <c r="Q388" i="13"/>
  <c r="O388" i="13"/>
  <c r="N388" i="13"/>
  <c r="Q387" i="13"/>
  <c r="O387" i="13"/>
  <c r="N387" i="13"/>
  <c r="Q386" i="13"/>
  <c r="O386" i="13"/>
  <c r="N386" i="13"/>
  <c r="Q385" i="13"/>
  <c r="O385" i="13"/>
  <c r="N385" i="13"/>
  <c r="Q384" i="13"/>
  <c r="O384" i="13"/>
  <c r="N384" i="13"/>
  <c r="Q383" i="13"/>
  <c r="O383" i="13"/>
  <c r="N383" i="13"/>
  <c r="Q382" i="13"/>
  <c r="O382" i="13"/>
  <c r="N382" i="13"/>
  <c r="Q381" i="13"/>
  <c r="O381" i="13"/>
  <c r="N381" i="13"/>
  <c r="Q380" i="13"/>
  <c r="O380" i="13"/>
  <c r="N380" i="13"/>
  <c r="Q379" i="13"/>
  <c r="O379" i="13"/>
  <c r="N379" i="13"/>
  <c r="Q378" i="13"/>
  <c r="O378" i="13"/>
  <c r="N378" i="13"/>
  <c r="Q377" i="13"/>
  <c r="O377" i="13"/>
  <c r="N377" i="13"/>
  <c r="Q376" i="13"/>
  <c r="O376" i="13"/>
  <c r="N376" i="13"/>
  <c r="Q375" i="13"/>
  <c r="O375" i="13"/>
  <c r="N375" i="13"/>
  <c r="Q374" i="13"/>
  <c r="O374" i="13"/>
  <c r="N374" i="13"/>
  <c r="Q373" i="13"/>
  <c r="O373" i="13"/>
  <c r="N373" i="13"/>
  <c r="Q372" i="13"/>
  <c r="O372" i="13"/>
  <c r="N372" i="13"/>
  <c r="Q371" i="13"/>
  <c r="O371" i="13"/>
  <c r="N371" i="13"/>
  <c r="Q370" i="13"/>
  <c r="O370" i="13"/>
  <c r="N370" i="13"/>
  <c r="Q369" i="13"/>
  <c r="O369" i="13"/>
  <c r="N369" i="13"/>
  <c r="Q368" i="13"/>
  <c r="O368" i="13"/>
  <c r="N368" i="13"/>
  <c r="Q367" i="13"/>
  <c r="O367" i="13"/>
  <c r="N367" i="13"/>
  <c r="Q366" i="13"/>
  <c r="O366" i="13"/>
  <c r="N366" i="13"/>
  <c r="Q365" i="13"/>
  <c r="O365" i="13"/>
  <c r="N365" i="13"/>
  <c r="Q364" i="13"/>
  <c r="O364" i="13"/>
  <c r="N364" i="13"/>
  <c r="Q363" i="13"/>
  <c r="O363" i="13"/>
  <c r="N363" i="13"/>
  <c r="Q362" i="13"/>
  <c r="O362" i="13"/>
  <c r="N362" i="13"/>
  <c r="Q361" i="13"/>
  <c r="O361" i="13"/>
  <c r="N361" i="13"/>
  <c r="Q360" i="13"/>
  <c r="O360" i="13"/>
  <c r="N360" i="13"/>
  <c r="Q359" i="13"/>
  <c r="O359" i="13"/>
  <c r="N359" i="13"/>
  <c r="Q358" i="13"/>
  <c r="O358" i="13"/>
  <c r="N358" i="13"/>
  <c r="Q357" i="13"/>
  <c r="O357" i="13"/>
  <c r="N357" i="13"/>
  <c r="Q356" i="13"/>
  <c r="O356" i="13"/>
  <c r="N356" i="13"/>
  <c r="Q355" i="13"/>
  <c r="O355" i="13"/>
  <c r="N355" i="13"/>
  <c r="Q354" i="13"/>
  <c r="O354" i="13"/>
  <c r="N354" i="13"/>
  <c r="Q353" i="13"/>
  <c r="O353" i="13"/>
  <c r="N353" i="13"/>
  <c r="Q352" i="13"/>
  <c r="O352" i="13"/>
  <c r="N352" i="13"/>
  <c r="Q351" i="13"/>
  <c r="O351" i="13"/>
  <c r="N351" i="13"/>
  <c r="Q350" i="13"/>
  <c r="O350" i="13"/>
  <c r="N350" i="13"/>
  <c r="Q349" i="13"/>
  <c r="O349" i="13"/>
  <c r="N349" i="13"/>
  <c r="Q348" i="13"/>
  <c r="O348" i="13"/>
  <c r="N348" i="13"/>
  <c r="Q347" i="13"/>
  <c r="O347" i="13"/>
  <c r="N347" i="13"/>
  <c r="Q346" i="13"/>
  <c r="O346" i="13"/>
  <c r="N346" i="13"/>
  <c r="Q345" i="13"/>
  <c r="O345" i="13"/>
  <c r="N345" i="13"/>
  <c r="Q344" i="13"/>
  <c r="O344" i="13"/>
  <c r="N344" i="13"/>
  <c r="Q343" i="13"/>
  <c r="O343" i="13"/>
  <c r="N343" i="13"/>
  <c r="Q342" i="13"/>
  <c r="O342" i="13"/>
  <c r="N342" i="13"/>
  <c r="Q341" i="13"/>
  <c r="O341" i="13"/>
  <c r="N341" i="13"/>
  <c r="Q340" i="13"/>
  <c r="O340" i="13"/>
  <c r="N340" i="13"/>
  <c r="Q339" i="13"/>
  <c r="O339" i="13"/>
  <c r="N339" i="13"/>
  <c r="Q338" i="13"/>
  <c r="O338" i="13"/>
  <c r="N338" i="13"/>
  <c r="Q337" i="13"/>
  <c r="O337" i="13"/>
  <c r="N337" i="13"/>
  <c r="Q336" i="13"/>
  <c r="O336" i="13"/>
  <c r="N336" i="13"/>
  <c r="Q335" i="13"/>
  <c r="O335" i="13"/>
  <c r="N335" i="13"/>
  <c r="U334" i="13"/>
  <c r="Q334" i="13"/>
  <c r="N334" i="13"/>
  <c r="U333" i="13"/>
  <c r="Q333" i="13"/>
  <c r="N333" i="13"/>
  <c r="U332" i="13"/>
  <c r="Q332" i="13"/>
  <c r="N332" i="13"/>
  <c r="U331" i="13"/>
  <c r="Q331" i="13"/>
  <c r="N331" i="13"/>
  <c r="U330" i="13"/>
  <c r="Q330" i="13"/>
  <c r="N330" i="13"/>
  <c r="Q329" i="13"/>
  <c r="O329" i="13"/>
  <c r="N329" i="13"/>
  <c r="Q328" i="13"/>
  <c r="O328" i="13"/>
  <c r="N328" i="13"/>
  <c r="Q327" i="13"/>
  <c r="O327" i="13"/>
  <c r="N327" i="13"/>
  <c r="Q326" i="13"/>
  <c r="O326" i="13"/>
  <c r="N326" i="13"/>
  <c r="Q325" i="13"/>
  <c r="O325" i="13"/>
  <c r="N325" i="13"/>
  <c r="Q324" i="13"/>
  <c r="O324" i="13"/>
  <c r="N324" i="13"/>
  <c r="Q323" i="13"/>
  <c r="O323" i="13"/>
  <c r="N323" i="13"/>
  <c r="Q322" i="13"/>
  <c r="O322" i="13"/>
  <c r="N322" i="13"/>
  <c r="Q321" i="13"/>
  <c r="O321" i="13"/>
  <c r="N321" i="13"/>
  <c r="Q320" i="13"/>
  <c r="O320" i="13"/>
  <c r="N320" i="13"/>
  <c r="Q319" i="13"/>
  <c r="O319" i="13"/>
  <c r="N319" i="13"/>
  <c r="Q318" i="13"/>
  <c r="O318" i="13"/>
  <c r="N318" i="13"/>
  <c r="Q317" i="13"/>
  <c r="O317" i="13"/>
  <c r="N317" i="13"/>
  <c r="Q316" i="13"/>
  <c r="O316" i="13"/>
  <c r="N316" i="13"/>
  <c r="Q315" i="13"/>
  <c r="O315" i="13"/>
  <c r="N315" i="13"/>
  <c r="Q314" i="13"/>
  <c r="O314" i="13"/>
  <c r="N314" i="13"/>
  <c r="Q313" i="13"/>
  <c r="O313" i="13"/>
  <c r="N313" i="13"/>
  <c r="Q312" i="13"/>
  <c r="O312" i="13"/>
  <c r="N312" i="13"/>
  <c r="Q311" i="13"/>
  <c r="O311" i="13"/>
  <c r="N311" i="13"/>
  <c r="Q310" i="13"/>
  <c r="O310" i="13"/>
  <c r="N310" i="13"/>
  <c r="Q309" i="13"/>
  <c r="O309" i="13"/>
  <c r="N309" i="13"/>
  <c r="Q308" i="13"/>
  <c r="O308" i="13"/>
  <c r="N308" i="13"/>
  <c r="Q307" i="13"/>
  <c r="O307" i="13"/>
  <c r="N307" i="13"/>
  <c r="Q306" i="13"/>
  <c r="O306" i="13"/>
  <c r="N306" i="13"/>
  <c r="Q305" i="13"/>
  <c r="O305" i="13"/>
  <c r="N305" i="13"/>
  <c r="Q304" i="13"/>
  <c r="O304" i="13"/>
  <c r="N304" i="13"/>
  <c r="Q303" i="13"/>
  <c r="O303" i="13"/>
  <c r="N303" i="13"/>
  <c r="Q302" i="13"/>
  <c r="O302" i="13"/>
  <c r="N302" i="13"/>
  <c r="Q301" i="13"/>
  <c r="O301" i="13"/>
  <c r="N301" i="13"/>
  <c r="Q300" i="13"/>
  <c r="O300" i="13"/>
  <c r="N300" i="13"/>
  <c r="Q299" i="13"/>
  <c r="O299" i="13"/>
  <c r="N299" i="13"/>
  <c r="Q298" i="13"/>
  <c r="O298" i="13"/>
  <c r="N298" i="13"/>
  <c r="Q297" i="13"/>
  <c r="O297" i="13"/>
  <c r="N297" i="13"/>
  <c r="Q296" i="13"/>
  <c r="O296" i="13"/>
  <c r="N296" i="13"/>
  <c r="Q295" i="13"/>
  <c r="O295" i="13"/>
  <c r="N295" i="13"/>
  <c r="Q294" i="13"/>
  <c r="O294" i="13"/>
  <c r="N294" i="13"/>
  <c r="Q293" i="13"/>
  <c r="O293" i="13"/>
  <c r="N293" i="13"/>
  <c r="Q292" i="13"/>
  <c r="O292" i="13"/>
  <c r="N292" i="13"/>
  <c r="Q291" i="13"/>
  <c r="O291" i="13"/>
  <c r="N291" i="13"/>
  <c r="Q290" i="13"/>
  <c r="O290" i="13"/>
  <c r="N290" i="13"/>
  <c r="Q289" i="13"/>
  <c r="O289" i="13"/>
  <c r="N289" i="13"/>
  <c r="Q288" i="13"/>
  <c r="O288" i="13"/>
  <c r="N288" i="13"/>
  <c r="Q287" i="13"/>
  <c r="O287" i="13"/>
  <c r="N287" i="13"/>
  <c r="Q286" i="13"/>
  <c r="O286" i="13"/>
  <c r="N286" i="13"/>
  <c r="Q285" i="13"/>
  <c r="O285" i="13"/>
  <c r="N285" i="13"/>
  <c r="Q284" i="13"/>
  <c r="O284" i="13"/>
  <c r="N284" i="13"/>
  <c r="Q283" i="13"/>
  <c r="O283" i="13"/>
  <c r="N283" i="13"/>
  <c r="Q282" i="13"/>
  <c r="O282" i="13"/>
  <c r="N282" i="13"/>
  <c r="Q281" i="13"/>
  <c r="O281" i="13"/>
  <c r="N281" i="13"/>
  <c r="Q280" i="13"/>
  <c r="O280" i="13"/>
  <c r="N280" i="13"/>
  <c r="Q279" i="13"/>
  <c r="O279" i="13"/>
  <c r="N279" i="13"/>
  <c r="Q278" i="13"/>
  <c r="O278" i="13"/>
  <c r="N278" i="13"/>
  <c r="Q277" i="13"/>
  <c r="O277" i="13"/>
  <c r="N277" i="13"/>
  <c r="Q276" i="13"/>
  <c r="O276" i="13"/>
  <c r="N276" i="13"/>
  <c r="Q275" i="13"/>
  <c r="O275" i="13"/>
  <c r="N275" i="13"/>
  <c r="Q274" i="13"/>
  <c r="O274" i="13"/>
  <c r="N274" i="13"/>
  <c r="Q273" i="13"/>
  <c r="O273" i="13"/>
  <c r="N273" i="13"/>
  <c r="Q272" i="13"/>
  <c r="O272" i="13"/>
  <c r="N272" i="13"/>
  <c r="Q271" i="13"/>
  <c r="O271" i="13"/>
  <c r="N271" i="13"/>
  <c r="Q270" i="13"/>
  <c r="O270" i="13"/>
  <c r="N270" i="13"/>
  <c r="Q269" i="13"/>
  <c r="O269" i="13"/>
  <c r="N269" i="13"/>
  <c r="Q268" i="13"/>
  <c r="O268" i="13"/>
  <c r="N268" i="13"/>
  <c r="Q267" i="13"/>
  <c r="O267" i="13"/>
  <c r="N267" i="13"/>
  <c r="Q266" i="13"/>
  <c r="O266" i="13"/>
  <c r="N266" i="13"/>
  <c r="Q265" i="13"/>
  <c r="O265" i="13"/>
  <c r="N265" i="13"/>
  <c r="Q264" i="13"/>
  <c r="O264" i="13"/>
  <c r="N264" i="13"/>
  <c r="Q263" i="13"/>
  <c r="O263" i="13"/>
  <c r="N263" i="13"/>
  <c r="Q262" i="13"/>
  <c r="O262" i="13"/>
  <c r="N262" i="13"/>
  <c r="Q261" i="13"/>
  <c r="O261" i="13"/>
  <c r="N261" i="13"/>
  <c r="Q260" i="13"/>
  <c r="O260" i="13"/>
  <c r="N260" i="13"/>
  <c r="Q259" i="13"/>
  <c r="O259" i="13"/>
  <c r="N259" i="13"/>
  <c r="Q258" i="13"/>
  <c r="O258" i="13"/>
  <c r="N258" i="13"/>
  <c r="Q257" i="13"/>
  <c r="O257" i="13"/>
  <c r="N257" i="13"/>
  <c r="Q256" i="13"/>
  <c r="O256" i="13"/>
  <c r="N256" i="13"/>
  <c r="Q255" i="13"/>
  <c r="O255" i="13"/>
  <c r="N255" i="13"/>
  <c r="Q254" i="13"/>
  <c r="O254" i="13"/>
  <c r="N254" i="13"/>
  <c r="Q253" i="13"/>
  <c r="O253" i="13"/>
  <c r="N253" i="13"/>
  <c r="Q252" i="13"/>
  <c r="O252" i="13"/>
  <c r="N252" i="13"/>
  <c r="Q251" i="13"/>
  <c r="O251" i="13"/>
  <c r="N251" i="13"/>
  <c r="Q250" i="13"/>
  <c r="O250" i="13"/>
  <c r="N250" i="13"/>
  <c r="Q249" i="13"/>
  <c r="O249" i="13"/>
  <c r="N249" i="13"/>
  <c r="Q248" i="13"/>
  <c r="O248" i="13"/>
  <c r="N248" i="13"/>
  <c r="Q247" i="13"/>
  <c r="O247" i="13"/>
  <c r="N247" i="13"/>
  <c r="Q246" i="13"/>
  <c r="O246" i="13"/>
  <c r="N246" i="13"/>
  <c r="Q245" i="13"/>
  <c r="O245" i="13"/>
  <c r="N245" i="13"/>
  <c r="Q244" i="13"/>
  <c r="O244" i="13"/>
  <c r="N244" i="13"/>
  <c r="Q243" i="13"/>
  <c r="O243" i="13"/>
  <c r="N243" i="13"/>
  <c r="Q242" i="13"/>
  <c r="O242" i="13"/>
  <c r="N242" i="13"/>
  <c r="Q241" i="13"/>
  <c r="O241" i="13"/>
  <c r="N241" i="13"/>
  <c r="Q240" i="13"/>
  <c r="O240" i="13"/>
  <c r="N240" i="13"/>
  <c r="Q239" i="13"/>
  <c r="O239" i="13"/>
  <c r="N239" i="13"/>
  <c r="Q238" i="13"/>
  <c r="O238" i="13"/>
  <c r="N238" i="13"/>
  <c r="Q237" i="13"/>
  <c r="O237" i="13"/>
  <c r="N237" i="13"/>
  <c r="Q236" i="13"/>
  <c r="O236" i="13"/>
  <c r="N236" i="13"/>
  <c r="Q235" i="13"/>
  <c r="O235" i="13"/>
  <c r="N235" i="13"/>
  <c r="Q234" i="13"/>
  <c r="O234" i="13"/>
  <c r="N234" i="13"/>
  <c r="Q233" i="13"/>
  <c r="O233" i="13"/>
  <c r="N233" i="13"/>
  <c r="Q232" i="13"/>
  <c r="O232" i="13"/>
  <c r="N232" i="13"/>
  <c r="Q231" i="13"/>
  <c r="O231" i="13"/>
  <c r="N231" i="13"/>
  <c r="Q230" i="13"/>
  <c r="O230" i="13"/>
  <c r="N230" i="13"/>
  <c r="Q229" i="13"/>
  <c r="O229" i="13"/>
  <c r="N229" i="13"/>
  <c r="Q228" i="13"/>
  <c r="O228" i="13"/>
  <c r="N228" i="13"/>
  <c r="Q227" i="13"/>
  <c r="O227" i="13"/>
  <c r="N227" i="13"/>
  <c r="Q226" i="13"/>
  <c r="O226" i="13"/>
  <c r="N226" i="13"/>
  <c r="Q225" i="13"/>
  <c r="O225" i="13"/>
  <c r="N225" i="13"/>
  <c r="Q224" i="13"/>
  <c r="O224" i="13"/>
  <c r="N224" i="13"/>
  <c r="Q223" i="13"/>
  <c r="O223" i="13"/>
  <c r="N223" i="13"/>
  <c r="Q222" i="13"/>
  <c r="O222" i="13"/>
  <c r="N222" i="13"/>
  <c r="Q221" i="13"/>
  <c r="O221" i="13"/>
  <c r="N221" i="13"/>
  <c r="Q220" i="13"/>
  <c r="O220" i="13"/>
  <c r="N220" i="13"/>
  <c r="Q219" i="13"/>
  <c r="O219" i="13"/>
  <c r="N219" i="13"/>
  <c r="Q218" i="13"/>
  <c r="O218" i="13"/>
  <c r="N218" i="13"/>
  <c r="Q217" i="13"/>
  <c r="O217" i="13"/>
  <c r="N217" i="13"/>
  <c r="Q216" i="13"/>
  <c r="O216" i="13"/>
  <c r="N216" i="13"/>
  <c r="Q215" i="13"/>
  <c r="O215" i="13"/>
  <c r="N215" i="13"/>
  <c r="Q214" i="13"/>
  <c r="O214" i="13"/>
  <c r="N214" i="13"/>
  <c r="Q213" i="13"/>
  <c r="O213" i="13"/>
  <c r="N213" i="13"/>
  <c r="Q212" i="13"/>
  <c r="O212" i="13"/>
  <c r="N212" i="13"/>
  <c r="Q211" i="13"/>
  <c r="O211" i="13"/>
  <c r="N211" i="13"/>
  <c r="Q210" i="13"/>
  <c r="O210" i="13"/>
  <c r="N210" i="13"/>
  <c r="Q209" i="13"/>
  <c r="O209" i="13"/>
  <c r="N209" i="13"/>
  <c r="Q208" i="13"/>
  <c r="O208" i="13"/>
  <c r="N208" i="13"/>
  <c r="Q207" i="13"/>
  <c r="O207" i="13"/>
  <c r="N207" i="13"/>
  <c r="Q206" i="13"/>
  <c r="O206" i="13"/>
  <c r="N206" i="13"/>
  <c r="Q205" i="13"/>
  <c r="O205" i="13"/>
  <c r="N205" i="13"/>
  <c r="Q204" i="13"/>
  <c r="O204" i="13"/>
  <c r="N204" i="13"/>
  <c r="Q203" i="13"/>
  <c r="O203" i="13"/>
  <c r="N203" i="13"/>
  <c r="Q202" i="13"/>
  <c r="O202" i="13"/>
  <c r="N202" i="13"/>
  <c r="Q201" i="13"/>
  <c r="O201" i="13"/>
  <c r="N201" i="13"/>
  <c r="Q200" i="13"/>
  <c r="O200" i="13"/>
  <c r="N200" i="13"/>
  <c r="Q199" i="13"/>
  <c r="O199" i="13"/>
  <c r="N199" i="13"/>
  <c r="Q198" i="13"/>
  <c r="O198" i="13"/>
  <c r="N198" i="13"/>
  <c r="Q197" i="13"/>
  <c r="O197" i="13"/>
  <c r="N197" i="13"/>
  <c r="Q196" i="13"/>
  <c r="O196" i="13"/>
  <c r="N196" i="13"/>
  <c r="Q195" i="13"/>
  <c r="O195" i="13"/>
  <c r="N195" i="13"/>
  <c r="Q194" i="13"/>
  <c r="O194" i="13"/>
  <c r="N194" i="13"/>
  <c r="Q193" i="13"/>
  <c r="O193" i="13"/>
  <c r="N193" i="13"/>
  <c r="Q192" i="13"/>
  <c r="O192" i="13"/>
  <c r="N192" i="13"/>
  <c r="Q191" i="13"/>
  <c r="O191" i="13"/>
  <c r="N191" i="13"/>
  <c r="Q190" i="13"/>
  <c r="O190" i="13"/>
  <c r="N190" i="13"/>
  <c r="Q189" i="13"/>
  <c r="O189" i="13"/>
  <c r="N189" i="13"/>
  <c r="Q188" i="13"/>
  <c r="O188" i="13"/>
  <c r="N188" i="13"/>
  <c r="Q187" i="13"/>
  <c r="O187" i="13"/>
  <c r="N187" i="13"/>
  <c r="Q186" i="13"/>
  <c r="O186" i="13"/>
  <c r="N186" i="13"/>
  <c r="Q185" i="13"/>
  <c r="O185" i="13"/>
  <c r="N185" i="13"/>
  <c r="Q184" i="13"/>
  <c r="O184" i="13"/>
  <c r="N184" i="13"/>
  <c r="Q183" i="13"/>
  <c r="O183" i="13"/>
  <c r="N183" i="13"/>
  <c r="Q182" i="13"/>
  <c r="O182" i="13"/>
  <c r="N182" i="13"/>
  <c r="Q181" i="13"/>
  <c r="O181" i="13"/>
  <c r="N181" i="13"/>
  <c r="Q180" i="13"/>
  <c r="O180" i="13"/>
  <c r="N180" i="13"/>
  <c r="Q179" i="13"/>
  <c r="O179" i="13"/>
  <c r="N179" i="13"/>
  <c r="Q178" i="13"/>
  <c r="O178" i="13"/>
  <c r="N178" i="13"/>
  <c r="Q177" i="13"/>
  <c r="O177" i="13"/>
  <c r="N177" i="13"/>
  <c r="Q176" i="13"/>
  <c r="O176" i="13"/>
  <c r="N176" i="13"/>
  <c r="Z175" i="13"/>
  <c r="Q175" i="13"/>
  <c r="O175" i="13"/>
  <c r="N175" i="13"/>
  <c r="Z174" i="13"/>
  <c r="Q174" i="13"/>
  <c r="O174" i="13"/>
  <c r="N174" i="13"/>
  <c r="Z173" i="13"/>
  <c r="Q173" i="13"/>
  <c r="O173" i="13"/>
  <c r="N173" i="13"/>
  <c r="Z172" i="13"/>
  <c r="Q172" i="13"/>
  <c r="O172" i="13"/>
  <c r="N172" i="13"/>
  <c r="Z171" i="13"/>
  <c r="Q171" i="13"/>
  <c r="O171" i="13"/>
  <c r="N171" i="13"/>
  <c r="Z170" i="13"/>
  <c r="Q170" i="13"/>
  <c r="O170" i="13"/>
  <c r="N170" i="13"/>
  <c r="Z169" i="13"/>
  <c r="Q169" i="13"/>
  <c r="O169" i="13"/>
  <c r="N169" i="13"/>
  <c r="Z168" i="13"/>
  <c r="Q168" i="13"/>
  <c r="O168" i="13"/>
  <c r="N168" i="13"/>
  <c r="Z167" i="13"/>
  <c r="Q167" i="13"/>
  <c r="O167" i="13"/>
  <c r="N167" i="13"/>
  <c r="Z166" i="13"/>
  <c r="Q166" i="13"/>
  <c r="O166" i="13"/>
  <c r="N166" i="13"/>
  <c r="Z165" i="13"/>
  <c r="Q165" i="13"/>
  <c r="O165" i="13"/>
  <c r="N165" i="13"/>
  <c r="Z164" i="13"/>
  <c r="Q164" i="13"/>
  <c r="O164" i="13"/>
  <c r="N164" i="13"/>
  <c r="Z163" i="13"/>
  <c r="Q163" i="13"/>
  <c r="O163" i="13"/>
  <c r="N163" i="13"/>
  <c r="Z162" i="13"/>
  <c r="Q162" i="13"/>
  <c r="O162" i="13"/>
  <c r="N162" i="13"/>
  <c r="Z161" i="13"/>
  <c r="Q161" i="13"/>
  <c r="O161" i="13"/>
  <c r="N161" i="13"/>
  <c r="Z160" i="13"/>
  <c r="Q160" i="13"/>
  <c r="O160" i="13"/>
  <c r="N160" i="13"/>
  <c r="Q159" i="13"/>
  <c r="O159" i="13"/>
  <c r="N159" i="13"/>
  <c r="Q158" i="13"/>
  <c r="O158" i="13"/>
  <c r="N158" i="13"/>
  <c r="Q157" i="13"/>
  <c r="O157" i="13"/>
  <c r="N157" i="13"/>
  <c r="Q156" i="13"/>
  <c r="O156" i="13"/>
  <c r="N156" i="13"/>
  <c r="Q155" i="13"/>
  <c r="O155" i="13"/>
  <c r="N155" i="13"/>
  <c r="Q154" i="13"/>
  <c r="O154" i="13"/>
  <c r="N154" i="13"/>
  <c r="Z153" i="13"/>
  <c r="Q153" i="13"/>
  <c r="O153" i="13"/>
  <c r="N153" i="13"/>
  <c r="Z152" i="13"/>
  <c r="Q152" i="13"/>
  <c r="O152" i="13"/>
  <c r="N152" i="13"/>
  <c r="Z151" i="13"/>
  <c r="Q151" i="13"/>
  <c r="O151" i="13"/>
  <c r="N151" i="13"/>
  <c r="Z150" i="13"/>
  <c r="Q150" i="13"/>
  <c r="O150" i="13"/>
  <c r="N150" i="13"/>
  <c r="Z149" i="13"/>
  <c r="Q149" i="13"/>
  <c r="O149" i="13"/>
  <c r="N149" i="13"/>
  <c r="Z148" i="13"/>
  <c r="Q148" i="13"/>
  <c r="O148" i="13"/>
  <c r="N148" i="13"/>
  <c r="Z147" i="13"/>
  <c r="Q147" i="13"/>
  <c r="O147" i="13"/>
  <c r="N147" i="13"/>
  <c r="Z146" i="13"/>
  <c r="Q146" i="13"/>
  <c r="O146" i="13"/>
  <c r="N146" i="13"/>
  <c r="Z145" i="13"/>
  <c r="Q145" i="13"/>
  <c r="O145" i="13"/>
  <c r="N145" i="13"/>
  <c r="Z144" i="13"/>
  <c r="Q144" i="13"/>
  <c r="O144" i="13"/>
  <c r="N144" i="13"/>
  <c r="Z143" i="13"/>
  <c r="Q143" i="13"/>
  <c r="O143" i="13"/>
  <c r="N143" i="13"/>
  <c r="Z142" i="13"/>
  <c r="Q142" i="13"/>
  <c r="O142" i="13"/>
  <c r="N142" i="13"/>
  <c r="Z141" i="13"/>
  <c r="Q141" i="13"/>
  <c r="O141" i="13"/>
  <c r="N141" i="13"/>
  <c r="Z140" i="13"/>
  <c r="Q140" i="13"/>
  <c r="O140" i="13"/>
  <c r="N140" i="13"/>
  <c r="Z139" i="13"/>
  <c r="Q139" i="13"/>
  <c r="O139" i="13"/>
  <c r="N139" i="13"/>
  <c r="Z138" i="13"/>
  <c r="Q138" i="13"/>
  <c r="O138" i="13"/>
  <c r="N138" i="13"/>
  <c r="Z137" i="13"/>
  <c r="Q137" i="13"/>
  <c r="O137" i="13"/>
  <c r="N137" i="13"/>
  <c r="Z136" i="13"/>
  <c r="Q136" i="13"/>
  <c r="O136" i="13"/>
  <c r="N136" i="13"/>
  <c r="Z135" i="13"/>
  <c r="Q135" i="13"/>
  <c r="O135" i="13"/>
  <c r="N135" i="13"/>
  <c r="Z134" i="13"/>
  <c r="Q134" i="13"/>
  <c r="O134" i="13"/>
  <c r="N134" i="13"/>
  <c r="Z133" i="13"/>
  <c r="Q133" i="13"/>
  <c r="O133" i="13"/>
  <c r="N133" i="13"/>
  <c r="Z132" i="13"/>
  <c r="Q132" i="13"/>
  <c r="O132" i="13"/>
  <c r="N132" i="13"/>
  <c r="Z131" i="13"/>
  <c r="Q131" i="13"/>
  <c r="O131" i="13"/>
  <c r="N131" i="13"/>
  <c r="Z130" i="13"/>
  <c r="Q130" i="13"/>
  <c r="O130" i="13"/>
  <c r="N130" i="13"/>
  <c r="Z129" i="13"/>
  <c r="Q129" i="13"/>
  <c r="O129" i="13"/>
  <c r="N129" i="13"/>
  <c r="Z128" i="13"/>
  <c r="Q128" i="13"/>
  <c r="O128" i="13"/>
  <c r="N128" i="13"/>
  <c r="Z127" i="13"/>
  <c r="Q127" i="13"/>
  <c r="O127" i="13"/>
  <c r="N127" i="13"/>
  <c r="Z126" i="13"/>
  <c r="Q126" i="13"/>
  <c r="O126" i="13"/>
  <c r="N126" i="13"/>
  <c r="Z125" i="13"/>
  <c r="Q125" i="13"/>
  <c r="O125" i="13"/>
  <c r="N125" i="13"/>
  <c r="Z124" i="13"/>
  <c r="Q124" i="13"/>
  <c r="O124" i="13"/>
  <c r="N124" i="13"/>
  <c r="Z123" i="13"/>
  <c r="Q123" i="13"/>
  <c r="O123" i="13"/>
  <c r="N123" i="13"/>
  <c r="Z122" i="13"/>
  <c r="Q122" i="13"/>
  <c r="O122" i="13"/>
  <c r="N122" i="13"/>
  <c r="Z121" i="13"/>
  <c r="Q121" i="13"/>
  <c r="O121" i="13"/>
  <c r="N121" i="13"/>
  <c r="Z120" i="13"/>
  <c r="Q120" i="13"/>
  <c r="O120" i="13"/>
  <c r="N120" i="13"/>
  <c r="Z119" i="13"/>
  <c r="Q119" i="13"/>
  <c r="O119" i="13"/>
  <c r="N119" i="13"/>
  <c r="Z118" i="13"/>
  <c r="Q118" i="13"/>
  <c r="O118" i="13"/>
  <c r="N118" i="13"/>
  <c r="Z117" i="13"/>
  <c r="Q117" i="13"/>
  <c r="O117" i="13"/>
  <c r="N117" i="13"/>
  <c r="Z116" i="13"/>
  <c r="Q116" i="13"/>
  <c r="O116" i="13"/>
  <c r="N116" i="13"/>
  <c r="Z115" i="13"/>
  <c r="Q115" i="13"/>
  <c r="O115" i="13"/>
  <c r="N115" i="13"/>
  <c r="Z114" i="13"/>
  <c r="Q114" i="13"/>
  <c r="O114" i="13"/>
  <c r="N114" i="13"/>
  <c r="Z113" i="13"/>
  <c r="Q113" i="13"/>
  <c r="O113" i="13"/>
  <c r="N113" i="13"/>
  <c r="Z112" i="13"/>
  <c r="Q112" i="13"/>
  <c r="O112" i="13"/>
  <c r="N112" i="13"/>
  <c r="Z111" i="13"/>
  <c r="Q111" i="13"/>
  <c r="O111" i="13"/>
  <c r="N111" i="13"/>
  <c r="Z110" i="13"/>
  <c r="Q110" i="13"/>
  <c r="O110" i="13"/>
  <c r="N110" i="13"/>
  <c r="Z109" i="13"/>
  <c r="Q109" i="13"/>
  <c r="O109" i="13"/>
  <c r="N109" i="13"/>
  <c r="Z108" i="13"/>
  <c r="Q108" i="13"/>
  <c r="O108" i="13"/>
  <c r="N108" i="13"/>
  <c r="Z107" i="13"/>
  <c r="Q107" i="13"/>
  <c r="O107" i="13"/>
  <c r="N107" i="13"/>
  <c r="Z106" i="13"/>
  <c r="Q106" i="13"/>
  <c r="O106" i="13"/>
  <c r="N106" i="13"/>
  <c r="Z105" i="13"/>
  <c r="Q105" i="13"/>
  <c r="O105" i="13"/>
  <c r="N105" i="13"/>
  <c r="Z104" i="13"/>
  <c r="Q104" i="13"/>
  <c r="O104" i="13"/>
  <c r="N104" i="13"/>
  <c r="Z103" i="13"/>
  <c r="Q103" i="13"/>
  <c r="O103" i="13"/>
  <c r="N103" i="13"/>
  <c r="Z102" i="13"/>
  <c r="Q102" i="13"/>
  <c r="O102" i="13"/>
  <c r="N102" i="13"/>
  <c r="Z101" i="13"/>
  <c r="Q101" i="13"/>
  <c r="O101" i="13"/>
  <c r="N101" i="13"/>
  <c r="Z100" i="13"/>
  <c r="Q100" i="13"/>
  <c r="O100" i="13"/>
  <c r="N100" i="13"/>
  <c r="Z99" i="13"/>
  <c r="Q99" i="13"/>
  <c r="O99" i="13"/>
  <c r="N99" i="13"/>
  <c r="Z98" i="13"/>
  <c r="Q98" i="13"/>
  <c r="O98" i="13"/>
  <c r="N98" i="13"/>
  <c r="Z97" i="13"/>
  <c r="Q97" i="13"/>
  <c r="O97" i="13"/>
  <c r="N97" i="13"/>
  <c r="Z96" i="13"/>
  <c r="Q96" i="13"/>
  <c r="O96" i="13"/>
  <c r="N96" i="13"/>
  <c r="Z95" i="13"/>
  <c r="Q95" i="13"/>
  <c r="O95" i="13"/>
  <c r="N95" i="13"/>
  <c r="Z94" i="13"/>
  <c r="Q94" i="13"/>
  <c r="O94" i="13"/>
  <c r="N94" i="13"/>
  <c r="Z93" i="13"/>
  <c r="Q93" i="13"/>
  <c r="O93" i="13"/>
  <c r="N93" i="13"/>
  <c r="Z92" i="13"/>
  <c r="Q92" i="13"/>
  <c r="O92" i="13"/>
  <c r="N92" i="13"/>
  <c r="Z91" i="13"/>
  <c r="Q91" i="13"/>
  <c r="O91" i="13"/>
  <c r="N91" i="13"/>
  <c r="Z90" i="13"/>
  <c r="Q90" i="13"/>
  <c r="O90" i="13"/>
  <c r="N90" i="13"/>
  <c r="Z89" i="13"/>
  <c r="Q89" i="13"/>
  <c r="O89" i="13"/>
  <c r="N89" i="13"/>
  <c r="Z88" i="13"/>
  <c r="Q88" i="13"/>
  <c r="O88" i="13"/>
  <c r="N88" i="13"/>
  <c r="Z87" i="13"/>
  <c r="Q87" i="13"/>
  <c r="O87" i="13"/>
  <c r="N87" i="13"/>
  <c r="Z86" i="13"/>
  <c r="Q86" i="13"/>
  <c r="O86" i="13"/>
  <c r="N86" i="13"/>
  <c r="Z85" i="13"/>
  <c r="Q85" i="13"/>
  <c r="O85" i="13"/>
  <c r="N85" i="13"/>
  <c r="Z84" i="13"/>
  <c r="Q84" i="13"/>
  <c r="O84" i="13"/>
  <c r="N84" i="13"/>
  <c r="Z83" i="13"/>
  <c r="Q83" i="13"/>
  <c r="O83" i="13"/>
  <c r="N83" i="13"/>
  <c r="Z82" i="13"/>
  <c r="Q82" i="13"/>
  <c r="O82" i="13"/>
  <c r="N82" i="13"/>
  <c r="Z81" i="13"/>
  <c r="Q81" i="13"/>
  <c r="O81" i="13"/>
  <c r="N81" i="13"/>
  <c r="Z80" i="13"/>
  <c r="Q80" i="13"/>
  <c r="O80" i="13"/>
  <c r="N80" i="13"/>
  <c r="Z79" i="13"/>
  <c r="Q79" i="13"/>
  <c r="O79" i="13"/>
  <c r="N79" i="13"/>
  <c r="Z78" i="13"/>
  <c r="Q78" i="13"/>
  <c r="O78" i="13"/>
  <c r="N78" i="13"/>
  <c r="Z77" i="13"/>
  <c r="Q77" i="13"/>
  <c r="O77" i="13"/>
  <c r="N77" i="13"/>
  <c r="Z76" i="13"/>
  <c r="Q76" i="13"/>
  <c r="O76" i="13"/>
  <c r="N76" i="13"/>
  <c r="Z75" i="13"/>
  <c r="Q75" i="13"/>
  <c r="O75" i="13"/>
  <c r="N75" i="13"/>
  <c r="Z74" i="13"/>
  <c r="Q74" i="13"/>
  <c r="O74" i="13"/>
  <c r="N74" i="13"/>
  <c r="Z73" i="13"/>
  <c r="Q73" i="13"/>
  <c r="O73" i="13"/>
  <c r="N73" i="13"/>
  <c r="Z72" i="13"/>
  <c r="Q72" i="13"/>
  <c r="O72" i="13"/>
  <c r="N72" i="13"/>
  <c r="Z71" i="13"/>
  <c r="Q71" i="13"/>
  <c r="O71" i="13"/>
  <c r="N71" i="13"/>
  <c r="Z70" i="13"/>
  <c r="Q70" i="13"/>
  <c r="O70" i="13"/>
  <c r="N70" i="13"/>
  <c r="Z69" i="13"/>
  <c r="Q69" i="13"/>
  <c r="O69" i="13"/>
  <c r="N69" i="13"/>
  <c r="Z68" i="13"/>
  <c r="Q68" i="13"/>
  <c r="O68" i="13"/>
  <c r="N68" i="13"/>
  <c r="Z67" i="13"/>
  <c r="Q67" i="13"/>
  <c r="O67" i="13"/>
  <c r="N67" i="13"/>
  <c r="Z66" i="13"/>
  <c r="Q66" i="13"/>
  <c r="O66" i="13"/>
  <c r="N66" i="13"/>
  <c r="Z65" i="13"/>
  <c r="Q65" i="13"/>
  <c r="O65" i="13"/>
  <c r="N65" i="13"/>
  <c r="Z64" i="13"/>
  <c r="Q64" i="13"/>
  <c r="O64" i="13"/>
  <c r="N64" i="13"/>
  <c r="Z63" i="13"/>
  <c r="Q63" i="13"/>
  <c r="O63" i="13"/>
  <c r="N63" i="13"/>
  <c r="Z62" i="13"/>
  <c r="Q62" i="13"/>
  <c r="O62" i="13"/>
  <c r="N62" i="13"/>
  <c r="Z61" i="13"/>
  <c r="Q61" i="13"/>
  <c r="O61" i="13"/>
  <c r="N61" i="13"/>
  <c r="Z60" i="13"/>
  <c r="Q60" i="13"/>
  <c r="O60" i="13"/>
  <c r="N60" i="13"/>
  <c r="Z59" i="13"/>
  <c r="Q59" i="13"/>
  <c r="O59" i="13"/>
  <c r="N59" i="13"/>
  <c r="Z58" i="13"/>
  <c r="Q58" i="13"/>
  <c r="O58" i="13"/>
  <c r="N58" i="13"/>
  <c r="Z57" i="13"/>
  <c r="Q57" i="13"/>
  <c r="O57" i="13"/>
  <c r="N57" i="13"/>
  <c r="Z56" i="13"/>
  <c r="Q56" i="13"/>
  <c r="O56" i="13"/>
  <c r="N56" i="13"/>
  <c r="Z55" i="13"/>
  <c r="Q55" i="13"/>
  <c r="O55" i="13"/>
  <c r="N55" i="13"/>
  <c r="Z54" i="13"/>
  <c r="Q54" i="13"/>
  <c r="O54" i="13"/>
  <c r="N54" i="13"/>
  <c r="Z53" i="13"/>
  <c r="Q53" i="13"/>
  <c r="O53" i="13"/>
  <c r="N53" i="13"/>
  <c r="Z52" i="13"/>
  <c r="Q52" i="13"/>
  <c r="O52" i="13"/>
  <c r="N52" i="13"/>
  <c r="Z51" i="13"/>
  <c r="Q51" i="13"/>
  <c r="O51" i="13"/>
  <c r="N51" i="13"/>
  <c r="Z50" i="13"/>
  <c r="Q50" i="13"/>
  <c r="O50" i="13"/>
  <c r="N50" i="13"/>
  <c r="Z49" i="13"/>
  <c r="Q49" i="13"/>
  <c r="O49" i="13"/>
  <c r="N49" i="13"/>
  <c r="Z48" i="13"/>
  <c r="Q48" i="13"/>
  <c r="O48" i="13"/>
  <c r="N48" i="13"/>
  <c r="Z47" i="13"/>
  <c r="Q47" i="13"/>
  <c r="O47" i="13"/>
  <c r="N47" i="13"/>
  <c r="Z46" i="13"/>
  <c r="Q46" i="13"/>
  <c r="O46" i="13"/>
  <c r="N46" i="13"/>
  <c r="Z45" i="13"/>
  <c r="Q45" i="13"/>
  <c r="O45" i="13"/>
  <c r="N45" i="13"/>
  <c r="Z44" i="13"/>
  <c r="Q44" i="13"/>
  <c r="O44" i="13"/>
  <c r="N44" i="13"/>
  <c r="Z43" i="13"/>
  <c r="Q43" i="13"/>
  <c r="O43" i="13"/>
  <c r="N43" i="13"/>
  <c r="Z42" i="13"/>
  <c r="Q42" i="13"/>
  <c r="O42" i="13"/>
  <c r="N42" i="13"/>
  <c r="Z41" i="13"/>
  <c r="Q41" i="13"/>
  <c r="O41" i="13"/>
  <c r="N41" i="13"/>
  <c r="Z40" i="13"/>
  <c r="Q40" i="13"/>
  <c r="O40" i="13"/>
  <c r="N40" i="13"/>
  <c r="Z39" i="13"/>
  <c r="Q39" i="13"/>
  <c r="O39" i="13"/>
  <c r="N39" i="13"/>
  <c r="Z38" i="13"/>
  <c r="Q38" i="13"/>
  <c r="O38" i="13"/>
  <c r="N38" i="13"/>
  <c r="Z37" i="13"/>
  <c r="Q37" i="13"/>
  <c r="O37" i="13"/>
  <c r="N37" i="13"/>
  <c r="Z36" i="13"/>
  <c r="Q36" i="13"/>
  <c r="O36" i="13"/>
  <c r="N36" i="13"/>
  <c r="Z35" i="13"/>
  <c r="Q35" i="13"/>
  <c r="O35" i="13"/>
  <c r="N35" i="13"/>
  <c r="Z34" i="13"/>
  <c r="Q34" i="13"/>
  <c r="O34" i="13"/>
  <c r="N34" i="13"/>
  <c r="Z33" i="13"/>
  <c r="Q33" i="13"/>
  <c r="O33" i="13"/>
  <c r="N33" i="13"/>
  <c r="Z32" i="13"/>
  <c r="Q32" i="13"/>
  <c r="O32" i="13"/>
  <c r="N32" i="13"/>
  <c r="Z31" i="13"/>
  <c r="Q31" i="13"/>
  <c r="O31" i="13"/>
  <c r="N31" i="13"/>
  <c r="Z30" i="13"/>
  <c r="Q30" i="13"/>
  <c r="O30" i="13"/>
  <c r="N30" i="13"/>
  <c r="Z29" i="13"/>
  <c r="Q29" i="13"/>
  <c r="O29" i="13"/>
  <c r="N29" i="13"/>
  <c r="Z28" i="13"/>
  <c r="Q28" i="13"/>
  <c r="O28" i="13"/>
  <c r="N28" i="13"/>
  <c r="Z27" i="13"/>
  <c r="Q27" i="13"/>
  <c r="O27" i="13"/>
  <c r="N27" i="13"/>
  <c r="Z26" i="13"/>
  <c r="Q26" i="13"/>
  <c r="O26" i="13"/>
  <c r="N26" i="13"/>
  <c r="Z25" i="13"/>
  <c r="Q25" i="13"/>
  <c r="O25" i="13"/>
  <c r="N25" i="13"/>
  <c r="Z24" i="13"/>
  <c r="Q24" i="13"/>
  <c r="O24" i="13"/>
  <c r="N24" i="13"/>
  <c r="Z23" i="13"/>
  <c r="Q23" i="13"/>
  <c r="O23" i="13"/>
  <c r="N23" i="13"/>
  <c r="Z22" i="13"/>
  <c r="Q22" i="13"/>
  <c r="O22" i="13"/>
  <c r="N22" i="13"/>
  <c r="Z21" i="13"/>
  <c r="Q21" i="13"/>
  <c r="O21" i="13"/>
  <c r="N21" i="13"/>
  <c r="Z20" i="13"/>
  <c r="Q20" i="13"/>
  <c r="O20" i="13"/>
  <c r="N20" i="13"/>
  <c r="Z19" i="13"/>
  <c r="Q19" i="13"/>
  <c r="O19" i="13"/>
  <c r="N19" i="13"/>
  <c r="Z18" i="13"/>
  <c r="Q18" i="13"/>
  <c r="O18" i="13"/>
  <c r="N18" i="13"/>
  <c r="Z17" i="13"/>
  <c r="Q17" i="13"/>
  <c r="O17" i="13"/>
  <c r="N17" i="13"/>
  <c r="Z16" i="13"/>
  <c r="Q16" i="13"/>
  <c r="O16" i="13"/>
  <c r="N16" i="13"/>
  <c r="Z15" i="13"/>
  <c r="Q15" i="13"/>
  <c r="O15" i="13"/>
  <c r="N15" i="13"/>
  <c r="Z14" i="13"/>
  <c r="Q14" i="13"/>
  <c r="O14" i="13"/>
  <c r="N14" i="13"/>
  <c r="Z13" i="13"/>
  <c r="Q13" i="13"/>
  <c r="O13" i="13"/>
  <c r="N13" i="13"/>
  <c r="Z12" i="13"/>
  <c r="Q12" i="13"/>
  <c r="O12" i="13"/>
  <c r="N12" i="13"/>
  <c r="Z11" i="13"/>
  <c r="Q11" i="13"/>
  <c r="O11" i="13"/>
  <c r="N11" i="13"/>
  <c r="Z10" i="13"/>
  <c r="Q10" i="13"/>
  <c r="O10" i="13"/>
  <c r="N10" i="13"/>
  <c r="Z9" i="13"/>
  <c r="Q9" i="13"/>
  <c r="O9" i="13"/>
  <c r="N9" i="13"/>
  <c r="Z8" i="13"/>
  <c r="Q8" i="13"/>
  <c r="O8" i="13"/>
  <c r="N8" i="13"/>
  <c r="Z7" i="13"/>
  <c r="Q7" i="13"/>
  <c r="O7" i="13"/>
  <c r="N7" i="13"/>
  <c r="Z6" i="13"/>
  <c r="Q6" i="13"/>
  <c r="O6" i="13"/>
  <c r="N6" i="13"/>
  <c r="Z5" i="13"/>
  <c r="Q5" i="13"/>
  <c r="O5" i="13"/>
  <c r="N5" i="13"/>
  <c r="Z4" i="13"/>
  <c r="Q4" i="13"/>
  <c r="O4" i="13"/>
  <c r="N4" i="13"/>
  <c r="Z3" i="13"/>
  <c r="Q3" i="13"/>
  <c r="O3" i="13"/>
  <c r="N3" i="13"/>
  <c r="Z2" i="13"/>
  <c r="Q2" i="13"/>
  <c r="O2" i="13"/>
  <c r="N2" i="13"/>
  <c r="J310" i="11"/>
  <c r="I310" i="11"/>
  <c r="J309" i="11"/>
  <c r="I309" i="11"/>
  <c r="J308" i="11"/>
  <c r="I308" i="11"/>
  <c r="J307" i="11"/>
  <c r="I307" i="11"/>
  <c r="J306" i="11"/>
  <c r="I306" i="11"/>
  <c r="J305" i="11"/>
  <c r="I305" i="11"/>
  <c r="J304" i="11"/>
  <c r="I304" i="11"/>
  <c r="J303" i="11"/>
  <c r="I303" i="11"/>
  <c r="J302" i="11"/>
  <c r="I302" i="11"/>
  <c r="J301" i="11"/>
  <c r="I301" i="11"/>
  <c r="J300" i="11"/>
  <c r="I300" i="11"/>
  <c r="J299" i="11"/>
  <c r="I299" i="11"/>
  <c r="J298" i="11"/>
  <c r="I298" i="11"/>
  <c r="J297" i="11"/>
  <c r="I297" i="11"/>
  <c r="J296" i="11"/>
  <c r="I296" i="11"/>
  <c r="J295" i="11"/>
  <c r="I295" i="11"/>
  <c r="J294" i="11"/>
  <c r="I294" i="11"/>
  <c r="J293" i="11"/>
  <c r="I293" i="11"/>
  <c r="J292" i="11"/>
  <c r="I292" i="11"/>
  <c r="J291" i="11"/>
  <c r="I291" i="11"/>
  <c r="J290" i="11"/>
  <c r="I290" i="11"/>
  <c r="J289" i="11"/>
  <c r="I289" i="11"/>
  <c r="J288" i="11"/>
  <c r="I288" i="11"/>
  <c r="J287" i="11"/>
  <c r="I287" i="11"/>
  <c r="J286" i="11"/>
  <c r="I286" i="11"/>
  <c r="J285" i="11"/>
  <c r="I285" i="11"/>
  <c r="J284" i="11"/>
  <c r="I284" i="11"/>
  <c r="J283" i="11"/>
  <c r="I283" i="11"/>
  <c r="J282" i="11"/>
  <c r="I282" i="11"/>
  <c r="J281" i="11"/>
  <c r="I281" i="11"/>
  <c r="J280" i="11"/>
  <c r="I280" i="11"/>
  <c r="J279" i="11"/>
  <c r="I279" i="11"/>
  <c r="J278" i="11"/>
  <c r="I278" i="11"/>
  <c r="J277" i="11"/>
  <c r="I277" i="11"/>
  <c r="J276" i="11"/>
  <c r="I276" i="11"/>
  <c r="J275" i="11"/>
  <c r="I275" i="11"/>
  <c r="J274" i="11"/>
  <c r="I274" i="11"/>
  <c r="J273" i="11"/>
  <c r="I273" i="11"/>
  <c r="J272" i="11"/>
  <c r="I272" i="11"/>
  <c r="J271" i="11"/>
  <c r="I271" i="11"/>
  <c r="J270" i="11"/>
  <c r="I270" i="11"/>
  <c r="J269" i="11"/>
  <c r="I269" i="11"/>
  <c r="J268" i="11"/>
  <c r="I268" i="11"/>
  <c r="J267" i="11"/>
  <c r="I267" i="11"/>
  <c r="J266" i="11"/>
  <c r="I266" i="11"/>
  <c r="J265" i="11"/>
  <c r="I265" i="11"/>
  <c r="J264" i="11"/>
  <c r="I264" i="11"/>
  <c r="J263" i="11"/>
  <c r="I263" i="11"/>
  <c r="J262" i="11"/>
  <c r="I262" i="11"/>
  <c r="J261" i="11"/>
  <c r="I261" i="11"/>
  <c r="J260" i="11"/>
  <c r="I260" i="11"/>
  <c r="J259" i="11"/>
  <c r="I259" i="11"/>
  <c r="J258" i="11"/>
  <c r="I258" i="11"/>
  <c r="J257" i="11"/>
  <c r="I257" i="11"/>
  <c r="J256" i="11"/>
  <c r="I256" i="11"/>
  <c r="J255" i="11"/>
  <c r="I255" i="11"/>
  <c r="J254" i="11"/>
  <c r="I254" i="11"/>
  <c r="J253" i="11"/>
  <c r="I253" i="11"/>
  <c r="J252" i="11"/>
  <c r="I252" i="11"/>
  <c r="J251" i="11"/>
  <c r="I251" i="11"/>
  <c r="J250" i="11"/>
  <c r="I250" i="11"/>
  <c r="J249" i="11"/>
  <c r="I249" i="11"/>
  <c r="J248" i="11"/>
  <c r="I248" i="11"/>
  <c r="J247" i="11"/>
  <c r="I247" i="11"/>
  <c r="J246" i="11"/>
  <c r="I246" i="11"/>
  <c r="J245" i="11"/>
  <c r="I245" i="11"/>
  <c r="J244" i="11"/>
  <c r="I244" i="11"/>
  <c r="J243" i="11"/>
  <c r="I243" i="11"/>
  <c r="J242" i="11"/>
  <c r="I242" i="11"/>
  <c r="J241" i="11"/>
  <c r="I241" i="11"/>
  <c r="J240" i="11"/>
  <c r="I240" i="11"/>
  <c r="J239" i="11"/>
  <c r="I239" i="11"/>
  <c r="J238" i="11"/>
  <c r="I238" i="11"/>
  <c r="J237" i="11"/>
  <c r="I237" i="11"/>
  <c r="J236" i="11"/>
  <c r="I236" i="11"/>
  <c r="J235" i="11"/>
  <c r="I235" i="11"/>
  <c r="J234" i="11"/>
  <c r="I234" i="11"/>
  <c r="J233" i="11"/>
  <c r="I233" i="11"/>
  <c r="J232" i="11"/>
  <c r="I232" i="11"/>
  <c r="J231" i="11"/>
  <c r="I231" i="11"/>
  <c r="J230" i="11"/>
  <c r="I230" i="11"/>
  <c r="J229" i="11"/>
  <c r="I229" i="11"/>
  <c r="J228" i="11"/>
  <c r="I228" i="11"/>
  <c r="J227" i="11"/>
  <c r="I227" i="11"/>
  <c r="J226" i="11"/>
  <c r="I226" i="11"/>
  <c r="J225" i="11"/>
  <c r="I225" i="11"/>
  <c r="J224" i="11"/>
  <c r="I224" i="11"/>
  <c r="J223" i="11"/>
  <c r="I223" i="11"/>
  <c r="J222" i="11"/>
  <c r="I222" i="11"/>
  <c r="J221" i="11"/>
  <c r="I221" i="11"/>
  <c r="J220" i="11"/>
  <c r="I220" i="11"/>
  <c r="J219" i="11"/>
  <c r="I219" i="11"/>
  <c r="J218" i="11"/>
  <c r="I218" i="11"/>
  <c r="J217" i="11"/>
  <c r="I217" i="11"/>
  <c r="J216" i="11"/>
  <c r="I216" i="11"/>
  <c r="J215" i="11"/>
  <c r="I215" i="11"/>
  <c r="J214" i="11"/>
  <c r="I214" i="11"/>
  <c r="J213" i="11"/>
  <c r="I213" i="11"/>
  <c r="J212" i="11"/>
  <c r="I212" i="11"/>
  <c r="J211" i="11"/>
  <c r="I211" i="11"/>
  <c r="J210" i="11"/>
  <c r="I210" i="11"/>
  <c r="J209" i="11"/>
  <c r="I209" i="11"/>
  <c r="J208" i="11"/>
  <c r="I208" i="11"/>
  <c r="J207" i="11"/>
  <c r="I207" i="11"/>
  <c r="J206" i="11"/>
  <c r="I206" i="11"/>
  <c r="J205" i="11"/>
  <c r="I205" i="11"/>
  <c r="J204" i="11"/>
  <c r="I204" i="11"/>
  <c r="J203" i="11"/>
  <c r="I203" i="11"/>
  <c r="J202" i="11"/>
  <c r="I202" i="11"/>
  <c r="J201" i="11"/>
  <c r="I201" i="11"/>
  <c r="J200" i="11"/>
  <c r="I200" i="11"/>
  <c r="J199" i="11"/>
  <c r="I199" i="11"/>
  <c r="J198" i="11"/>
  <c r="I198" i="11"/>
  <c r="J197" i="11"/>
  <c r="I197" i="11"/>
  <c r="J196" i="11"/>
  <c r="I196" i="11"/>
  <c r="J195" i="11"/>
  <c r="I195" i="11"/>
  <c r="J194" i="11"/>
  <c r="I194" i="11"/>
  <c r="J193" i="11"/>
  <c r="I193" i="11"/>
  <c r="J192" i="11"/>
  <c r="I192" i="11"/>
  <c r="J191" i="11"/>
  <c r="I191" i="11"/>
  <c r="J190" i="11"/>
  <c r="I190" i="11"/>
  <c r="J189" i="11"/>
  <c r="I189" i="11"/>
  <c r="J188" i="11"/>
  <c r="I188" i="11"/>
  <c r="J187" i="11"/>
  <c r="I187" i="11"/>
  <c r="J186" i="11"/>
  <c r="I186" i="11"/>
  <c r="J185" i="11"/>
  <c r="I185" i="11"/>
  <c r="J184" i="11"/>
  <c r="I184" i="11"/>
  <c r="J183" i="11"/>
  <c r="I183" i="11"/>
  <c r="J182" i="11"/>
  <c r="I182" i="11"/>
  <c r="J181" i="11"/>
  <c r="I181" i="11"/>
  <c r="J180" i="11"/>
  <c r="I180" i="11"/>
  <c r="J179" i="11"/>
  <c r="I179" i="11"/>
  <c r="J178" i="11"/>
  <c r="I178" i="11"/>
  <c r="J177" i="11"/>
  <c r="I177" i="11"/>
  <c r="J176" i="11"/>
  <c r="I176" i="11"/>
  <c r="J175" i="11"/>
  <c r="I175" i="11"/>
  <c r="J174" i="11"/>
  <c r="I174" i="11"/>
  <c r="J173" i="11"/>
  <c r="I173" i="11"/>
  <c r="J172" i="11"/>
  <c r="I172" i="11"/>
  <c r="J171" i="11"/>
  <c r="I171" i="11"/>
  <c r="J170" i="11"/>
  <c r="I170" i="11"/>
  <c r="J169" i="11"/>
  <c r="I169" i="11"/>
  <c r="J168" i="11"/>
  <c r="I168" i="11"/>
  <c r="J167" i="11"/>
  <c r="I167" i="11"/>
  <c r="J166" i="11"/>
  <c r="I166" i="11"/>
  <c r="J165" i="11"/>
  <c r="I165" i="11"/>
  <c r="J164" i="11"/>
  <c r="I164" i="11"/>
  <c r="J163" i="11"/>
  <c r="I163" i="11"/>
  <c r="J162" i="11"/>
  <c r="I162" i="11"/>
  <c r="J161" i="11"/>
  <c r="I161" i="11"/>
  <c r="J160" i="11"/>
  <c r="I160" i="11"/>
  <c r="J159" i="11"/>
  <c r="I159" i="11"/>
  <c r="J158" i="11"/>
  <c r="I158" i="11"/>
  <c r="J157" i="11"/>
  <c r="I157" i="11"/>
  <c r="J156" i="11"/>
  <c r="I156" i="11"/>
  <c r="J155" i="11"/>
  <c r="I155" i="11"/>
  <c r="J154" i="11"/>
  <c r="I154" i="11"/>
  <c r="J153" i="11"/>
  <c r="I153" i="11"/>
  <c r="J152" i="11"/>
  <c r="I152" i="11"/>
  <c r="J151" i="11"/>
  <c r="I151" i="11"/>
  <c r="J150" i="11"/>
  <c r="I150" i="11"/>
  <c r="J149" i="11"/>
  <c r="I149" i="11"/>
  <c r="J148" i="11"/>
  <c r="I148" i="11"/>
  <c r="J147" i="11"/>
  <c r="I147" i="11"/>
  <c r="J146" i="11"/>
  <c r="I146" i="11"/>
  <c r="J145" i="11"/>
  <c r="I145" i="11"/>
  <c r="J144" i="11"/>
  <c r="I144" i="11"/>
  <c r="J143" i="11"/>
  <c r="I143" i="11"/>
  <c r="J142" i="11"/>
  <c r="I142" i="11"/>
  <c r="J141" i="11"/>
  <c r="I141" i="11"/>
  <c r="J140" i="11"/>
  <c r="I140" i="11"/>
  <c r="J139" i="11"/>
  <c r="I139" i="11"/>
  <c r="J138" i="11"/>
  <c r="I138" i="11"/>
  <c r="J137" i="11"/>
  <c r="I137" i="11"/>
  <c r="J136" i="11"/>
  <c r="I136" i="11"/>
  <c r="J135" i="11"/>
  <c r="I135" i="11"/>
  <c r="J134" i="11"/>
  <c r="I134" i="11"/>
  <c r="J133" i="11"/>
  <c r="I133" i="11"/>
  <c r="J132" i="11"/>
  <c r="I132" i="11"/>
  <c r="J131" i="11"/>
  <c r="I131" i="11"/>
  <c r="J130" i="11"/>
  <c r="I130" i="11"/>
  <c r="J129" i="11"/>
  <c r="I129" i="11"/>
  <c r="J128" i="11"/>
  <c r="I128" i="11"/>
  <c r="J127" i="11"/>
  <c r="I127" i="11"/>
  <c r="J126" i="11"/>
  <c r="I126" i="11"/>
  <c r="J125" i="11"/>
  <c r="I125" i="11"/>
  <c r="J124" i="11"/>
  <c r="I124" i="11"/>
  <c r="J123" i="11"/>
  <c r="I123" i="11"/>
  <c r="J122" i="11"/>
  <c r="I122" i="11"/>
  <c r="J121" i="11"/>
  <c r="I121" i="11"/>
  <c r="J120" i="11"/>
  <c r="I120" i="11"/>
  <c r="J119" i="11"/>
  <c r="I119" i="11"/>
  <c r="J118" i="11"/>
  <c r="I118" i="11"/>
  <c r="J117" i="11"/>
  <c r="I117" i="11"/>
  <c r="J116" i="11"/>
  <c r="I116" i="11"/>
  <c r="J115" i="11"/>
  <c r="I115" i="11"/>
  <c r="J114" i="11"/>
  <c r="I114" i="11"/>
  <c r="J113" i="11"/>
  <c r="I113" i="11"/>
  <c r="J112" i="11"/>
  <c r="I112" i="11"/>
  <c r="J111" i="11"/>
  <c r="I111" i="11"/>
  <c r="J110" i="11"/>
  <c r="I110" i="11"/>
  <c r="J109" i="11"/>
  <c r="I109" i="11"/>
  <c r="J108" i="11"/>
  <c r="I108" i="11"/>
  <c r="J107" i="11"/>
  <c r="I107" i="11"/>
  <c r="J106" i="11"/>
  <c r="I106" i="11"/>
  <c r="J105" i="11"/>
  <c r="I105" i="11"/>
  <c r="J104" i="11"/>
  <c r="I104" i="11"/>
  <c r="J103" i="11"/>
  <c r="I103" i="11"/>
  <c r="J102" i="11"/>
  <c r="I102" i="11"/>
  <c r="J101" i="11"/>
  <c r="I101" i="11"/>
  <c r="J100" i="11"/>
  <c r="I100" i="11"/>
  <c r="J99" i="11"/>
  <c r="I99" i="11"/>
  <c r="J98" i="11"/>
  <c r="I98" i="11"/>
  <c r="J97" i="11"/>
  <c r="I97" i="11"/>
  <c r="J96" i="11"/>
  <c r="I96" i="11"/>
  <c r="J95" i="11"/>
  <c r="I95" i="11"/>
  <c r="J94" i="11"/>
  <c r="I94" i="11"/>
  <c r="J93" i="11"/>
  <c r="I93" i="11"/>
  <c r="J92" i="11"/>
  <c r="I92" i="11"/>
  <c r="Z91" i="11"/>
  <c r="Y91" i="11"/>
  <c r="J91" i="11"/>
  <c r="I91" i="11"/>
  <c r="Z90" i="11"/>
  <c r="Y90" i="11"/>
  <c r="J90" i="11"/>
  <c r="I90" i="11"/>
  <c r="J89" i="11"/>
  <c r="I89" i="11"/>
  <c r="J88" i="11"/>
  <c r="I88" i="11"/>
  <c r="J87" i="11"/>
  <c r="I87" i="11"/>
  <c r="J86" i="11"/>
  <c r="I86" i="11"/>
  <c r="J85" i="11"/>
  <c r="I85" i="11"/>
  <c r="J84" i="11"/>
  <c r="I84" i="11"/>
  <c r="J83" i="11"/>
  <c r="I83" i="11"/>
  <c r="J82" i="11"/>
  <c r="I82" i="11"/>
  <c r="J81" i="11"/>
  <c r="I81" i="11"/>
  <c r="J80" i="11"/>
  <c r="I80" i="11"/>
  <c r="J79" i="11"/>
  <c r="I79" i="11"/>
  <c r="J78" i="11"/>
  <c r="I78" i="11"/>
  <c r="J77" i="11"/>
  <c r="I77" i="11"/>
  <c r="J76" i="11"/>
  <c r="I76" i="11"/>
  <c r="J75" i="11"/>
  <c r="I75" i="11"/>
  <c r="J74" i="11"/>
  <c r="I74" i="11"/>
  <c r="J73" i="11"/>
  <c r="I73" i="11"/>
  <c r="J72" i="11"/>
  <c r="I72" i="11"/>
  <c r="J71" i="11"/>
  <c r="I71" i="11"/>
  <c r="J70" i="11"/>
  <c r="I70" i="11"/>
  <c r="J69" i="11"/>
  <c r="I69" i="11"/>
  <c r="J68" i="11"/>
  <c r="I68" i="11"/>
  <c r="J67" i="11"/>
  <c r="I67" i="11"/>
  <c r="J66" i="11"/>
  <c r="I66" i="11"/>
  <c r="J65" i="11"/>
  <c r="I65" i="11"/>
  <c r="J64" i="11"/>
  <c r="I64" i="11"/>
  <c r="J63" i="11"/>
  <c r="I63" i="11"/>
  <c r="J62" i="11"/>
  <c r="I62" i="11"/>
  <c r="J61" i="11"/>
  <c r="I61" i="11"/>
  <c r="J60" i="11"/>
  <c r="I60" i="11"/>
  <c r="J59" i="11"/>
  <c r="I59" i="11"/>
  <c r="J58" i="11"/>
  <c r="I58" i="11"/>
  <c r="J57" i="11"/>
  <c r="I57" i="11"/>
  <c r="J56" i="11"/>
  <c r="I56" i="11"/>
  <c r="J55" i="11"/>
  <c r="I55" i="11"/>
  <c r="J54" i="11"/>
  <c r="I54" i="11"/>
  <c r="J53" i="11"/>
  <c r="I53" i="11"/>
  <c r="J52" i="11"/>
  <c r="I52" i="11"/>
  <c r="J51" i="11"/>
  <c r="I51" i="11"/>
  <c r="J50" i="11"/>
  <c r="I50" i="11"/>
  <c r="J49" i="11"/>
  <c r="I49" i="11"/>
  <c r="J48" i="11"/>
  <c r="I48" i="11"/>
  <c r="J47" i="11"/>
  <c r="I47" i="11"/>
  <c r="J46" i="11"/>
  <c r="I46" i="11"/>
  <c r="J45" i="11"/>
  <c r="I45" i="11"/>
  <c r="J44" i="11"/>
  <c r="I44" i="11"/>
  <c r="J43" i="11"/>
  <c r="I43" i="11"/>
  <c r="J42" i="11"/>
  <c r="I42" i="11"/>
  <c r="J41" i="11"/>
  <c r="I41" i="11"/>
  <c r="Z40" i="11"/>
  <c r="Y40" i="11"/>
  <c r="J40" i="11"/>
  <c r="I40" i="11"/>
  <c r="Z39" i="11"/>
  <c r="Y39" i="11"/>
  <c r="J39" i="11"/>
  <c r="I39" i="11"/>
  <c r="Z38" i="11"/>
  <c r="Y38" i="11"/>
  <c r="J38" i="11"/>
  <c r="I38" i="11"/>
  <c r="Z37" i="11"/>
  <c r="Y37" i="11"/>
  <c r="J37" i="11"/>
  <c r="I37" i="11"/>
  <c r="Z36" i="11"/>
  <c r="Y36" i="11"/>
  <c r="J36" i="11"/>
  <c r="I36" i="11"/>
  <c r="Z35" i="11"/>
  <c r="Y35" i="11"/>
  <c r="J35" i="11"/>
  <c r="I35" i="11"/>
  <c r="Z34" i="11"/>
  <c r="Y34" i="11"/>
  <c r="J34" i="11"/>
  <c r="I34" i="11"/>
  <c r="Z33" i="11"/>
  <c r="Y33" i="11"/>
  <c r="J33" i="11"/>
  <c r="I33" i="11"/>
  <c r="Z32" i="11"/>
  <c r="Y32" i="11"/>
  <c r="J32" i="11"/>
  <c r="I32" i="11"/>
  <c r="Z31" i="11"/>
  <c r="Y31" i="11"/>
  <c r="J31" i="11"/>
  <c r="I31" i="11"/>
  <c r="Z30" i="11"/>
  <c r="Y30" i="11"/>
  <c r="J30" i="11"/>
  <c r="I30" i="11"/>
  <c r="Z29" i="11"/>
  <c r="Y29" i="11"/>
  <c r="J29" i="11"/>
  <c r="I29" i="11"/>
  <c r="Z28" i="11"/>
  <c r="Y28" i="11"/>
  <c r="J28" i="11"/>
  <c r="I28" i="11"/>
  <c r="Z27" i="11"/>
  <c r="Y27" i="11"/>
  <c r="J27" i="11"/>
  <c r="I27" i="11"/>
  <c r="Z26" i="11"/>
  <c r="Y26" i="11"/>
  <c r="J26" i="11"/>
  <c r="I26" i="11"/>
  <c r="Z25" i="11"/>
  <c r="Y25" i="11"/>
  <c r="J25" i="11"/>
  <c r="I25" i="11"/>
  <c r="Y24" i="11"/>
  <c r="J24" i="11"/>
  <c r="I24" i="11"/>
  <c r="Y23" i="11"/>
  <c r="J23" i="11"/>
  <c r="I23" i="11"/>
  <c r="Y22" i="11"/>
  <c r="J22" i="11"/>
  <c r="I22" i="11"/>
  <c r="Y21" i="11"/>
  <c r="J21" i="11"/>
  <c r="I21" i="11"/>
  <c r="Y20" i="11"/>
  <c r="J20" i="11"/>
  <c r="I20" i="11"/>
  <c r="Y19" i="11"/>
  <c r="J19" i="11"/>
  <c r="I19" i="11"/>
  <c r="Y18" i="11"/>
  <c r="J18" i="11"/>
  <c r="I18" i="11"/>
  <c r="Y17" i="11"/>
  <c r="J17" i="11"/>
  <c r="I17" i="11"/>
  <c r="Y16" i="11"/>
  <c r="J16" i="11"/>
  <c r="I16" i="11"/>
  <c r="Y15" i="11"/>
  <c r="J15" i="11"/>
  <c r="I15" i="11"/>
  <c r="Y14" i="11"/>
  <c r="J14" i="11"/>
  <c r="I14" i="11"/>
  <c r="Z13" i="11"/>
  <c r="Y13" i="11"/>
  <c r="J13" i="11"/>
  <c r="I13" i="11"/>
  <c r="Z12" i="11"/>
  <c r="Y12" i="11"/>
  <c r="J12" i="11"/>
  <c r="I12" i="11"/>
  <c r="Z11" i="11"/>
  <c r="Y11" i="11"/>
  <c r="J11" i="11"/>
  <c r="I11" i="11"/>
  <c r="Z10" i="11"/>
  <c r="Y10" i="11"/>
  <c r="J10" i="11"/>
  <c r="I10" i="11"/>
  <c r="Z9" i="11"/>
  <c r="Y9" i="11"/>
  <c r="J9" i="11"/>
  <c r="I9" i="11"/>
  <c r="Z8" i="11"/>
  <c r="Y8" i="11"/>
  <c r="J8" i="11"/>
  <c r="I8" i="11"/>
  <c r="Z7" i="11"/>
  <c r="Y7" i="11"/>
  <c r="J7" i="11"/>
  <c r="I7" i="11"/>
  <c r="Z6" i="11"/>
  <c r="Y6" i="11"/>
  <c r="J6" i="11"/>
  <c r="I6" i="11"/>
  <c r="Z5" i="11"/>
  <c r="Y5" i="11"/>
  <c r="J5" i="11"/>
  <c r="I5" i="11"/>
  <c r="Z4" i="11"/>
  <c r="Y4" i="11"/>
  <c r="J4" i="11"/>
  <c r="I4" i="11"/>
  <c r="Z3" i="11"/>
  <c r="Y3" i="11"/>
  <c r="J3" i="11"/>
  <c r="I3" i="11"/>
  <c r="Z2" i="11"/>
  <c r="Y2" i="11"/>
  <c r="J2" i="11"/>
  <c r="I2" i="11"/>
</calcChain>
</file>

<file path=xl/sharedStrings.xml><?xml version="1.0" encoding="utf-8"?>
<sst xmlns="http://schemas.openxmlformats.org/spreadsheetml/2006/main" count="3634" uniqueCount="513">
  <si>
    <t>DBA/1J</t>
  </si>
  <si>
    <t>SJL/J</t>
  </si>
  <si>
    <t>A/J</t>
  </si>
  <si>
    <t>BALB/cByJ</t>
  </si>
  <si>
    <t>129X1/SvJ</t>
  </si>
  <si>
    <t>BALB/cJ</t>
  </si>
  <si>
    <t>FVB/NJ</t>
  </si>
  <si>
    <t>C57BL/10J</t>
  </si>
  <si>
    <t>C3H/HeJ</t>
  </si>
  <si>
    <t>C3HeB/FeJ</t>
  </si>
  <si>
    <t>Date separated</t>
  </si>
  <si>
    <t>Arrived separated</t>
  </si>
  <si>
    <t>DOB</t>
  </si>
  <si>
    <t>Arrival date</t>
  </si>
  <si>
    <t>1-2</t>
  </si>
  <si>
    <t>3-4</t>
  </si>
  <si>
    <t>5-6</t>
  </si>
  <si>
    <t>7-8</t>
  </si>
  <si>
    <t>9-10</t>
  </si>
  <si>
    <t>11-12</t>
  </si>
  <si>
    <t>13-14</t>
  </si>
  <si>
    <t>15-16</t>
  </si>
  <si>
    <t>17-18</t>
  </si>
  <si>
    <t>19-20</t>
  </si>
  <si>
    <t>21-22</t>
  </si>
  <si>
    <t>23-24</t>
  </si>
  <si>
    <t>Age at start</t>
  </si>
  <si>
    <t>Row Labels</t>
  </si>
  <si>
    <t>Grand Total</t>
  </si>
  <si>
    <t>Subject</t>
  </si>
  <si>
    <t>Strain</t>
  </si>
  <si>
    <t>Active</t>
  </si>
  <si>
    <t>Reinfs</t>
  </si>
  <si>
    <t>Wt before</t>
  </si>
  <si>
    <t>Wt After</t>
  </si>
  <si>
    <t>% Before</t>
  </si>
  <si>
    <t>% After</t>
  </si>
  <si>
    <t>Age at inst start</t>
  </si>
  <si>
    <t>Date inst started</t>
  </si>
  <si>
    <t>StartDate</t>
  </si>
  <si>
    <t>StartTime</t>
  </si>
  <si>
    <t>Group</t>
  </si>
  <si>
    <t>Box</t>
  </si>
  <si>
    <t>UniqueID</t>
  </si>
  <si>
    <t>W/in cohort ID</t>
  </si>
  <si>
    <t>Source</t>
  </si>
  <si>
    <t>Jackson</t>
  </si>
  <si>
    <t>1-3</t>
  </si>
  <si>
    <t>4-5</t>
  </si>
  <si>
    <t>6-7</t>
  </si>
  <si>
    <t>DBA/2J</t>
  </si>
  <si>
    <t>8-10</t>
  </si>
  <si>
    <t>11</t>
  </si>
  <si>
    <t>12</t>
  </si>
  <si>
    <t>Tennessee</t>
  </si>
  <si>
    <t>AKR/J</t>
  </si>
  <si>
    <t>CBA/J</t>
  </si>
  <si>
    <t>13-15</t>
  </si>
  <si>
    <t>21-23</t>
  </si>
  <si>
    <t>18-20</t>
  </si>
  <si>
    <t>16-17</t>
  </si>
  <si>
    <t>25-27</t>
  </si>
  <si>
    <t>28-29</t>
  </si>
  <si>
    <t>31-32</t>
  </si>
  <si>
    <t>33-34</t>
  </si>
  <si>
    <t>35-36</t>
  </si>
  <si>
    <t>Free-feeding weight</t>
  </si>
  <si>
    <t>4/21/13</t>
  </si>
  <si>
    <t>37-39</t>
  </si>
  <si>
    <t>40-41</t>
  </si>
  <si>
    <t>42-43</t>
  </si>
  <si>
    <t>44-45</t>
  </si>
  <si>
    <t>2/21/2013</t>
  </si>
  <si>
    <t>2/19/2013</t>
  </si>
  <si>
    <t>46-48</t>
  </si>
  <si>
    <t>49-51</t>
  </si>
  <si>
    <t>52-53</t>
  </si>
  <si>
    <t>54-56</t>
  </si>
  <si>
    <t>B575</t>
  </si>
  <si>
    <t>57-58</t>
  </si>
  <si>
    <t>59-60</t>
  </si>
  <si>
    <t>4/23/13</t>
  </si>
  <si>
    <t>REMEMBER original 1-24 from APRIL/MAY 2012 for sucrose consumption</t>
  </si>
  <si>
    <t>HAS NO TAIL</t>
  </si>
  <si>
    <t>HAD DAY OFF BETWEEN MAG TRAINING &amp; INST SESSIONS</t>
  </si>
  <si>
    <t>HAD DAY OFF BETWEEN DAY 2 and DAY 3 of INST SESSIONS</t>
  </si>
  <si>
    <t>SUCROSE RE-TEST DONE IN NEW CAGES</t>
  </si>
  <si>
    <t>KK/HlJ</t>
  </si>
  <si>
    <t>12/22/2012</t>
  </si>
  <si>
    <t>12/12/2012</t>
  </si>
  <si>
    <t>12/8/2012</t>
  </si>
  <si>
    <t>12/14/2012</t>
  </si>
  <si>
    <t>12/28/2012</t>
  </si>
  <si>
    <t>1/15/2013</t>
  </si>
  <si>
    <t>NOW NO SUCROSE CONSUMPTION TEST</t>
  </si>
  <si>
    <t>5/14/13</t>
  </si>
  <si>
    <t>5</t>
  </si>
  <si>
    <t>6</t>
  </si>
  <si>
    <t>#10 no h2o access on days 1,3 and line clogged day 2</t>
  </si>
  <si>
    <t>Date started (sucrose or food res)</t>
  </si>
  <si>
    <t>age related lack of isnt preformance?</t>
  </si>
  <si>
    <t>age related bad performance?</t>
  </si>
  <si>
    <t>day 1 data in day 3 file</t>
  </si>
  <si>
    <t>2 days off in betwewen days 1 and 2</t>
  </si>
  <si>
    <t>C57L/J</t>
  </si>
  <si>
    <t>PL/J</t>
  </si>
  <si>
    <t>MRL/MpJ</t>
  </si>
  <si>
    <t>NZB/BlNJ</t>
  </si>
  <si>
    <t>separated when arrived</t>
  </si>
  <si>
    <t>Cohort</t>
  </si>
  <si>
    <t>SM/J</t>
  </si>
  <si>
    <t>NZW/LacJ</t>
  </si>
  <si>
    <t>LP/J</t>
  </si>
  <si>
    <t>CAST/EiJ</t>
  </si>
  <si>
    <t>C57BLKS/J</t>
  </si>
  <si>
    <t>Subj #</t>
  </si>
  <si>
    <t>PWD/PhJ</t>
  </si>
  <si>
    <t>MOLF/EiJ</t>
  </si>
  <si>
    <t>separated when arrived due to fighting, 1 has hurt tail</t>
  </si>
  <si>
    <t>separated when arrived due to fighting</t>
  </si>
  <si>
    <t>#4 died</t>
  </si>
  <si>
    <t>3</t>
  </si>
  <si>
    <t>RIIIS/J</t>
  </si>
  <si>
    <t>SEA/GnJ</t>
  </si>
  <si>
    <t>#4 died. Very jumpy mice.</t>
  </si>
  <si>
    <t>P/J</t>
  </si>
  <si>
    <t>4</t>
  </si>
  <si>
    <t>NOD/SHILTJ</t>
  </si>
  <si>
    <t>KK/HIJ</t>
  </si>
  <si>
    <t>C57BL/6J</t>
  </si>
  <si>
    <t>C57J/L</t>
  </si>
  <si>
    <t>Grams fed</t>
  </si>
  <si>
    <t>Training day</t>
  </si>
  <si>
    <t>Mag wt</t>
  </si>
  <si>
    <t>Mag %</t>
  </si>
  <si>
    <t>DDY/JclSidSeyFrk</t>
  </si>
  <si>
    <t>ILS</t>
  </si>
  <si>
    <t>ActivesD1</t>
  </si>
  <si>
    <t>ReinfsD1</t>
  </si>
  <si>
    <t>Full</t>
  </si>
  <si>
    <t>ZALENDE/EiJ</t>
  </si>
  <si>
    <t>BUB/BnJ</t>
  </si>
  <si>
    <t>9-11</t>
  </si>
  <si>
    <t>#8 died</t>
  </si>
  <si>
    <t>7</t>
  </si>
  <si>
    <t>I/LnJ</t>
  </si>
  <si>
    <t>CE/J</t>
  </si>
  <si>
    <t>ISS</t>
  </si>
  <si>
    <t>ActiveLG</t>
  </si>
  <si>
    <t>ReinfsLG</t>
  </si>
  <si>
    <t>ActivesD1LG</t>
  </si>
  <si>
    <t>ReinfsD1LG</t>
  </si>
  <si>
    <t>ActivesD2</t>
  </si>
  <si>
    <t>ReinfsD2</t>
  </si>
  <si>
    <t>ActivesD3</t>
  </si>
  <si>
    <t>ReinfsD3</t>
  </si>
  <si>
    <t>ActivesD2LG</t>
  </si>
  <si>
    <t>ReinfsD2LG</t>
  </si>
  <si>
    <t>ActivesD3LG</t>
  </si>
  <si>
    <t>ReinfsD3LG</t>
  </si>
  <si>
    <t>10</t>
  </si>
  <si>
    <t>2-3</t>
  </si>
  <si>
    <t>8-9</t>
  </si>
  <si>
    <t>13</t>
  </si>
  <si>
    <t>HEARING LOSS</t>
  </si>
  <si>
    <t>BXD40/TyJ</t>
  </si>
  <si>
    <t>BXD9/TyJ</t>
  </si>
  <si>
    <t>BXD1/TyJ</t>
  </si>
  <si>
    <t>BXD24/TyJ</t>
  </si>
  <si>
    <t>BXD29/TyJ</t>
  </si>
  <si>
    <t>BXD39/TyJ</t>
  </si>
  <si>
    <t>BXD42/TyJ</t>
  </si>
  <si>
    <t>BXD32/TyJ</t>
  </si>
  <si>
    <t>BXD31/TyJ</t>
  </si>
  <si>
    <t>BXD68/RwwJ</t>
  </si>
  <si>
    <t>BXD60/RwwJ</t>
  </si>
  <si>
    <t>BXD100/RwwJ</t>
  </si>
  <si>
    <t>BXD65/RwwJ</t>
  </si>
  <si>
    <t>BXD51/RwwJ</t>
  </si>
  <si>
    <t>BXD77/RwwJ</t>
  </si>
  <si>
    <t>BXD62/RwwJ</t>
  </si>
  <si>
    <t>BXD96/RwwJ</t>
  </si>
  <si>
    <t>BXD66/RwwJ</t>
  </si>
  <si>
    <t>BXD48/RwwJ</t>
  </si>
  <si>
    <t>BXD90/RwwJ</t>
  </si>
  <si>
    <t>BXD95/RwwJ</t>
  </si>
  <si>
    <t>BXD84/RwwJ</t>
  </si>
  <si>
    <t>NOD/ShiLtJ</t>
  </si>
  <si>
    <t>NON/ShiLtJ</t>
  </si>
  <si>
    <t>FID</t>
  </si>
  <si>
    <t>IID</t>
  </si>
  <si>
    <t>AKXL6A.TyJ</t>
  </si>
  <si>
    <t>AKXL13.TyJ</t>
  </si>
  <si>
    <t>AKXL16A.TyJ</t>
  </si>
  <si>
    <t>AKXL17.TyJ</t>
  </si>
  <si>
    <t>AKXL17A.TyJ</t>
  </si>
  <si>
    <t>AKXL21.TyJ</t>
  </si>
  <si>
    <t>AKXL24.TyJ</t>
  </si>
  <si>
    <t>AKXL29.TyJ</t>
  </si>
  <si>
    <t>AKXL37.TyJ</t>
  </si>
  <si>
    <t>AKXL38.TyJ</t>
  </si>
  <si>
    <t>AKXL38A.TyJ</t>
  </si>
  <si>
    <t>AKXL39.TyJ</t>
  </si>
  <si>
    <t>AKXL43.TyJ</t>
  </si>
  <si>
    <t>AKXL46.TyJ</t>
  </si>
  <si>
    <t>AXB1.PgnJ</t>
  </si>
  <si>
    <t>AXB2.PgnJ</t>
  </si>
  <si>
    <t>AXB4.PgnJ</t>
  </si>
  <si>
    <t>AXB5.PgnJ</t>
  </si>
  <si>
    <t>AXB6.PgnJ</t>
  </si>
  <si>
    <t>AXB8.PgnJ</t>
  </si>
  <si>
    <t>AXB10.PgnJ</t>
  </si>
  <si>
    <t>AXB12.PgnJ</t>
  </si>
  <si>
    <t>AXB13.PgnJ</t>
  </si>
  <si>
    <t>AXB15.PgnJ</t>
  </si>
  <si>
    <t>AXB19.PgnJ</t>
  </si>
  <si>
    <t>AXB19a.PgnJ</t>
  </si>
  <si>
    <t>AXB19b.PgnJ</t>
  </si>
  <si>
    <t>AXB23.PgnJ</t>
  </si>
  <si>
    <t>AXB24.PgnJ</t>
  </si>
  <si>
    <t>BXA1.PgnJ</t>
  </si>
  <si>
    <t>BXA2.PgnJ</t>
  </si>
  <si>
    <t>BXA4.PgnJ</t>
  </si>
  <si>
    <t>BXA7.PgnJ</t>
  </si>
  <si>
    <t>BXA8.PgnJ</t>
  </si>
  <si>
    <t>BXA11.PgnJ</t>
  </si>
  <si>
    <t>BXA12.PgnJ</t>
  </si>
  <si>
    <t>BXA13.PgnJ</t>
  </si>
  <si>
    <t>BXA14.PgnJ</t>
  </si>
  <si>
    <t>BXA16.PgnJ</t>
  </si>
  <si>
    <t>BXA24.PgnJ</t>
  </si>
  <si>
    <t>BXA25.PgnJ</t>
  </si>
  <si>
    <t>BXA26.PgnJ</t>
  </si>
  <si>
    <t>BXD1.TyJ</t>
  </si>
  <si>
    <t>BXD2.TyJ</t>
  </si>
  <si>
    <t>BXD5.TyJ</t>
  </si>
  <si>
    <t>BXD6.TyJ</t>
  </si>
  <si>
    <t>BXD8.TyJ</t>
  </si>
  <si>
    <t>BXD9.TyJ</t>
  </si>
  <si>
    <t>BXD11.TyJ</t>
  </si>
  <si>
    <t>BXD12.TyJ</t>
  </si>
  <si>
    <t>BXD13.TyJ</t>
  </si>
  <si>
    <t>BXD14.TyJ</t>
  </si>
  <si>
    <t>BXD15.TyJ</t>
  </si>
  <si>
    <t>BXD16.TyJ</t>
  </si>
  <si>
    <t>BXD18.TyJ</t>
  </si>
  <si>
    <t>BXD19.TyJ</t>
  </si>
  <si>
    <t>BXD20.TyJ</t>
  </si>
  <si>
    <t>BXD21.TyJ</t>
  </si>
  <si>
    <t>BXD22.TyJ</t>
  </si>
  <si>
    <t>BXD24.TyJ</t>
  </si>
  <si>
    <t>BXD27.TyJ</t>
  </si>
  <si>
    <t>BXD28.TyJ</t>
  </si>
  <si>
    <t>BXD29.TyJ</t>
  </si>
  <si>
    <t>BXD31.TyJ</t>
  </si>
  <si>
    <t>BXD32.TyJ</t>
  </si>
  <si>
    <t>BXD33.TyJ</t>
  </si>
  <si>
    <t>BXD34.TyJ</t>
  </si>
  <si>
    <t>BXD36.TyJ</t>
  </si>
  <si>
    <t>BXD38.TyJ</t>
  </si>
  <si>
    <t>BXD39.TyJ</t>
  </si>
  <si>
    <t>BXD40.TyJ</t>
  </si>
  <si>
    <t>BXD42.TyJ</t>
  </si>
  <si>
    <t>BXD43.RwwJ</t>
  </si>
  <si>
    <t>BXD44.RwwJ</t>
  </si>
  <si>
    <t>BXD45.RwwJ</t>
  </si>
  <si>
    <t>BXD48.RwwJ</t>
  </si>
  <si>
    <t>BXD49.RwwJ</t>
  </si>
  <si>
    <t>BXD50.RwwJ</t>
  </si>
  <si>
    <t>BXD51.RwwJ</t>
  </si>
  <si>
    <t>BXD55.RwwJ</t>
  </si>
  <si>
    <t>BXD56.RwwJ</t>
  </si>
  <si>
    <t>BXD60.RwwJ</t>
  </si>
  <si>
    <t>BXD61.RwwJ</t>
  </si>
  <si>
    <t>BXD62.RwwJ</t>
  </si>
  <si>
    <t>BXD63.RwwJ</t>
  </si>
  <si>
    <t>BXD64.RwwJ</t>
  </si>
  <si>
    <t>BXD65.RwwJ</t>
  </si>
  <si>
    <t>BXD66.RwwJ</t>
  </si>
  <si>
    <t>BXD67.RwwJ</t>
  </si>
  <si>
    <t>BXD68.RwwJ</t>
  </si>
  <si>
    <t>BXD69.RwwJ</t>
  </si>
  <si>
    <t>BXD70.RwwJ</t>
  </si>
  <si>
    <t>BXD71.RwwJ</t>
  </si>
  <si>
    <t>BXD73.RwwJ</t>
  </si>
  <si>
    <t>BXD74.RwwJ</t>
  </si>
  <si>
    <t>BXD75.RwwJ</t>
  </si>
  <si>
    <t>BXD77.RwwJ</t>
  </si>
  <si>
    <t>BXD79.RwwJ</t>
  </si>
  <si>
    <t>BXD80.RwwJ</t>
  </si>
  <si>
    <t>BXD81.RwwJ</t>
  </si>
  <si>
    <t>BXD84.RwwJ</t>
  </si>
  <si>
    <t>BXD85.RwwJ</t>
  </si>
  <si>
    <t>BXD86.RwwJ</t>
  </si>
  <si>
    <t>BXD87.RwwJ</t>
  </si>
  <si>
    <t>BXD89.RwwJ</t>
  </si>
  <si>
    <t>BXD90.RwwJ</t>
  </si>
  <si>
    <t>BXD92.RwwJ</t>
  </si>
  <si>
    <t>BXD95.RwwJ</t>
  </si>
  <si>
    <t>BXD96.RwwJ</t>
  </si>
  <si>
    <t>BXD97.RwwJ</t>
  </si>
  <si>
    <t>BXD98.RwwJ</t>
  </si>
  <si>
    <t>BXD99.RwwJ</t>
  </si>
  <si>
    <t>BXD100.RwwJ</t>
  </si>
  <si>
    <t>BXD102.RwwJ</t>
  </si>
  <si>
    <t>BXH2.TyJ</t>
  </si>
  <si>
    <t>BXH4.TyJ</t>
  </si>
  <si>
    <t>BXH6.TyJ</t>
  </si>
  <si>
    <t>BXH7.TyJ</t>
  </si>
  <si>
    <t>BXH8.TyJ</t>
  </si>
  <si>
    <t>BXH9.TyJ</t>
  </si>
  <si>
    <t>BXH10.TyJ</t>
  </si>
  <si>
    <t>BXH14.TyJ</t>
  </si>
  <si>
    <t>BXH19.TyJ</t>
  </si>
  <si>
    <t>BXH20.KccJ</t>
  </si>
  <si>
    <t>BXH22.KccJ</t>
  </si>
  <si>
    <t>CXB1.ByJ</t>
  </si>
  <si>
    <t>CXB2.ByJ</t>
  </si>
  <si>
    <t>CXB3.ByJ</t>
  </si>
  <si>
    <t>CXB4.ByJ</t>
  </si>
  <si>
    <t>CXB6.ByJ</t>
  </si>
  <si>
    <t>CXB7.ByJ</t>
  </si>
  <si>
    <t>CXB8.HiAJ</t>
  </si>
  <si>
    <t>CXB9.HiAJ</t>
  </si>
  <si>
    <t>CXB11.HiAJ</t>
  </si>
  <si>
    <t>CXB12.HiAJ</t>
  </si>
  <si>
    <t>CXB13.HiAJ</t>
  </si>
  <si>
    <t>GR.J</t>
  </si>
  <si>
    <t>129X1.SvJ</t>
  </si>
  <si>
    <t>A.J</t>
  </si>
  <si>
    <t>AKR.J</t>
  </si>
  <si>
    <t>BALB.cByJ</t>
  </si>
  <si>
    <t>BALB.cJ</t>
  </si>
  <si>
    <t>BPH.2J</t>
  </si>
  <si>
    <t>BPL.1J</t>
  </si>
  <si>
    <t>BUB.BnJ</t>
  </si>
  <si>
    <t>C3H.HeJ</t>
  </si>
  <si>
    <t>C57BL.6J</t>
  </si>
  <si>
    <t>C57BLKS.J</t>
  </si>
  <si>
    <t>C57BR.cdJ</t>
  </si>
  <si>
    <t>C57L.J</t>
  </si>
  <si>
    <t>C58.J</t>
  </si>
  <si>
    <t>CBA.J</t>
  </si>
  <si>
    <t>CE.J</t>
  </si>
  <si>
    <t>DBA.2J</t>
  </si>
  <si>
    <t>FVB.NJ</t>
  </si>
  <si>
    <t>I.LnJ</t>
  </si>
  <si>
    <t>KK.HlJ</t>
  </si>
  <si>
    <t>LG.J</t>
  </si>
  <si>
    <t>LP.J</t>
  </si>
  <si>
    <t>MA.MyJ</t>
  </si>
  <si>
    <t>MRL.MpJ</t>
  </si>
  <si>
    <t>NOD.ShiLtJ</t>
  </si>
  <si>
    <t>NON.ShiLtJ</t>
  </si>
  <si>
    <t>NOR.LtJ</t>
  </si>
  <si>
    <t>NZB.BlNJ</t>
  </si>
  <si>
    <t>NZW.LacJ</t>
  </si>
  <si>
    <t>P.J</t>
  </si>
  <si>
    <t>PL.J</t>
  </si>
  <si>
    <t>RF.J</t>
  </si>
  <si>
    <t>RIIIS.J</t>
  </si>
  <si>
    <t>SEA.GnJ</t>
  </si>
  <si>
    <t>SJL.J</t>
  </si>
  <si>
    <t>SM.J</t>
  </si>
  <si>
    <t>SWR.J</t>
  </si>
  <si>
    <t>Transf. from Lusis</t>
  </si>
  <si>
    <t>CXB1/ByJ</t>
  </si>
  <si>
    <t>1-4</t>
  </si>
  <si>
    <t>5-8</t>
  </si>
  <si>
    <t xml:space="preserve">ABJ/Le 000276 </t>
  </si>
  <si>
    <t xml:space="preserve">BDP/J 000652 </t>
  </si>
  <si>
    <t xml:space="preserve">BUB/BnJ 000653 </t>
  </si>
  <si>
    <t xml:space="preserve">C3H/HeJ 000659 </t>
  </si>
  <si>
    <t xml:space="preserve">C3H/HeOuJ 000635 </t>
  </si>
  <si>
    <t xml:space="preserve">C3H/HeSnJ 000661 </t>
  </si>
  <si>
    <t xml:space="preserve">C3HeB/FeJ 000658 </t>
  </si>
  <si>
    <t xml:space="preserve">CBA/J 000656 </t>
  </si>
  <si>
    <t xml:space="preserve">DA/HuSn 000660 </t>
  </si>
  <si>
    <t xml:space="preserve">FL/1Re 000023 </t>
  </si>
  <si>
    <t>FVB/NJ 001800</t>
  </si>
  <si>
    <t xml:space="preserve">P/J 000679 </t>
  </si>
  <si>
    <t xml:space="preserve">PL/J 000680 </t>
  </si>
  <si>
    <t xml:space="preserve">SB/Le 000269 </t>
  </si>
  <si>
    <t xml:space="preserve">SJL/J 000686 </t>
  </si>
  <si>
    <t xml:space="preserve">ST/bJ 000688 </t>
  </si>
  <si>
    <t xml:space="preserve">SWR/J 000689 </t>
  </si>
  <si>
    <t xml:space="preserve">WB/ReJ KitW/+ 000692 </t>
  </si>
  <si>
    <t xml:space="preserve">WC/ReJ-KitlSl/+ 000693 </t>
  </si>
  <si>
    <t>BLIND:</t>
  </si>
  <si>
    <t>cage fighting (aggressor)</t>
  </si>
  <si>
    <t>7-9</t>
  </si>
  <si>
    <t>4-6</t>
  </si>
  <si>
    <t>10-12</t>
  </si>
  <si>
    <t>cage id 5</t>
  </si>
  <si>
    <t>cage fighting (non aggressors)</t>
  </si>
  <si>
    <t>cage fighting (agressor)</t>
  </si>
  <si>
    <t>15-17</t>
  </si>
  <si>
    <t>21</t>
  </si>
  <si>
    <t>22-23</t>
  </si>
  <si>
    <t>24-26</t>
  </si>
  <si>
    <t>#9 separated from 7 &amp; 8 for fighting</t>
  </si>
  <si>
    <t>LINE BAD?</t>
  </si>
  <si>
    <t>fighting - injured - treated with topical antibiotic &amp; pramoxine</t>
  </si>
  <si>
    <t>fighting - badly injured - treated with topical antibiotic &amp; pramoxine</t>
  </si>
  <si>
    <t>#9 separated from 7 &amp; 8 for fighting, who are injured; 8 badly injured; 7 &amp; 8 treated with topical antibiotic &amp; pramoxine</t>
  </si>
  <si>
    <t>No house light?? 1/29/14</t>
  </si>
  <si>
    <t>BOX 3 MAY HAVE HAD BAD LINE FROM 9/3/13 TO 9/10/13</t>
  </si>
  <si>
    <t>box 8 no tone generator, unkown duration; no mag light 1/29/14</t>
  </si>
  <si>
    <t>box 12 found without a houselight 1/29/14</t>
  </si>
  <si>
    <t>(blank)</t>
  </si>
  <si>
    <t>BTBR T+ tf/J</t>
  </si>
  <si>
    <t>LG/J</t>
  </si>
  <si>
    <t xml:space="preserve">AXB13=AXB14: 92% identity </t>
  </si>
  <si>
    <t xml:space="preserve">AXB18=AXB19=AXB20: 97 to 99% identity </t>
  </si>
  <si>
    <t>BXA8=BXA17: 99.8% identity</t>
  </si>
  <si>
    <t>BXHA1/Sr = BXH20/Kcc</t>
  </si>
  <si>
    <t>BXHA2/Sr = BXH21/Kcc</t>
  </si>
  <si>
    <t>BXHB2/Sr = BXH22/Kcc</t>
  </si>
  <si>
    <t>BXHE1/Sr = B6cC3-1/Kcc (backcrossed to B6 and a recombinant congenic)</t>
  </si>
  <si>
    <t>BXD80 = BXD73a</t>
  </si>
  <si>
    <t>BXD103= BXD73b</t>
  </si>
  <si>
    <t>BTBR.T.tf.J</t>
  </si>
  <si>
    <t>Lusis</t>
  </si>
  <si>
    <t>BXH22/KccJ</t>
  </si>
  <si>
    <t>AXB8/PgnJ</t>
  </si>
  <si>
    <t>BPL/1J</t>
  </si>
  <si>
    <t>BXA13/PgnJ</t>
  </si>
  <si>
    <t>BXH8/TyJ</t>
  </si>
  <si>
    <t>BXA16/PgnJ</t>
  </si>
  <si>
    <t>food left?</t>
  </si>
  <si>
    <t>food res</t>
  </si>
  <si>
    <t>was done</t>
  </si>
  <si>
    <t>later in the</t>
  </si>
  <si>
    <t>day after</t>
  </si>
  <si>
    <t xml:space="preserve">changing </t>
  </si>
  <si>
    <t>their cage</t>
  </si>
  <si>
    <t>on 3/15/14 this mouse was found laying on its side, immobile, sort of like a severe head tilt, after sucrose exposure day 2.   Recovered activity.  Gave additional food &amp; water access alone</t>
  </si>
  <si>
    <t>BXH4/TyJ</t>
  </si>
  <si>
    <t>BXA4/PgnJ</t>
  </si>
  <si>
    <t>BXD75/RwwJ</t>
  </si>
  <si>
    <t>BXH6/TyJ</t>
  </si>
  <si>
    <t>Cohort 13 food restricted @ midnight 3/15/2014</t>
  </si>
  <si>
    <t>housed alone after weaning</t>
  </si>
  <si>
    <t>5-7</t>
  </si>
  <si>
    <t>12-13</t>
  </si>
  <si>
    <t>14-16</t>
  </si>
  <si>
    <t>free feeding weights/mice switched?</t>
  </si>
  <si>
    <t>subj # is 98 in macro for Mag, Day 1</t>
  </si>
  <si>
    <t>***CXB1/ByJ and BXH22/KccJ switched in Mag, D1 data file</t>
  </si>
  <si>
    <t>BTBR/T/tf/J</t>
  </si>
  <si>
    <t>BXH9/TyJ</t>
  </si>
  <si>
    <t>AXB19a/PgnJ</t>
  </si>
  <si>
    <t>BXA25/PgnJ</t>
  </si>
  <si>
    <t>CXB8/HiAJ</t>
  </si>
  <si>
    <t>CXB11/HiAJ</t>
  </si>
  <si>
    <t>C58/J</t>
  </si>
  <si>
    <t>had to give 1g chow (.5 per mouse) during 2nd day of 4h sucrose access (weight too low)</t>
  </si>
  <si>
    <t>BXH19/TyJ</t>
  </si>
  <si>
    <t>BXA14/PgnJ</t>
  </si>
  <si>
    <t>young</t>
  </si>
  <si>
    <t>AXB15/PgnJ</t>
  </si>
  <si>
    <t>WILD DERIVED</t>
  </si>
  <si>
    <t>AXB1/PgnJ</t>
  </si>
  <si>
    <t>AXB23/PgnJ</t>
  </si>
  <si>
    <t>NOR/LtJ</t>
  </si>
  <si>
    <t>3-5</t>
  </si>
  <si>
    <t>6-8</t>
  </si>
  <si>
    <t>14-15</t>
  </si>
  <si>
    <t>Not (only 1 run of 2)</t>
  </si>
  <si>
    <t>11, 16</t>
  </si>
  <si>
    <t>originally 3, one found dead 2/27/14</t>
  </si>
  <si>
    <t>same cage</t>
  </si>
  <si>
    <t>first press was me accidentally</t>
  </si>
  <si>
    <t>no h2o during day 1</t>
  </si>
  <si>
    <t>no h2o</t>
  </si>
  <si>
    <t>syringe temporarily out @ 494 infusions</t>
  </si>
  <si>
    <t>emptied syringe</t>
  </si>
  <si>
    <t>jumpy</t>
  </si>
  <si>
    <t>low wt during food res</t>
  </si>
  <si>
    <t>1st press was me accidentally</t>
  </si>
  <si>
    <t>(recommended to collapse data)</t>
  </si>
  <si>
    <t>BXD92 -&gt; BXD65b</t>
  </si>
  <si>
    <t>BXD96 -&gt; BXD48a; BXD96 is 94% identical original BXD48</t>
  </si>
  <si>
    <t>BXD97 -&gt; BXD65a</t>
  </si>
  <si>
    <r>
      <t>The CXB set is the first, oldest, and smallest group of mouse recombinant inbred (</t>
    </r>
    <r>
      <rPr>
        <b/>
        <sz val="11"/>
        <color rgb="FF0000DD"/>
        <rFont val="Verdana"/>
        <family val="2"/>
      </rPr>
      <t>RI</t>
    </r>
    <r>
      <rPr>
        <sz val="10"/>
        <color rgb="FF222222"/>
        <rFont val="Verdana"/>
        <family val="2"/>
      </rPr>
      <t>) strains with the first publication by Donald Bailey in 1971 (Recombinant-inbred strains. An aid to finding identity, linkage, and function of histocompatibility and other genes. </t>
    </r>
    <r>
      <rPr>
        <b/>
        <sz val="11"/>
        <color rgb="FF0000DD"/>
        <rFont val="Verdana"/>
        <family val="2"/>
      </rPr>
      <t>Transplantation 11:325-328</t>
    </r>
  </si>
  <si>
    <t>BXD1 through 30 make up the first epoch. Breeding for this group of BXD strains started in about 1970, with the first publication of fully inbred BXD strains in 1975 (Taylor et al., 1983, see Trait ID 10715).</t>
  </si>
  <si>
    <t>x</t>
  </si>
  <si>
    <t>x hipp</t>
  </si>
  <si>
    <t>XXXX</t>
  </si>
  <si>
    <t>BXA7/PgnJ</t>
  </si>
  <si>
    <t>AXB6/PgnJ</t>
  </si>
  <si>
    <t>AXB13/PgnJ</t>
  </si>
  <si>
    <t>BXH10/TyJ</t>
  </si>
  <si>
    <t>Count of Active</t>
  </si>
  <si>
    <t>bxa13</t>
  </si>
  <si>
    <t>AXB19 (other exp)</t>
  </si>
  <si>
    <t>CXB3/HiAJ (other exp)</t>
  </si>
  <si>
    <t>priorty colors (rightward is less)</t>
  </si>
  <si>
    <t>DBA.1J</t>
  </si>
  <si>
    <t>C3HeB.FeJ</t>
  </si>
  <si>
    <t>C57BL.10J</t>
  </si>
  <si>
    <t>129S1/SvImJ</t>
  </si>
  <si>
    <t>129S1.SvImJ</t>
  </si>
  <si>
    <t>food res 1 day late</t>
  </si>
  <si>
    <t>CXB9/HiAJ</t>
  </si>
  <si>
    <t>MA/MyJ</t>
  </si>
  <si>
    <t>SWR/J</t>
  </si>
  <si>
    <t>C57BR/cdJ</t>
  </si>
  <si>
    <t>cagemate sac'd</t>
  </si>
  <si>
    <t>1,2</t>
  </si>
  <si>
    <t>4,15-16</t>
  </si>
  <si>
    <t>14</t>
  </si>
  <si>
    <t>SWR/J mice may also be used as controls for comparison to the autoimmune diabetic NOD/ShiLtJ mice (Stock No. 001976), especially for experiments examining the aberrant immune functions of NOD/ShiLtJ mice. Both NOD and SWR/J mice are derived from Swiss mice. SWR/J are in some cases more suitable than random bred Swiss ICR mice because of their genetic uniformity. Unlike NOD/ShiLtJ mice they are not immunocompromised, and they are genetically very different from NOD. SWR/J mice appear to be the only inbred carrying the alleleSoaa (Taster) characterized by avoidance of sucrose octaacetate solutions at low concentrations (&lt; 10-3M).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</si>
</sst>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00"/>
  </numFmts>
  <fonts count="33" x14ac:knownFonts="1">
    <font>
      <sz val="11"/>
      <color theme="1"/>
      <name val="Calibri"/>
      <family val="2"/>
      <scheme val="minor"/>
    </font>
    <font>
      <sz val="11"/>
      <color theme="1"/>
      <name val="Calibri"/>
      <family val="2"/>
      <scheme val="minor"/>
    </font>
    <font>
      <sz val="11"/>
      <color rgb="FF9C6500"/>
      <name val="Calibri"/>
      <family val="2"/>
      <scheme val="minor"/>
    </font>
    <font>
      <b/>
      <sz val="11"/>
      <color theme="1"/>
      <name val="Calibri"/>
      <family val="2"/>
      <scheme val="minor"/>
    </font>
    <font>
      <sz val="10"/>
      <name val="Verdana"/>
      <family val="2"/>
    </font>
    <font>
      <sz val="10"/>
      <name val="Verdana"/>
      <family val="2"/>
    </font>
    <font>
      <sz val="1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b/>
      <u/>
      <sz val="11"/>
      <color theme="1"/>
      <name val="Calibri"/>
      <family val="2"/>
      <scheme val="minor"/>
    </font>
    <font>
      <sz val="11"/>
      <color theme="0" tint="-0.34998626667073579"/>
      <name val="Calibri"/>
      <family val="2"/>
      <scheme val="minor"/>
    </font>
    <font>
      <sz val="11"/>
      <color theme="1" tint="4.9989318521683403E-2"/>
      <name val="Calibri"/>
      <family val="2"/>
      <scheme val="minor"/>
    </font>
    <font>
      <sz val="11"/>
      <color theme="1" tint="4.9989318521683403E-2"/>
      <name val="Calibri"/>
      <family val="2"/>
    </font>
    <font>
      <sz val="11"/>
      <color rgb="FF222222"/>
      <name val="Calibri"/>
      <family val="2"/>
    </font>
    <font>
      <sz val="11"/>
      <color rgb="FF222222"/>
      <name val="Calibri"/>
      <family val="2"/>
      <scheme val="minor"/>
    </font>
    <font>
      <sz val="10"/>
      <color rgb="FF222222"/>
      <name val="Arial"/>
      <family val="2"/>
    </font>
    <font>
      <sz val="10"/>
      <color rgb="FF222222"/>
      <name val="Verdana"/>
      <family val="2"/>
    </font>
    <font>
      <b/>
      <sz val="11"/>
      <color rgb="FF0000DD"/>
      <name val="Verdana"/>
      <family val="2"/>
    </font>
    <font>
      <u/>
      <sz val="11"/>
      <color theme="10"/>
      <name val="Calibri"/>
      <family val="2"/>
      <scheme val="minor"/>
    </font>
    <font>
      <sz val="10"/>
      <color rgb="FF000000"/>
      <name val="Tahoma"/>
      <family val="2"/>
    </font>
    <font>
      <sz val="11"/>
      <color rgb="FF000000"/>
      <name val="Calibri"/>
      <family val="2"/>
    </font>
  </fonts>
  <fills count="41">
    <fill>
      <patternFill patternType="none"/>
    </fill>
    <fill>
      <patternFill patternType="gray125"/>
    </fill>
    <fill>
      <patternFill patternType="solid">
        <fgColor rgb="FFFFEB9C"/>
      </patternFill>
    </fill>
    <fill>
      <patternFill patternType="solid">
        <fgColor rgb="FFFFFF00"/>
        <bgColor indexed="64"/>
      </patternFill>
    </fill>
    <fill>
      <patternFill patternType="solid">
        <fgColor rgb="FF92D050"/>
        <bgColor indexed="64"/>
      </patternFill>
    </fill>
    <fill>
      <patternFill patternType="solid">
        <fgColor rgb="FFFF0000"/>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30A0"/>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rgb="FF0070C0"/>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theme="4" tint="0.39997558519241921"/>
      </bottom>
      <diagonal/>
    </border>
    <border>
      <left style="thin">
        <color rgb="FF000000"/>
      </left>
      <right style="thin">
        <color rgb="FF000000"/>
      </right>
      <top style="thin">
        <color rgb="FF000000"/>
      </top>
      <bottom style="thin">
        <color rgb="FF000000"/>
      </bottom>
      <diagonal/>
    </border>
  </borders>
  <cellStyleXfs count="45">
    <xf numFmtId="0" fontId="0" fillId="0" borderId="0"/>
    <xf numFmtId="0" fontId="2" fillId="2" borderId="0" applyNumberFormat="0" applyBorder="0" applyAlignment="0" applyProtection="0"/>
    <xf numFmtId="0" fontId="4" fillId="0" borderId="0"/>
    <xf numFmtId="0" fontId="4" fillId="0" borderId="0"/>
    <xf numFmtId="0" fontId="7" fillId="0" borderId="0" applyNumberFormat="0" applyFill="0" applyBorder="0" applyAlignment="0" applyProtection="0"/>
    <xf numFmtId="0" fontId="8" fillId="0" borderId="1" applyNumberFormat="0" applyFill="0" applyAlignment="0" applyProtection="0"/>
    <xf numFmtId="0" fontId="9" fillId="0" borderId="2" applyNumberFormat="0" applyFill="0" applyAlignment="0" applyProtection="0"/>
    <xf numFmtId="0" fontId="10" fillId="0" borderId="3" applyNumberFormat="0" applyFill="0" applyAlignment="0" applyProtection="0"/>
    <xf numFmtId="0" fontId="10" fillId="0" borderId="0" applyNumberFormat="0" applyFill="0" applyBorder="0" applyAlignment="0" applyProtection="0"/>
    <xf numFmtId="0" fontId="11" fillId="7" borderId="0" applyNumberFormat="0" applyBorder="0" applyAlignment="0" applyProtection="0"/>
    <xf numFmtId="0" fontId="12" fillId="8" borderId="0" applyNumberFormat="0" applyBorder="0" applyAlignment="0" applyProtection="0"/>
    <xf numFmtId="0" fontId="13" fillId="9" borderId="4" applyNumberFormat="0" applyAlignment="0" applyProtection="0"/>
    <xf numFmtId="0" fontId="14" fillId="10" borderId="5" applyNumberFormat="0" applyAlignment="0" applyProtection="0"/>
    <xf numFmtId="0" fontId="15" fillId="10" borderId="4" applyNumberFormat="0" applyAlignment="0" applyProtection="0"/>
    <xf numFmtId="0" fontId="16" fillId="0" borderId="6" applyNumberFormat="0" applyFill="0" applyAlignment="0" applyProtection="0"/>
    <xf numFmtId="0" fontId="17" fillId="11" borderId="7" applyNumberFormat="0" applyAlignment="0" applyProtection="0"/>
    <xf numFmtId="0" fontId="18" fillId="0" borderId="0" applyNumberFormat="0" applyFill="0" applyBorder="0" applyAlignment="0" applyProtection="0"/>
    <xf numFmtId="0" fontId="1" fillId="12" borderId="8" applyNumberFormat="0" applyFont="0" applyAlignment="0" applyProtection="0"/>
    <xf numFmtId="0" fontId="19" fillId="0" borderId="0" applyNumberFormat="0" applyFill="0" applyBorder="0" applyAlignment="0" applyProtection="0"/>
    <xf numFmtId="0" fontId="3" fillId="0" borderId="9" applyNumberFormat="0" applyFill="0" applyAlignment="0" applyProtection="0"/>
    <xf numFmtId="0" fontId="20"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20" fillId="16" borderId="0" applyNumberFormat="0" applyBorder="0" applyAlignment="0" applyProtection="0"/>
    <xf numFmtId="0" fontId="20"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20" fillId="20" borderId="0" applyNumberFormat="0" applyBorder="0" applyAlignment="0" applyProtection="0"/>
    <xf numFmtId="0" fontId="20"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20" fillId="24" borderId="0" applyNumberFormat="0" applyBorder="0" applyAlignment="0" applyProtection="0"/>
    <xf numFmtId="0" fontId="20"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20" fillId="28" borderId="0" applyNumberFormat="0" applyBorder="0" applyAlignment="0" applyProtection="0"/>
    <xf numFmtId="0" fontId="20"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20" fillId="32" borderId="0" applyNumberFormat="0" applyBorder="0" applyAlignment="0" applyProtection="0"/>
    <xf numFmtId="0" fontId="20"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20" fillId="36" borderId="0" applyNumberFormat="0" applyBorder="0" applyAlignment="0" applyProtection="0"/>
    <xf numFmtId="0" fontId="30" fillId="0" borderId="0" applyNumberFormat="0" applyFill="0" applyBorder="0" applyAlignment="0" applyProtection="0"/>
  </cellStyleXfs>
  <cellXfs count="140">
    <xf numFmtId="0" fontId="0" fillId="0" borderId="0" xfId="0"/>
    <xf numFmtId="14" fontId="0" fillId="0" borderId="0" xfId="0" applyNumberFormat="1"/>
    <xf numFmtId="1" fontId="0" fillId="0" borderId="0" xfId="0" applyNumberFormat="1"/>
    <xf numFmtId="49" fontId="0" fillId="0" borderId="0" xfId="0" applyNumberFormat="1"/>
    <xf numFmtId="0" fontId="0" fillId="0" borderId="0" xfId="0" applyNumberFormat="1"/>
    <xf numFmtId="0" fontId="0" fillId="3" borderId="0" xfId="0" applyFill="1"/>
    <xf numFmtId="0" fontId="0" fillId="0" borderId="0" xfId="0" applyFill="1"/>
    <xf numFmtId="16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0" fillId="4" borderId="0" xfId="0" applyFill="1"/>
    <xf numFmtId="49" fontId="5" fillId="0" borderId="0" xfId="2" applyNumberFormat="1" applyFont="1"/>
    <xf numFmtId="0" fontId="0" fillId="5" borderId="0" xfId="0" applyFill="1"/>
    <xf numFmtId="14" fontId="0" fillId="0" borderId="0" xfId="0" applyNumberFormat="1" applyFill="1"/>
    <xf numFmtId="0" fontId="0" fillId="6" borderId="0" xfId="0" applyFill="1"/>
    <xf numFmtId="49" fontId="4" fillId="0" borderId="0" xfId="2" applyNumberFormat="1" applyFont="1" applyFill="1"/>
    <xf numFmtId="1" fontId="0" fillId="0" borderId="0" xfId="0" applyNumberFormat="1" applyAlignment="1">
      <alignment horizontal="left"/>
    </xf>
    <xf numFmtId="0" fontId="0" fillId="0" borderId="0" xfId="0" applyFill="1" applyBorder="1"/>
    <xf numFmtId="49" fontId="4" fillId="0" borderId="0" xfId="0" applyNumberFormat="1" applyFont="1" applyFill="1" applyBorder="1"/>
    <xf numFmtId="14" fontId="0" fillId="0" borderId="0" xfId="0" applyNumberFormat="1" applyFill="1" applyBorder="1"/>
    <xf numFmtId="9" fontId="0" fillId="0" borderId="0" xfId="0" applyNumberFormat="1"/>
    <xf numFmtId="0" fontId="0" fillId="0" borderId="0" xfId="0"/>
    <xf numFmtId="0" fontId="6" fillId="0" borderId="0" xfId="0" applyFont="1" applyFill="1"/>
    <xf numFmtId="49" fontId="4" fillId="0" borderId="0" xfId="0" applyNumberFormat="1" applyFont="1"/>
    <xf numFmtId="14" fontId="0" fillId="0" borderId="0" xfId="0" applyNumberFormat="1" applyAlignment="1">
      <alignment horizontal="right"/>
    </xf>
    <xf numFmtId="1" fontId="0" fillId="3" borderId="0" xfId="0" applyNumberFormat="1" applyFill="1"/>
    <xf numFmtId="0" fontId="0" fillId="0" borderId="0" xfId="0" applyAlignment="1">
      <alignment horizontal="right"/>
    </xf>
    <xf numFmtId="164" fontId="0" fillId="0" borderId="0" xfId="0" applyNumberFormat="1" applyFill="1"/>
    <xf numFmtId="2" fontId="0" fillId="3" borderId="0" xfId="0" applyNumberFormat="1" applyFill="1"/>
    <xf numFmtId="49" fontId="0" fillId="0" borderId="0" xfId="0" applyNumberFormat="1" applyFill="1"/>
    <xf numFmtId="14" fontId="0" fillId="0" borderId="0" xfId="0" applyNumberFormat="1" applyAlignment="1">
      <alignment horizontal="center"/>
    </xf>
    <xf numFmtId="49" fontId="0" fillId="0" borderId="0" xfId="0" applyNumberFormat="1" applyAlignment="1">
      <alignment horizontal="right"/>
    </xf>
    <xf numFmtId="0" fontId="0" fillId="0" borderId="0" xfId="0" applyNumberFormat="1" applyFill="1" applyAlignment="1">
      <alignment horizontal="right"/>
    </xf>
    <xf numFmtId="0" fontId="0" fillId="0" borderId="0" xfId="0" applyFill="1" applyAlignment="1">
      <alignment horizontal="center"/>
    </xf>
    <xf numFmtId="49" fontId="0" fillId="0" borderId="0" xfId="0" applyNumberFormat="1" applyFill="1" applyAlignment="1">
      <alignment horizontal="right"/>
    </xf>
    <xf numFmtId="164" fontId="0" fillId="5" borderId="0" xfId="0" applyNumberFormat="1" applyFill="1"/>
    <xf numFmtId="0" fontId="0" fillId="0" borderId="0" xfId="0" applyNumberFormat="1" applyFill="1" applyBorder="1"/>
    <xf numFmtId="0" fontId="0" fillId="0" borderId="0" xfId="0" applyNumberFormat="1" applyAlignment="1">
      <alignment horizontal="right"/>
    </xf>
    <xf numFmtId="0" fontId="0" fillId="0" borderId="0" xfId="0" applyNumberFormat="1" applyAlignment="1">
      <alignment horizontal="center"/>
    </xf>
    <xf numFmtId="165" fontId="0" fillId="0" borderId="0" xfId="0" applyNumberFormat="1"/>
    <xf numFmtId="165" fontId="0" fillId="5" borderId="0" xfId="0" applyNumberFormat="1" applyFill="1"/>
    <xf numFmtId="165" fontId="0" fillId="3" borderId="0" xfId="0" applyNumberFormat="1" applyFill="1"/>
    <xf numFmtId="0" fontId="0" fillId="0" borderId="0" xfId="0"/>
    <xf numFmtId="0" fontId="0" fillId="4" borderId="0" xfId="0" applyFill="1" applyBorder="1"/>
    <xf numFmtId="14" fontId="0" fillId="5" borderId="0" xfId="0" applyNumberFormat="1" applyFill="1"/>
    <xf numFmtId="14" fontId="0" fillId="5" borderId="0" xfId="0" applyNumberFormat="1" applyFill="1" applyAlignment="1">
      <alignment horizontal="center"/>
    </xf>
    <xf numFmtId="1" fontId="0" fillId="5" borderId="0" xfId="0" applyNumberFormat="1" applyFill="1"/>
    <xf numFmtId="0" fontId="0" fillId="0" borderId="0" xfId="0"/>
    <xf numFmtId="0" fontId="0" fillId="0" borderId="0" xfId="0"/>
    <xf numFmtId="14" fontId="0" fillId="5" borderId="0" xfId="0" applyNumberFormat="1" applyFill="1"/>
    <xf numFmtId="0" fontId="0" fillId="0" borderId="0" xfId="0" applyFill="1"/>
    <xf numFmtId="0" fontId="0" fillId="5" borderId="0" xfId="0" applyFill="1"/>
    <xf numFmtId="0" fontId="0" fillId="0" borderId="0" xfId="0" applyFill="1" applyBorder="1"/>
    <xf numFmtId="14" fontId="0" fillId="5" borderId="0" xfId="0" applyNumberFormat="1" applyFill="1"/>
    <xf numFmtId="0" fontId="0" fillId="0" borderId="0" xfId="0" applyFill="1"/>
    <xf numFmtId="0" fontId="0" fillId="5" borderId="0" xfId="0" applyFill="1"/>
    <xf numFmtId="0" fontId="0" fillId="0" borderId="0" xfId="0" applyFill="1" applyBorder="1"/>
    <xf numFmtId="0" fontId="0" fillId="0" borderId="0" xfId="0"/>
    <xf numFmtId="0" fontId="0" fillId="3" borderId="0" xfId="0" applyFill="1"/>
    <xf numFmtId="0" fontId="3" fillId="3" borderId="0" xfId="0" applyFont="1" applyFill="1" applyAlignment="1"/>
    <xf numFmtId="0" fontId="21" fillId="5" borderId="0" xfId="0" applyFont="1" applyFill="1"/>
    <xf numFmtId="0" fontId="18" fillId="37" borderId="0" xfId="0" applyFont="1" applyFill="1"/>
    <xf numFmtId="165" fontId="18" fillId="37" borderId="0" xfId="0" applyNumberFormat="1" applyFont="1" applyFill="1"/>
    <xf numFmtId="164" fontId="18" fillId="37" borderId="0" xfId="0" applyNumberFormat="1" applyFont="1" applyFill="1"/>
    <xf numFmtId="0" fontId="0" fillId="0" borderId="0" xfId="0"/>
    <xf numFmtId="14" fontId="18" fillId="37" borderId="0" xfId="0" applyNumberFormat="1" applyFont="1" applyFill="1"/>
    <xf numFmtId="0" fontId="0" fillId="0" borderId="0" xfId="0" applyNumberFormat="1"/>
    <xf numFmtId="0" fontId="0" fillId="0" borderId="0" xfId="0" applyNumberFormat="1"/>
    <xf numFmtId="0" fontId="0" fillId="0" borderId="0" xfId="0"/>
    <xf numFmtId="0" fontId="0" fillId="0" borderId="0" xfId="0" applyNumberFormat="1"/>
    <xf numFmtId="0" fontId="0" fillId="0" borderId="0" xfId="0" applyAlignment="1">
      <alignment horizontal="left"/>
    </xf>
    <xf numFmtId="0" fontId="0" fillId="0" borderId="0" xfId="0"/>
    <xf numFmtId="0" fontId="0" fillId="0" borderId="0" xfId="0" applyNumberFormat="1"/>
    <xf numFmtId="0" fontId="3" fillId="0" borderId="10" xfId="0" applyFont="1" applyBorder="1" applyAlignment="1">
      <alignment horizontal="left"/>
    </xf>
    <xf numFmtId="0" fontId="3" fillId="0" borderId="10" xfId="0" applyNumberFormat="1" applyFont="1" applyBorder="1"/>
    <xf numFmtId="0" fontId="3" fillId="0" borderId="0" xfId="0" applyFont="1" applyBorder="1" applyAlignment="1">
      <alignment horizontal="left"/>
    </xf>
    <xf numFmtId="0" fontId="3" fillId="0" borderId="0" xfId="0" applyNumberFormat="1" applyFont="1" applyBorder="1"/>
    <xf numFmtId="0" fontId="0" fillId="0" borderId="10" xfId="0" applyNumberFormat="1" applyBorder="1"/>
    <xf numFmtId="14" fontId="0" fillId="3" borderId="0" xfId="0" applyNumberFormat="1" applyFill="1"/>
    <xf numFmtId="164" fontId="0" fillId="3" borderId="0" xfId="0" applyNumberFormat="1" applyFill="1"/>
    <xf numFmtId="14" fontId="22" fillId="0" borderId="0" xfId="0" applyNumberFormat="1" applyFont="1" applyFill="1" applyBorder="1"/>
    <xf numFmtId="0" fontId="22" fillId="0" borderId="0" xfId="0" applyFont="1" applyFill="1" applyBorder="1"/>
    <xf numFmtId="1" fontId="0" fillId="0" borderId="0" xfId="0" applyNumberFormat="1" applyFill="1"/>
    <xf numFmtId="164" fontId="23" fillId="0" borderId="0" xfId="0" applyNumberFormat="1" applyFont="1"/>
    <xf numFmtId="164" fontId="23" fillId="0" borderId="0" xfId="0" applyNumberFormat="1" applyFont="1" applyFill="1" applyBorder="1"/>
    <xf numFmtId="164" fontId="24" fillId="0" borderId="0" xfId="0" applyNumberFormat="1" applyFont="1" applyFill="1" applyBorder="1" applyAlignment="1">
      <alignment horizontal="right" vertical="center" wrapText="1"/>
    </xf>
    <xf numFmtId="49" fontId="0" fillId="3" borderId="0" xfId="0" applyNumberFormat="1" applyFill="1"/>
    <xf numFmtId="0" fontId="0" fillId="3" borderId="0" xfId="0" applyFill="1" applyBorder="1"/>
    <xf numFmtId="0" fontId="22" fillId="3" borderId="0" xfId="0" applyFont="1" applyFill="1" applyBorder="1"/>
    <xf numFmtId="0" fontId="0" fillId="38" borderId="0" xfId="0" applyFill="1"/>
    <xf numFmtId="0" fontId="22" fillId="5" borderId="0" xfId="0" applyFont="1" applyFill="1" applyBorder="1"/>
    <xf numFmtId="0" fontId="0" fillId="5" borderId="0" xfId="0" applyFont="1" applyFill="1" applyBorder="1"/>
    <xf numFmtId="14" fontId="22" fillId="5" borderId="0" xfId="0" applyNumberFormat="1" applyFont="1" applyFill="1" applyBorder="1"/>
    <xf numFmtId="0" fontId="0" fillId="5" borderId="0" xfId="0" applyFill="1" applyBorder="1"/>
    <xf numFmtId="14" fontId="25" fillId="0" borderId="0" xfId="0" applyNumberFormat="1" applyFont="1" applyFill="1" applyBorder="1" applyAlignment="1">
      <alignment horizontal="right" vertical="center" wrapText="1"/>
    </xf>
    <xf numFmtId="0" fontId="25" fillId="0" borderId="0" xfId="0" applyFont="1" applyFill="1" applyBorder="1" applyAlignment="1">
      <alignment vertical="center" wrapText="1"/>
    </xf>
    <xf numFmtId="164" fontId="23" fillId="0" borderId="0" xfId="0" applyNumberFormat="1" applyFont="1" applyFill="1"/>
    <xf numFmtId="0" fontId="6" fillId="0" borderId="0" xfId="0" applyFont="1" applyFill="1" applyBorder="1"/>
    <xf numFmtId="0" fontId="3" fillId="5" borderId="0" xfId="0" applyFont="1" applyFill="1"/>
    <xf numFmtId="14" fontId="0" fillId="5" borderId="0" xfId="0" applyNumberFormat="1" applyFill="1" applyBorder="1"/>
    <xf numFmtId="0" fontId="26" fillId="0" borderId="0" xfId="0" applyFont="1" applyFill="1"/>
    <xf numFmtId="14" fontId="25" fillId="0" borderId="0" xfId="0" applyNumberFormat="1" applyFont="1" applyFill="1" applyBorder="1" applyAlignment="1">
      <alignment horizontal="right"/>
    </xf>
    <xf numFmtId="0" fontId="25" fillId="0" borderId="0" xfId="0" applyFont="1" applyFill="1" applyBorder="1" applyAlignment="1"/>
    <xf numFmtId="0" fontId="0" fillId="0" borderId="0" xfId="0" applyFill="1" applyAlignment="1"/>
    <xf numFmtId="14" fontId="0" fillId="0" borderId="0" xfId="0" applyNumberFormat="1" applyFill="1" applyBorder="1" applyAlignment="1">
      <alignment wrapText="1"/>
    </xf>
    <xf numFmtId="0" fontId="0" fillId="0" borderId="0" xfId="0" applyFill="1" applyBorder="1" applyAlignment="1">
      <alignment wrapText="1"/>
    </xf>
    <xf numFmtId="0" fontId="26" fillId="0" borderId="0" xfId="0" applyFont="1" applyFill="1" applyBorder="1"/>
    <xf numFmtId="14" fontId="0" fillId="0" borderId="0" xfId="0" applyNumberFormat="1" applyFill="1" applyBorder="1" applyAlignment="1"/>
    <xf numFmtId="2" fontId="0" fillId="0" borderId="0" xfId="0" applyNumberFormat="1"/>
    <xf numFmtId="1" fontId="6" fillId="0" borderId="0" xfId="0" applyNumberFormat="1" applyFont="1" applyFill="1" applyBorder="1"/>
    <xf numFmtId="0" fontId="0" fillId="0" borderId="0" xfId="0" applyBorder="1"/>
    <xf numFmtId="14" fontId="0" fillId="0" borderId="0" xfId="0" applyNumberFormat="1" applyBorder="1"/>
    <xf numFmtId="14" fontId="27" fillId="0" borderId="0" xfId="0" applyNumberFormat="1" applyFont="1" applyFill="1" applyBorder="1" applyAlignment="1">
      <alignment horizontal="right" vertical="center" wrapText="1"/>
    </xf>
    <xf numFmtId="1" fontId="0" fillId="0" borderId="0" xfId="0" applyNumberFormat="1" applyFill="1" applyBorder="1"/>
    <xf numFmtId="1" fontId="0" fillId="0" borderId="0" xfId="0" applyNumberFormat="1" applyFill="1" applyBorder="1" applyAlignment="1">
      <alignment horizontal="center"/>
    </xf>
    <xf numFmtId="0" fontId="0" fillId="0" borderId="0" xfId="0" applyFont="1" applyFill="1" applyBorder="1"/>
    <xf numFmtId="0" fontId="26" fillId="0" borderId="0" xfId="0" applyFont="1" applyFill="1" applyBorder="1" applyAlignment="1">
      <alignment horizontal="right" vertical="center" wrapText="1"/>
    </xf>
    <xf numFmtId="14" fontId="0" fillId="0" borderId="0" xfId="0" applyNumberFormat="1" applyFont="1" applyFill="1" applyBorder="1"/>
    <xf numFmtId="1" fontId="0" fillId="0" borderId="0" xfId="0" applyNumberFormat="1" applyFont="1" applyFill="1" applyBorder="1" applyAlignment="1">
      <alignment horizontal="center"/>
    </xf>
    <xf numFmtId="0" fontId="0" fillId="0" borderId="0" xfId="0" applyFont="1" applyFill="1" applyBorder="1" applyAlignment="1">
      <alignment wrapText="1"/>
    </xf>
    <xf numFmtId="14" fontId="0" fillId="0" borderId="0" xfId="0" applyNumberFormat="1" applyFont="1" applyFill="1" applyBorder="1" applyAlignment="1">
      <alignment wrapText="1"/>
    </xf>
    <xf numFmtId="0" fontId="0" fillId="0" borderId="0" xfId="0" applyFont="1" applyFill="1" applyBorder="1" applyAlignment="1">
      <alignment horizontal="left" wrapText="1"/>
    </xf>
    <xf numFmtId="14" fontId="26" fillId="0" borderId="0" xfId="0" applyNumberFormat="1" applyFont="1" applyFill="1" applyBorder="1" applyAlignment="1">
      <alignment vertical="center"/>
    </xf>
    <xf numFmtId="0" fontId="26" fillId="0" borderId="0" xfId="0" applyFont="1" applyFill="1" applyBorder="1" applyAlignment="1">
      <alignment vertical="center"/>
    </xf>
    <xf numFmtId="14" fontId="26" fillId="0" borderId="0" xfId="0" applyNumberFormat="1" applyFont="1" applyFill="1" applyBorder="1" applyAlignment="1">
      <alignment horizontal="right" vertical="center" wrapText="1"/>
    </xf>
    <xf numFmtId="0" fontId="26" fillId="0" borderId="0" xfId="0" applyFont="1" applyFill="1" applyBorder="1" applyAlignment="1">
      <alignment vertical="center" wrapText="1"/>
    </xf>
    <xf numFmtId="14" fontId="0" fillId="0" borderId="0" xfId="0" applyNumberFormat="1" applyFont="1"/>
    <xf numFmtId="0" fontId="0" fillId="39" borderId="0" xfId="0" applyFill="1"/>
    <xf numFmtId="0" fontId="28" fillId="0" borderId="0" xfId="0" applyFont="1"/>
    <xf numFmtId="0" fontId="30" fillId="0" borderId="0" xfId="44"/>
    <xf numFmtId="0" fontId="0" fillId="0" borderId="11" xfId="0" applyBorder="1" applyAlignment="1">
      <alignment wrapText="1"/>
    </xf>
    <xf numFmtId="0" fontId="0" fillId="0" borderId="0" xfId="0" applyBorder="1" applyAlignment="1">
      <alignment wrapText="1"/>
    </xf>
    <xf numFmtId="0" fontId="0" fillId="37" borderId="0" xfId="0" applyNumberFormat="1" applyFill="1"/>
    <xf numFmtId="0" fontId="0" fillId="40" borderId="11" xfId="0" applyFill="1" applyBorder="1" applyAlignment="1">
      <alignment wrapText="1"/>
    </xf>
    <xf numFmtId="0" fontId="0" fillId="4" borderId="11" xfId="0" applyFill="1" applyBorder="1" applyAlignment="1">
      <alignment wrapText="1"/>
    </xf>
    <xf numFmtId="0" fontId="31" fillId="3" borderId="11" xfId="0" applyFont="1" applyFill="1" applyBorder="1"/>
    <xf numFmtId="0" fontId="0" fillId="3" borderId="11" xfId="0" applyFill="1" applyBorder="1" applyAlignment="1">
      <alignment wrapText="1"/>
    </xf>
    <xf numFmtId="14" fontId="32" fillId="0" borderId="0" xfId="0" applyNumberFormat="1" applyFont="1" applyAlignment="1"/>
    <xf numFmtId="0" fontId="0" fillId="0" borderId="0" xfId="0" applyFont="1" applyFill="1" applyBorder="1" applyAlignment="1">
      <alignment horizontal="left"/>
    </xf>
  </cellXfs>
  <cellStyles count="45">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10" builtinId="27" customBuiltin="1"/>
    <cellStyle name="Calculation" xfId="13" builtinId="22" customBuiltin="1"/>
    <cellStyle name="Check Cell" xfId="15" builtinId="23" customBuiltin="1"/>
    <cellStyle name="Explanatory Text" xfId="18"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Hyperlink" xfId="44" builtinId="8"/>
    <cellStyle name="Input" xfId="11" builtinId="20" customBuiltin="1"/>
    <cellStyle name="Linked Cell" xfId="14" builtinId="24" customBuiltin="1"/>
    <cellStyle name="Neutral" xfId="1" builtinId="28" customBuiltin="1"/>
    <cellStyle name="Normal" xfId="0" builtinId="0"/>
    <cellStyle name="Normal 2" xfId="3"/>
    <cellStyle name="Normal 3" xfId="2"/>
    <cellStyle name="Note" xfId="17" builtinId="10" customBuiltin="1"/>
    <cellStyle name="Output" xfId="12" builtinId="21" customBuiltin="1"/>
    <cellStyle name="Title" xfId="4" builtinId="15" customBuiltin="1"/>
    <cellStyle name="Total" xfId="19" builtinId="25" customBuiltin="1"/>
    <cellStyle name="Warning Text" xfId="16"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738052768696672E-2"/>
          <c:y val="5.1400554097404488E-2"/>
          <c:w val="0.87343523041591353"/>
          <c:h val="0.8326195683872849"/>
        </c:manualLayout>
      </c:layout>
      <c:scatterChart>
        <c:scatterStyle val="lineMarker"/>
        <c:varyColors val="0"/>
        <c:ser>
          <c:idx val="0"/>
          <c:order val="0"/>
          <c:spPr>
            <a:ln w="28575">
              <a:noFill/>
            </a:ln>
          </c:spPr>
          <c:yVal>
            <c:numRef>
              <c:f>'all mice (except april 2012)'!$F$2:$F$326</c:f>
              <c:numCache>
                <c:formatCode>0</c:formatCode>
                <c:ptCount val="325"/>
                <c:pt idx="0">
                  <c:v>87</c:v>
                </c:pt>
                <c:pt idx="1">
                  <c:v>87</c:v>
                </c:pt>
                <c:pt idx="2" formatCode="General">
                  <c:v>101</c:v>
                </c:pt>
                <c:pt idx="3" formatCode="General">
                  <c:v>101</c:v>
                </c:pt>
                <c:pt idx="4" formatCode="General">
                  <c:v>87</c:v>
                </c:pt>
                <c:pt idx="5" formatCode="General">
                  <c:v>87</c:v>
                </c:pt>
                <c:pt idx="6" formatCode="General">
                  <c:v>101</c:v>
                </c:pt>
                <c:pt idx="7" formatCode="General">
                  <c:v>101</c:v>
                </c:pt>
                <c:pt idx="8" formatCode="General">
                  <c:v>101</c:v>
                </c:pt>
                <c:pt idx="9" formatCode="General">
                  <c:v>101</c:v>
                </c:pt>
                <c:pt idx="10">
                  <c:v>87</c:v>
                </c:pt>
                <c:pt idx="11">
                  <c:v>87</c:v>
                </c:pt>
                <c:pt idx="12" formatCode="General">
                  <c:v>56</c:v>
                </c:pt>
                <c:pt idx="13" formatCode="General">
                  <c:v>56</c:v>
                </c:pt>
                <c:pt idx="14" formatCode="General">
                  <c:v>77</c:v>
                </c:pt>
                <c:pt idx="15" formatCode="General">
                  <c:v>77</c:v>
                </c:pt>
                <c:pt idx="16" formatCode="General">
                  <c:v>91</c:v>
                </c:pt>
                <c:pt idx="17" formatCode="General">
                  <c:v>91</c:v>
                </c:pt>
                <c:pt idx="18" formatCode="General">
                  <c:v>84</c:v>
                </c:pt>
                <c:pt idx="19" formatCode="General">
                  <c:v>84</c:v>
                </c:pt>
                <c:pt idx="20" formatCode="General">
                  <c:v>91</c:v>
                </c:pt>
                <c:pt idx="21" formatCode="General">
                  <c:v>91</c:v>
                </c:pt>
                <c:pt idx="22" formatCode="General">
                  <c:v>51</c:v>
                </c:pt>
                <c:pt idx="23" formatCode="General">
                  <c:v>51</c:v>
                </c:pt>
                <c:pt idx="24" formatCode="General">
                  <c:v>111</c:v>
                </c:pt>
                <c:pt idx="25" formatCode="General">
                  <c:v>111</c:v>
                </c:pt>
                <c:pt idx="26" formatCode="General">
                  <c:v>111</c:v>
                </c:pt>
                <c:pt idx="27" formatCode="General">
                  <c:v>99</c:v>
                </c:pt>
                <c:pt idx="28" formatCode="General">
                  <c:v>99</c:v>
                </c:pt>
                <c:pt idx="29" formatCode="General">
                  <c:v>108</c:v>
                </c:pt>
                <c:pt idx="30" formatCode="General">
                  <c:v>108</c:v>
                </c:pt>
                <c:pt idx="31" formatCode="General">
                  <c:v>108</c:v>
                </c:pt>
                <c:pt idx="32" formatCode="General">
                  <c:v>108</c:v>
                </c:pt>
                <c:pt idx="33" formatCode="General">
                  <c:v>108</c:v>
                </c:pt>
                <c:pt idx="34" formatCode="General">
                  <c:v>102</c:v>
                </c:pt>
                <c:pt idx="35" formatCode="General">
                  <c:v>91</c:v>
                </c:pt>
                <c:pt idx="36" formatCode="General">
                  <c:v>104</c:v>
                </c:pt>
                <c:pt idx="37" formatCode="General">
                  <c:v>104</c:v>
                </c:pt>
                <c:pt idx="38" formatCode="General">
                  <c:v>104</c:v>
                </c:pt>
                <c:pt idx="39" formatCode="General">
                  <c:v>102</c:v>
                </c:pt>
                <c:pt idx="40" formatCode="General">
                  <c:v>102</c:v>
                </c:pt>
                <c:pt idx="41" formatCode="General">
                  <c:v>93</c:v>
                </c:pt>
                <c:pt idx="42" formatCode="General">
                  <c:v>93</c:v>
                </c:pt>
                <c:pt idx="43" formatCode="General">
                  <c:v>93</c:v>
                </c:pt>
                <c:pt idx="44" formatCode="General">
                  <c:v>81</c:v>
                </c:pt>
                <c:pt idx="45" formatCode="General">
                  <c:v>81</c:v>
                </c:pt>
                <c:pt idx="46" formatCode="General">
                  <c:v>81</c:v>
                </c:pt>
                <c:pt idx="47" formatCode="General">
                  <c:v>92</c:v>
                </c:pt>
                <c:pt idx="48" formatCode="General">
                  <c:v>70</c:v>
                </c:pt>
                <c:pt idx="49" formatCode="General">
                  <c:v>70</c:v>
                </c:pt>
                <c:pt idx="50" formatCode="General">
                  <c:v>70</c:v>
                </c:pt>
                <c:pt idx="51" formatCode="General">
                  <c:v>82</c:v>
                </c:pt>
                <c:pt idx="52" formatCode="General">
                  <c:v>82</c:v>
                </c:pt>
                <c:pt idx="53" formatCode="General">
                  <c:v>93</c:v>
                </c:pt>
                <c:pt idx="54" formatCode="General">
                  <c:v>79</c:v>
                </c:pt>
                <c:pt idx="55" formatCode="General">
                  <c:v>79</c:v>
                </c:pt>
                <c:pt idx="56" formatCode="General">
                  <c:v>105</c:v>
                </c:pt>
                <c:pt idx="57" formatCode="General">
                  <c:v>105</c:v>
                </c:pt>
                <c:pt idx="58" formatCode="General">
                  <c:v>103</c:v>
                </c:pt>
                <c:pt idx="59" formatCode="General">
                  <c:v>103</c:v>
                </c:pt>
                <c:pt idx="60" formatCode="General">
                  <c:v>60</c:v>
                </c:pt>
                <c:pt idx="61" formatCode="General">
                  <c:v>60</c:v>
                </c:pt>
                <c:pt idx="62" formatCode="General">
                  <c:v>60</c:v>
                </c:pt>
                <c:pt idx="63" formatCode="General">
                  <c:v>59</c:v>
                </c:pt>
                <c:pt idx="64" formatCode="General">
                  <c:v>59</c:v>
                </c:pt>
                <c:pt idx="65" formatCode="General">
                  <c:v>59</c:v>
                </c:pt>
                <c:pt idx="66" formatCode="General">
                  <c:v>59</c:v>
                </c:pt>
                <c:pt idx="67" formatCode="General">
                  <c:v>61</c:v>
                </c:pt>
                <c:pt idx="68" formatCode="General">
                  <c:v>61</c:v>
                </c:pt>
                <c:pt idx="69" formatCode="General">
                  <c:v>86</c:v>
                </c:pt>
                <c:pt idx="70" formatCode="General">
                  <c:v>86</c:v>
                </c:pt>
                <c:pt idx="71" formatCode="General">
                  <c:v>86</c:v>
                </c:pt>
                <c:pt idx="72" formatCode="General">
                  <c:v>55</c:v>
                </c:pt>
                <c:pt idx="73" formatCode="General">
                  <c:v>55</c:v>
                </c:pt>
                <c:pt idx="74" formatCode="General">
                  <c:v>55</c:v>
                </c:pt>
                <c:pt idx="75" formatCode="General">
                  <c:v>61</c:v>
                </c:pt>
                <c:pt idx="76" formatCode="General">
                  <c:v>61</c:v>
                </c:pt>
                <c:pt idx="77" formatCode="General">
                  <c:v>57</c:v>
                </c:pt>
                <c:pt idx="78" formatCode="General">
                  <c:v>57</c:v>
                </c:pt>
                <c:pt idx="79" formatCode="General">
                  <c:v>57</c:v>
                </c:pt>
                <c:pt idx="80" formatCode="General">
                  <c:v>47</c:v>
                </c:pt>
                <c:pt idx="81" formatCode="General">
                  <c:v>47</c:v>
                </c:pt>
                <c:pt idx="82" formatCode="General">
                  <c:v>49</c:v>
                </c:pt>
                <c:pt idx="83" formatCode="General">
                  <c:v>49</c:v>
                </c:pt>
                <c:pt idx="84" formatCode="General">
                  <c:v>119</c:v>
                </c:pt>
                <c:pt idx="85" formatCode="General">
                  <c:v>119</c:v>
                </c:pt>
                <c:pt idx="86" formatCode="General">
                  <c:v>137</c:v>
                </c:pt>
                <c:pt idx="87" formatCode="General">
                  <c:v>137</c:v>
                </c:pt>
                <c:pt idx="88" formatCode="General">
                  <c:v>151</c:v>
                </c:pt>
                <c:pt idx="89" formatCode="General">
                  <c:v>147</c:v>
                </c:pt>
                <c:pt idx="90" formatCode="General">
                  <c:v>157</c:v>
                </c:pt>
                <c:pt idx="91" formatCode="General">
                  <c:v>157</c:v>
                </c:pt>
                <c:pt idx="92" formatCode="General">
                  <c:v>153</c:v>
                </c:pt>
                <c:pt idx="93" formatCode="General">
                  <c:v>153</c:v>
                </c:pt>
                <c:pt idx="94" formatCode="General">
                  <c:v>143</c:v>
                </c:pt>
                <c:pt idx="95" formatCode="General">
                  <c:v>143</c:v>
                </c:pt>
                <c:pt idx="96" formatCode="General">
                  <c:v>142</c:v>
                </c:pt>
                <c:pt idx="97" formatCode="General">
                  <c:v>142</c:v>
                </c:pt>
                <c:pt idx="98" formatCode="General">
                  <c:v>142</c:v>
                </c:pt>
                <c:pt idx="99" formatCode="General">
                  <c:v>134</c:v>
                </c:pt>
                <c:pt idx="100" formatCode="General">
                  <c:v>134</c:v>
                </c:pt>
                <c:pt idx="101" formatCode="General">
                  <c:v>66</c:v>
                </c:pt>
                <c:pt idx="102" formatCode="General">
                  <c:v>66</c:v>
                </c:pt>
                <c:pt idx="103" formatCode="General">
                  <c:v>66</c:v>
                </c:pt>
                <c:pt idx="104" formatCode="General">
                  <c:v>105</c:v>
                </c:pt>
                <c:pt idx="105" formatCode="General">
                  <c:v>105</c:v>
                </c:pt>
                <c:pt idx="106" formatCode="General">
                  <c:v>85</c:v>
                </c:pt>
                <c:pt idx="107" formatCode="General">
                  <c:v>85</c:v>
                </c:pt>
                <c:pt idx="108" formatCode="General">
                  <c:v>74</c:v>
                </c:pt>
                <c:pt idx="109" formatCode="General">
                  <c:v>74</c:v>
                </c:pt>
                <c:pt idx="110" formatCode="General">
                  <c:v>74</c:v>
                </c:pt>
                <c:pt idx="111" formatCode="General">
                  <c:v>67</c:v>
                </c:pt>
                <c:pt idx="112" formatCode="General">
                  <c:v>67</c:v>
                </c:pt>
                <c:pt idx="113" formatCode="General">
                  <c:v>67</c:v>
                </c:pt>
                <c:pt idx="114" formatCode="General">
                  <c:v>67</c:v>
                </c:pt>
                <c:pt idx="115" formatCode="General">
                  <c:v>72</c:v>
                </c:pt>
                <c:pt idx="116" formatCode="General">
                  <c:v>72</c:v>
                </c:pt>
                <c:pt idx="117" formatCode="General">
                  <c:v>74</c:v>
                </c:pt>
                <c:pt idx="118" formatCode="General">
                  <c:v>74</c:v>
                </c:pt>
                <c:pt idx="119" formatCode="General">
                  <c:v>74</c:v>
                </c:pt>
                <c:pt idx="120" formatCode="General">
                  <c:v>74</c:v>
                </c:pt>
                <c:pt idx="121" formatCode="General">
                  <c:v>74</c:v>
                </c:pt>
                <c:pt idx="122" formatCode="General">
                  <c:v>74</c:v>
                </c:pt>
                <c:pt idx="123" formatCode="General">
                  <c:v>63</c:v>
                </c:pt>
                <c:pt idx="124" formatCode="General">
                  <c:v>63</c:v>
                </c:pt>
                <c:pt idx="125" formatCode="General">
                  <c:v>63</c:v>
                </c:pt>
                <c:pt idx="126" formatCode="General">
                  <c:v>63</c:v>
                </c:pt>
                <c:pt idx="127" formatCode="General">
                  <c:v>63</c:v>
                </c:pt>
                <c:pt idx="128" formatCode="General">
                  <c:v>63</c:v>
                </c:pt>
                <c:pt idx="129" formatCode="General">
                  <c:v>70</c:v>
                </c:pt>
                <c:pt idx="130" formatCode="General">
                  <c:v>70</c:v>
                </c:pt>
                <c:pt idx="131" formatCode="General">
                  <c:v>70</c:v>
                </c:pt>
                <c:pt idx="132" formatCode="General">
                  <c:v>70</c:v>
                </c:pt>
                <c:pt idx="133" formatCode="General">
                  <c:v>70</c:v>
                </c:pt>
                <c:pt idx="134" formatCode="General">
                  <c:v>70</c:v>
                </c:pt>
                <c:pt idx="135" formatCode="General">
                  <c:v>79</c:v>
                </c:pt>
                <c:pt idx="136" formatCode="General">
                  <c:v>79</c:v>
                </c:pt>
                <c:pt idx="137" formatCode="General">
                  <c:v>77</c:v>
                </c:pt>
                <c:pt idx="138" formatCode="General">
                  <c:v>65</c:v>
                </c:pt>
                <c:pt idx="139" formatCode="General">
                  <c:v>65</c:v>
                </c:pt>
                <c:pt idx="140" formatCode="General">
                  <c:v>63</c:v>
                </c:pt>
                <c:pt idx="141" formatCode="General">
                  <c:v>63</c:v>
                </c:pt>
                <c:pt idx="142" formatCode="General">
                  <c:v>63</c:v>
                </c:pt>
                <c:pt idx="143" formatCode="General">
                  <c:v>63</c:v>
                </c:pt>
                <c:pt idx="144" formatCode="General">
                  <c:v>59</c:v>
                </c:pt>
                <c:pt idx="145" formatCode="General">
                  <c:v>59</c:v>
                </c:pt>
                <c:pt idx="146" formatCode="General">
                  <c:v>51</c:v>
                </c:pt>
                <c:pt idx="147" formatCode="General">
                  <c:v>51</c:v>
                </c:pt>
                <c:pt idx="148" formatCode="General">
                  <c:v>69</c:v>
                </c:pt>
                <c:pt idx="149" formatCode="General">
                  <c:v>69</c:v>
                </c:pt>
                <c:pt idx="150" formatCode="General">
                  <c:v>65</c:v>
                </c:pt>
                <c:pt idx="151" formatCode="General">
                  <c:v>67</c:v>
                </c:pt>
                <c:pt idx="152" formatCode="General">
                  <c:v>72</c:v>
                </c:pt>
                <c:pt idx="153" formatCode="General">
                  <c:v>72</c:v>
                </c:pt>
                <c:pt idx="154" formatCode="General">
                  <c:v>66</c:v>
                </c:pt>
                <c:pt idx="155" formatCode="General">
                  <c:v>76</c:v>
                </c:pt>
                <c:pt idx="156" formatCode="General">
                  <c:v>76</c:v>
                </c:pt>
                <c:pt idx="157" formatCode="General">
                  <c:v>76</c:v>
                </c:pt>
                <c:pt idx="158" formatCode="General">
                  <c:v>70</c:v>
                </c:pt>
                <c:pt idx="159" formatCode="General">
                  <c:v>63</c:v>
                </c:pt>
                <c:pt idx="160" formatCode="General">
                  <c:v>63</c:v>
                </c:pt>
                <c:pt idx="161">
                  <c:v>115</c:v>
                </c:pt>
                <c:pt idx="162">
                  <c:v>84</c:v>
                </c:pt>
                <c:pt idx="163" formatCode="General">
                  <c:v>84</c:v>
                </c:pt>
                <c:pt idx="164">
                  <c:v>77</c:v>
                </c:pt>
                <c:pt idx="165">
                  <c:v>77</c:v>
                </c:pt>
                <c:pt idx="166">
                  <c:v>77</c:v>
                </c:pt>
                <c:pt idx="167">
                  <c:v>77</c:v>
                </c:pt>
                <c:pt idx="168" formatCode="General">
                  <c:v>73</c:v>
                </c:pt>
                <c:pt idx="169" formatCode="General">
                  <c:v>73</c:v>
                </c:pt>
                <c:pt idx="170" formatCode="General">
                  <c:v>70</c:v>
                </c:pt>
                <c:pt idx="171" formatCode="General">
                  <c:v>70</c:v>
                </c:pt>
                <c:pt idx="172" formatCode="General">
                  <c:v>70</c:v>
                </c:pt>
                <c:pt idx="173" formatCode="General">
                  <c:v>63</c:v>
                </c:pt>
                <c:pt idx="174" formatCode="General">
                  <c:v>66</c:v>
                </c:pt>
                <c:pt idx="175" formatCode="General">
                  <c:v>66</c:v>
                </c:pt>
                <c:pt idx="176" formatCode="General">
                  <c:v>66</c:v>
                </c:pt>
                <c:pt idx="177" formatCode="General">
                  <c:v>66</c:v>
                </c:pt>
                <c:pt idx="178" formatCode="General">
                  <c:v>73</c:v>
                </c:pt>
                <c:pt idx="179" formatCode="General">
                  <c:v>73</c:v>
                </c:pt>
                <c:pt idx="180" formatCode="General">
                  <c:v>73</c:v>
                </c:pt>
                <c:pt idx="181" formatCode="General">
                  <c:v>73</c:v>
                </c:pt>
                <c:pt idx="182" formatCode="General">
                  <c:v>83</c:v>
                </c:pt>
                <c:pt idx="183" formatCode="General">
                  <c:v>83</c:v>
                </c:pt>
                <c:pt idx="184" formatCode="General">
                  <c:v>83</c:v>
                </c:pt>
                <c:pt idx="185" formatCode="General">
                  <c:v>90</c:v>
                </c:pt>
                <c:pt idx="186" formatCode="General">
                  <c:v>90</c:v>
                </c:pt>
                <c:pt idx="187" formatCode="General">
                  <c:v>90</c:v>
                </c:pt>
                <c:pt idx="188" formatCode="General">
                  <c:v>83</c:v>
                </c:pt>
                <c:pt idx="189" formatCode="General">
                  <c:v>83</c:v>
                </c:pt>
                <c:pt idx="190" formatCode="General">
                  <c:v>83</c:v>
                </c:pt>
                <c:pt idx="191" formatCode="General">
                  <c:v>108</c:v>
                </c:pt>
                <c:pt idx="192" formatCode="General">
                  <c:v>108</c:v>
                </c:pt>
                <c:pt idx="193" formatCode="General">
                  <c:v>108</c:v>
                </c:pt>
                <c:pt idx="194" formatCode="General">
                  <c:v>83</c:v>
                </c:pt>
                <c:pt idx="195" formatCode="General">
                  <c:v>83</c:v>
                </c:pt>
                <c:pt idx="196" formatCode="General">
                  <c:v>80</c:v>
                </c:pt>
                <c:pt idx="197" formatCode="General">
                  <c:v>80</c:v>
                </c:pt>
                <c:pt idx="198" formatCode="General">
                  <c:v>80</c:v>
                </c:pt>
                <c:pt idx="199" formatCode="General">
                  <c:v>87</c:v>
                </c:pt>
                <c:pt idx="200" formatCode="General">
                  <c:v>87</c:v>
                </c:pt>
                <c:pt idx="201" formatCode="General">
                  <c:v>87</c:v>
                </c:pt>
                <c:pt idx="202" formatCode="General">
                  <c:v>87</c:v>
                </c:pt>
                <c:pt idx="203" formatCode="General">
                  <c:v>87</c:v>
                </c:pt>
                <c:pt idx="204" formatCode="General">
                  <c:v>87</c:v>
                </c:pt>
                <c:pt idx="205" formatCode="General">
                  <c:v>80</c:v>
                </c:pt>
                <c:pt idx="206" formatCode="General">
                  <c:v>80</c:v>
                </c:pt>
                <c:pt idx="207" formatCode="General">
                  <c:v>80</c:v>
                </c:pt>
                <c:pt idx="208" formatCode="General">
                  <c:v>83</c:v>
                </c:pt>
                <c:pt idx="209" formatCode="General">
                  <c:v>83</c:v>
                </c:pt>
                <c:pt idx="210" formatCode="General">
                  <c:v>83</c:v>
                </c:pt>
                <c:pt idx="211" formatCode="General">
                  <c:v>89</c:v>
                </c:pt>
                <c:pt idx="212" formatCode="General">
                  <c:v>89</c:v>
                </c:pt>
                <c:pt idx="213" formatCode="General">
                  <c:v>89</c:v>
                </c:pt>
                <c:pt idx="214" formatCode="General">
                  <c:v>62</c:v>
                </c:pt>
                <c:pt idx="215" formatCode="General">
                  <c:v>62</c:v>
                </c:pt>
                <c:pt idx="216" formatCode="General">
                  <c:v>62</c:v>
                </c:pt>
                <c:pt idx="217" formatCode="General">
                  <c:v>73</c:v>
                </c:pt>
                <c:pt idx="218" formatCode="General">
                  <c:v>73</c:v>
                </c:pt>
                <c:pt idx="219" formatCode="General">
                  <c:v>73</c:v>
                </c:pt>
                <c:pt idx="220" formatCode="General">
                  <c:v>126</c:v>
                </c:pt>
                <c:pt idx="221" formatCode="General">
                  <c:v>126</c:v>
                </c:pt>
                <c:pt idx="222" formatCode="General">
                  <c:v>126</c:v>
                </c:pt>
                <c:pt idx="223" formatCode="General">
                  <c:v>63</c:v>
                </c:pt>
                <c:pt idx="224" formatCode="General">
                  <c:v>63</c:v>
                </c:pt>
                <c:pt idx="225" formatCode="General">
                  <c:v>61</c:v>
                </c:pt>
                <c:pt idx="226" formatCode="General">
                  <c:v>61</c:v>
                </c:pt>
                <c:pt idx="227" formatCode="General">
                  <c:v>85</c:v>
                </c:pt>
                <c:pt idx="228" formatCode="General">
                  <c:v>85</c:v>
                </c:pt>
                <c:pt idx="229">
                  <c:v>57</c:v>
                </c:pt>
                <c:pt idx="230">
                  <c:v>57</c:v>
                </c:pt>
                <c:pt idx="231">
                  <c:v>64</c:v>
                </c:pt>
                <c:pt idx="232">
                  <c:v>64</c:v>
                </c:pt>
                <c:pt idx="233">
                  <c:v>92</c:v>
                </c:pt>
                <c:pt idx="234">
                  <c:v>92</c:v>
                </c:pt>
                <c:pt idx="235">
                  <c:v>70</c:v>
                </c:pt>
                <c:pt idx="236">
                  <c:v>70</c:v>
                </c:pt>
                <c:pt idx="237" formatCode="General">
                  <c:v>78</c:v>
                </c:pt>
                <c:pt idx="238" formatCode="General">
                  <c:v>78</c:v>
                </c:pt>
                <c:pt idx="239" formatCode="General">
                  <c:v>59</c:v>
                </c:pt>
                <c:pt idx="240" formatCode="General">
                  <c:v>59</c:v>
                </c:pt>
                <c:pt idx="241" formatCode="General">
                  <c:v>63</c:v>
                </c:pt>
                <c:pt idx="242" formatCode="General">
                  <c:v>63</c:v>
                </c:pt>
                <c:pt idx="243" formatCode="General">
                  <c:v>57</c:v>
                </c:pt>
                <c:pt idx="244" formatCode="General">
                  <c:v>57</c:v>
                </c:pt>
                <c:pt idx="245" formatCode="General">
                  <c:v>66</c:v>
                </c:pt>
                <c:pt idx="246" formatCode="General">
                  <c:v>66</c:v>
                </c:pt>
                <c:pt idx="247" formatCode="General">
                  <c:v>60</c:v>
                </c:pt>
                <c:pt idx="248" formatCode="General">
                  <c:v>60</c:v>
                </c:pt>
                <c:pt idx="249" formatCode="General">
                  <c:v>60</c:v>
                </c:pt>
                <c:pt idx="250" formatCode="General">
                  <c:v>60</c:v>
                </c:pt>
                <c:pt idx="251" formatCode="General">
                  <c:v>60</c:v>
                </c:pt>
                <c:pt idx="252" formatCode="General">
                  <c:v>59</c:v>
                </c:pt>
                <c:pt idx="253" formatCode="General">
                  <c:v>59</c:v>
                </c:pt>
                <c:pt idx="254" formatCode="General">
                  <c:v>59</c:v>
                </c:pt>
                <c:pt idx="255" formatCode="General">
                  <c:v>68</c:v>
                </c:pt>
                <c:pt idx="256" formatCode="General">
                  <c:v>55</c:v>
                </c:pt>
                <c:pt idx="257" formatCode="General">
                  <c:v>55</c:v>
                </c:pt>
                <c:pt idx="258" formatCode="General">
                  <c:v>68</c:v>
                </c:pt>
                <c:pt idx="259" formatCode="General">
                  <c:v>68</c:v>
                </c:pt>
                <c:pt idx="260" formatCode="General">
                  <c:v>68</c:v>
                </c:pt>
                <c:pt idx="261" formatCode="General">
                  <c:v>70</c:v>
                </c:pt>
                <c:pt idx="262" formatCode="General">
                  <c:v>70</c:v>
                </c:pt>
                <c:pt idx="263" formatCode="General">
                  <c:v>65</c:v>
                </c:pt>
                <c:pt idx="264" formatCode="General">
                  <c:v>65</c:v>
                </c:pt>
                <c:pt idx="265" formatCode="General">
                  <c:v>65</c:v>
                </c:pt>
                <c:pt idx="266" formatCode="General">
                  <c:v>65</c:v>
                </c:pt>
                <c:pt idx="267" formatCode="General">
                  <c:v>57</c:v>
                </c:pt>
                <c:pt idx="268" formatCode="General">
                  <c:v>57</c:v>
                </c:pt>
                <c:pt idx="269" formatCode="General">
                  <c:v>73</c:v>
                </c:pt>
                <c:pt idx="270" formatCode="General">
                  <c:v>73</c:v>
                </c:pt>
                <c:pt idx="271" formatCode="General">
                  <c:v>60</c:v>
                </c:pt>
                <c:pt idx="272" formatCode="General">
                  <c:v>60</c:v>
                </c:pt>
                <c:pt idx="273" formatCode="General">
                  <c:v>68</c:v>
                </c:pt>
                <c:pt idx="274" formatCode="General">
                  <c:v>68</c:v>
                </c:pt>
                <c:pt idx="275" formatCode="General">
                  <c:v>64</c:v>
                </c:pt>
                <c:pt idx="276" formatCode="General">
                  <c:v>64</c:v>
                </c:pt>
                <c:pt idx="277" formatCode="General">
                  <c:v>67</c:v>
                </c:pt>
                <c:pt idx="278" formatCode="General">
                  <c:v>67</c:v>
                </c:pt>
                <c:pt idx="279" formatCode="General">
                  <c:v>63</c:v>
                </c:pt>
                <c:pt idx="280" formatCode="General">
                  <c:v>63</c:v>
                </c:pt>
                <c:pt idx="281" formatCode="General">
                  <c:v>60</c:v>
                </c:pt>
                <c:pt idx="282" formatCode="General">
                  <c:v>60</c:v>
                </c:pt>
                <c:pt idx="283" formatCode="General">
                  <c:v>62</c:v>
                </c:pt>
                <c:pt idx="284" formatCode="General">
                  <c:v>62</c:v>
                </c:pt>
                <c:pt idx="285" formatCode="General">
                  <c:v>59</c:v>
                </c:pt>
                <c:pt idx="286" formatCode="General">
                  <c:v>59</c:v>
                </c:pt>
                <c:pt idx="287" formatCode="General">
                  <c:v>68</c:v>
                </c:pt>
                <c:pt idx="288" formatCode="General">
                  <c:v>68</c:v>
                </c:pt>
                <c:pt idx="289" formatCode="General">
                  <c:v>48</c:v>
                </c:pt>
                <c:pt idx="290" formatCode="General">
                  <c:v>48</c:v>
                </c:pt>
                <c:pt idx="291" formatCode="General">
                  <c:v>60</c:v>
                </c:pt>
                <c:pt idx="292" formatCode="General">
                  <c:v>60</c:v>
                </c:pt>
                <c:pt idx="293" formatCode="General">
                  <c:v>49</c:v>
                </c:pt>
                <c:pt idx="294" formatCode="General">
                  <c:v>49</c:v>
                </c:pt>
                <c:pt idx="295" formatCode="General">
                  <c:v>56</c:v>
                </c:pt>
                <c:pt idx="296" formatCode="General">
                  <c:v>56</c:v>
                </c:pt>
                <c:pt idx="297" formatCode="General">
                  <c:v>56</c:v>
                </c:pt>
                <c:pt idx="298" formatCode="General">
                  <c:v>52</c:v>
                </c:pt>
                <c:pt idx="299" formatCode="General">
                  <c:v>52</c:v>
                </c:pt>
                <c:pt idx="300" formatCode="General">
                  <c:v>52</c:v>
                </c:pt>
                <c:pt idx="301" formatCode="General">
                  <c:v>68</c:v>
                </c:pt>
                <c:pt idx="302" formatCode="General">
                  <c:v>68</c:v>
                </c:pt>
                <c:pt idx="303" formatCode="General">
                  <c:v>64</c:v>
                </c:pt>
                <c:pt idx="304" formatCode="General">
                  <c:v>49</c:v>
                </c:pt>
                <c:pt idx="305" formatCode="General">
                  <c:v>49</c:v>
                </c:pt>
                <c:pt idx="306" formatCode="General">
                  <c:v>76</c:v>
                </c:pt>
                <c:pt idx="307" formatCode="General">
                  <c:v>76</c:v>
                </c:pt>
                <c:pt idx="308" formatCode="General">
                  <c:v>64</c:v>
                </c:pt>
                <c:pt idx="309" formatCode="General">
                  <c:v>96</c:v>
                </c:pt>
                <c:pt idx="310" formatCode="General">
                  <c:v>96</c:v>
                </c:pt>
                <c:pt idx="311" formatCode="General">
                  <c:v>83</c:v>
                </c:pt>
                <c:pt idx="312" formatCode="General">
                  <c:v>55</c:v>
                </c:pt>
                <c:pt idx="313" formatCode="General">
                  <c:v>93</c:v>
                </c:pt>
                <c:pt idx="314" formatCode="General">
                  <c:v>93</c:v>
                </c:pt>
                <c:pt idx="315" formatCode="General">
                  <c:v>133</c:v>
                </c:pt>
                <c:pt idx="316" formatCode="General">
                  <c:v>133</c:v>
                </c:pt>
                <c:pt idx="317" formatCode="General">
                  <c:v>54</c:v>
                </c:pt>
                <c:pt idx="318" formatCode="General">
                  <c:v>54</c:v>
                </c:pt>
                <c:pt idx="319" formatCode="General">
                  <c:v>159</c:v>
                </c:pt>
                <c:pt idx="320" formatCode="General">
                  <c:v>159</c:v>
                </c:pt>
                <c:pt idx="321" formatCode="General">
                  <c:v>128</c:v>
                </c:pt>
                <c:pt idx="322" formatCode="General">
                  <c:v>87</c:v>
                </c:pt>
                <c:pt idx="323" formatCode="General">
                  <c:v>55</c:v>
                </c:pt>
                <c:pt idx="324" formatCode="General">
                  <c:v>55</c:v>
                </c:pt>
              </c:numCache>
            </c:numRef>
          </c:yVal>
          <c:smooth val="0"/>
          <c:extLst>
            <c:ext xmlns:c16="http://schemas.microsoft.com/office/drawing/2014/chart" uri="{C3380CC4-5D6E-409C-BE32-E72D297353CC}">
              <c16:uniqueId val="{00000000-41BB-4AFA-890D-73D7C518F983}"/>
            </c:ext>
          </c:extLst>
        </c:ser>
        <c:dLbls>
          <c:showLegendKey val="0"/>
          <c:showVal val="0"/>
          <c:showCatName val="0"/>
          <c:showSerName val="0"/>
          <c:showPercent val="0"/>
          <c:showBubbleSize val="0"/>
        </c:dLbls>
        <c:axId val="60703104"/>
        <c:axId val="60704640"/>
      </c:scatterChart>
      <c:valAx>
        <c:axId val="60703104"/>
        <c:scaling>
          <c:orientation val="minMax"/>
        </c:scaling>
        <c:delete val="0"/>
        <c:axPos val="b"/>
        <c:majorTickMark val="out"/>
        <c:minorTickMark val="none"/>
        <c:tickLblPos val="nextTo"/>
        <c:crossAx val="60704640"/>
        <c:crosses val="autoZero"/>
        <c:crossBetween val="midCat"/>
      </c:valAx>
      <c:valAx>
        <c:axId val="60704640"/>
        <c:scaling>
          <c:orientation val="minMax"/>
        </c:scaling>
        <c:delete val="0"/>
        <c:axPos val="l"/>
        <c:majorGridlines/>
        <c:numFmt formatCode="0" sourceLinked="1"/>
        <c:majorTickMark val="out"/>
        <c:minorTickMark val="none"/>
        <c:tickLblPos val="nextTo"/>
        <c:crossAx val="60703104"/>
        <c:crosses val="autoZero"/>
        <c:crossBetween val="midCat"/>
      </c:valAx>
    </c:plotArea>
    <c:plotVisOnly val="1"/>
    <c:dispBlanksAs val="gap"/>
    <c:showDLblsOverMax val="0"/>
  </c:chart>
  <c:printSettings>
    <c:headerFooter/>
    <c:pageMargins b="0.75000000000000211" l="0.70000000000000062" r="0.70000000000000062" t="0.7500000000000021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numRef>
              <c:f>pivots!$R$3:$R$64</c:f>
              <c:numCache>
                <c:formatCode>General</c:formatCode>
                <c:ptCount val="62"/>
              </c:numCache>
            </c:numRef>
          </c:cat>
          <c:val>
            <c:numRef>
              <c:f>pivots!$U$3:$U$64</c:f>
              <c:numCache>
                <c:formatCode>General</c:formatCode>
                <c:ptCount val="62"/>
              </c:numCache>
            </c:numRef>
          </c:val>
          <c:extLst>
            <c:ext xmlns:c16="http://schemas.microsoft.com/office/drawing/2014/chart" uri="{C3380CC4-5D6E-409C-BE32-E72D297353CC}">
              <c16:uniqueId val="{00000000-5536-47E9-A24A-28AB82770C5D}"/>
            </c:ext>
          </c:extLst>
        </c:ser>
        <c:dLbls>
          <c:showLegendKey val="0"/>
          <c:showVal val="0"/>
          <c:showCatName val="0"/>
          <c:showSerName val="0"/>
          <c:showPercent val="0"/>
          <c:showBubbleSize val="0"/>
        </c:dLbls>
        <c:gapWidth val="150"/>
        <c:axId val="62601088"/>
        <c:axId val="62602624"/>
      </c:barChart>
      <c:catAx>
        <c:axId val="62601088"/>
        <c:scaling>
          <c:orientation val="minMax"/>
        </c:scaling>
        <c:delete val="0"/>
        <c:axPos val="b"/>
        <c:numFmt formatCode="General" sourceLinked="0"/>
        <c:majorTickMark val="out"/>
        <c:minorTickMark val="none"/>
        <c:tickLblPos val="nextTo"/>
        <c:crossAx val="62602624"/>
        <c:crosses val="autoZero"/>
        <c:auto val="1"/>
        <c:lblAlgn val="ctr"/>
        <c:lblOffset val="100"/>
        <c:noMultiLvlLbl val="0"/>
      </c:catAx>
      <c:valAx>
        <c:axId val="62602624"/>
        <c:scaling>
          <c:orientation val="minMax"/>
        </c:scaling>
        <c:delete val="0"/>
        <c:axPos val="l"/>
        <c:majorGridlines/>
        <c:numFmt formatCode="General" sourceLinked="1"/>
        <c:majorTickMark val="out"/>
        <c:minorTickMark val="none"/>
        <c:tickLblPos val="nextTo"/>
        <c:crossAx val="62601088"/>
        <c:crosses val="autoZero"/>
        <c:crossBetween val="between"/>
      </c:valAx>
    </c:plotArea>
    <c:legend>
      <c:legendPos val="r"/>
      <c:overlay val="0"/>
    </c:legend>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[Phenotype_data.xlsm]plusN!PivotTable2</c:name>
    <c:fmtId val="0"/>
  </c:pivotSource>
  <c:chart>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s>
    <c:plotArea>
      <c:layout>
        <c:manualLayout>
          <c:layoutTarget val="inner"/>
          <c:xMode val="edge"/>
          <c:yMode val="edge"/>
          <c:x val="1.8019045751570085E-2"/>
          <c:y val="8.5623749380437236E-2"/>
          <c:w val="0.94654747382535198"/>
          <c:h val="0.82379189956357624"/>
        </c:manualLayout>
      </c:layout>
      <c:barChart>
        <c:barDir val="col"/>
        <c:grouping val="clustered"/>
        <c:varyColors val="0"/>
        <c:dLbls>
          <c:showLegendKey val="0"/>
          <c:showVal val="0"/>
          <c:showCatName val="0"/>
          <c:showSerName val="0"/>
          <c:showPercent val="0"/>
          <c:showBubbleSize val="0"/>
        </c:dLbls>
        <c:gapWidth val="150"/>
        <c:axId val="62643200"/>
        <c:axId val="50414336"/>
      </c:barChart>
      <c:catAx>
        <c:axId val="62643200"/>
        <c:scaling>
          <c:orientation val="minMax"/>
        </c:scaling>
        <c:delete val="0"/>
        <c:axPos val="b"/>
        <c:numFmt formatCode="General" sourceLinked="0"/>
        <c:majorTickMark val="out"/>
        <c:minorTickMark val="none"/>
        <c:tickLblPos val="nextTo"/>
        <c:crossAx val="50414336"/>
        <c:crosses val="autoZero"/>
        <c:auto val="1"/>
        <c:lblAlgn val="ctr"/>
        <c:lblOffset val="100"/>
        <c:noMultiLvlLbl val="0"/>
      </c:catAx>
      <c:valAx>
        <c:axId val="50414336"/>
        <c:scaling>
          <c:orientation val="minMax"/>
          <c:min val="0"/>
        </c:scaling>
        <c:delete val="0"/>
        <c:axPos val="l"/>
        <c:majorGridlines/>
        <c:numFmt formatCode="General" sourceLinked="1"/>
        <c:majorTickMark val="out"/>
        <c:minorTickMark val="none"/>
        <c:tickLblPos val="nextTo"/>
        <c:crossAx val="62643200"/>
        <c:crosses val="autoZero"/>
        <c:crossBetween val="between"/>
      </c:valAx>
    </c:plotArea>
    <c:legend>
      <c:legendPos val="r"/>
      <c:overlay val="0"/>
    </c:legend>
    <c:plotVisOnly val="1"/>
    <c:dispBlanksAs val="gap"/>
    <c:showDLblsOverMax val="0"/>
  </c:chart>
  <c:printSettings>
    <c:headerFooter/>
    <c:pageMargins b="0.75000000000000033" l="0.70000000000000029" r="0.70000000000000029" t="0.75000000000000033" header="0.30000000000000016" footer="0.30000000000000016"/>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7</xdr:col>
      <xdr:colOff>1039586</xdr:colOff>
      <xdr:row>140</xdr:row>
      <xdr:rowOff>79601</xdr:rowOff>
    </xdr:from>
    <xdr:to>
      <xdr:col>14</xdr:col>
      <xdr:colOff>409575</xdr:colOff>
      <xdr:row>154</xdr:row>
      <xdr:rowOff>155801</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16</xdr:col>
      <xdr:colOff>290945</xdr:colOff>
      <xdr:row>36</xdr:row>
      <xdr:rowOff>170151</xdr:rowOff>
    </xdr:from>
    <xdr:to>
      <xdr:col>30</xdr:col>
      <xdr:colOff>318654</xdr:colOff>
      <xdr:row>62</xdr:row>
      <xdr:rowOff>70139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587375</xdr:colOff>
      <xdr:row>25</xdr:row>
      <xdr:rowOff>149223</xdr:rowOff>
    </xdr:from>
    <xdr:to>
      <xdr:col>31</xdr:col>
      <xdr:colOff>47624</xdr:colOff>
      <xdr:row>77</xdr:row>
      <xdr:rowOff>174624</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Alex" refreshedDate="41749.004910995369" createdVersion="4" refreshedVersion="4" minRefreshableVersion="3" recordCount="940">
  <cacheSource type="worksheet">
    <worksheetSource ref="A1:J1048576" sheet="All inst data"/>
  </cacheSource>
  <cacheFields count="10">
    <cacheField name="UniqueID" numFmtId="0">
      <sharedItems containsString="0" containsBlank="1" containsNumber="1" containsInteger="1" minValue="1" maxValue="311" count="31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40"/>
        <n v="141"/>
        <n v="142"/>
        <n v="143"/>
        <n v="144"/>
        <n v="145"/>
        <n v="146"/>
        <n v="147"/>
        <n v="148"/>
        <n v="149"/>
        <n v="150"/>
        <n v="151"/>
        <n v="152"/>
        <n v="153"/>
        <n v="154"/>
        <n v="155"/>
        <n v="156"/>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m/>
      </sharedItems>
    </cacheField>
    <cacheField name="Subject" numFmtId="0">
      <sharedItems containsString="0" containsBlank="1" containsNumber="1" containsInteger="1" minValue="1" maxValue="60"/>
    </cacheField>
    <cacheField name="Cohort" numFmtId="0">
      <sharedItems containsString="0" containsBlank="1" containsNumber="1" containsInteger="1" minValue="1" maxValue="16"/>
    </cacheField>
    <cacheField name="Training day" numFmtId="0">
      <sharedItems containsString="0" containsBlank="1" containsNumber="1" containsInteger="1" minValue="1" maxValue="3" count="4">
        <n v="1"/>
        <n v="2"/>
        <n v="3"/>
        <m/>
      </sharedItems>
    </cacheField>
    <cacheField name="StartDate" numFmtId="0">
      <sharedItems containsString="0" containsBlank="1" containsNumber="1" containsInteger="1" minValue="130313" maxValue="140417"/>
    </cacheField>
    <cacheField name="StartTime" numFmtId="0">
      <sharedItems containsString="0" containsBlank="1" containsNumber="1" containsInteger="1" minValue="2606" maxValue="151244"/>
    </cacheField>
    <cacheField name="Group" numFmtId="0">
      <sharedItems containsBlank="1" count="87">
        <s v="NOD/SHILTJ"/>
        <s v="DBA/1J"/>
        <s v="A/J"/>
        <s v="129X1/SvJ"/>
        <s v="C3H/HeJ"/>
        <s v="BALB/cJ"/>
        <s v="SJL/J"/>
        <s v="BALB/cByJ"/>
        <s v="FVB/NJ"/>
        <s v="C57BL/10J"/>
        <s v="C3HeB/FeJ"/>
        <s v="KK/HIJ"/>
        <s v="C57BL/6J"/>
        <s v="BXD95/RwwJ"/>
        <s v="BXD60/RwwJ"/>
        <s v="DBA/2J"/>
        <s v="BXD77/RwwJ"/>
        <s v="BXD40/TyJ"/>
        <s v="BXD9/TyJ"/>
        <s v="BXD65/RwwJ"/>
        <s v="BXD62/RwwJ"/>
        <s v="BXD51/RwwJ"/>
        <s v="BXD96/RwwJ"/>
        <s v="BXD66/RwwJ"/>
        <s v="BXD48/RwwJ"/>
        <s v="BXD90/RwwJ"/>
        <s v="BXD1/TyJ"/>
        <s v="BXD24/TyJ"/>
        <s v="BXD29/TyJ"/>
        <s v="BXD39/TyJ"/>
        <s v="BXD84/RwwJ"/>
        <s v="BXD100/RwwJ"/>
        <s v="BXD68/RwwJ"/>
        <s v="BXD42/TyJ"/>
        <s v="BXD32/TyJ"/>
        <s v="C57J/L"/>
        <s v="PL/J"/>
        <s v="MRL/MpJ"/>
        <s v="CBA/J"/>
        <s v="AKR/J"/>
        <s v="NZB/BlNJ"/>
        <s v="SM/J"/>
        <s v="NZW/LacJ"/>
        <s v="129S1/SvImJ"/>
        <s v="LP/J"/>
        <s v="CAST/EiJ"/>
        <s v="C57BLKS/J"/>
        <s v="MOLF/EiJ"/>
        <s v="PWD/PhJ"/>
        <s v="DDY/JclSidSeyFrk"/>
        <s v="BXD31/TyJ"/>
        <s v="NON/ShiLtJ"/>
        <s v="RIIIS/J"/>
        <s v="SEA/GnJ"/>
        <s v="ILS"/>
        <s v="P/J"/>
        <s v="BUB/BnJ"/>
        <s v="ZALENDE/EiJ"/>
        <s v="I/LnJ"/>
        <s v="CE/J"/>
        <s v="ISS"/>
        <s v="CXB1/ByJ"/>
        <s v="AXB8/PgnJ"/>
        <s v="BXH22/KccJ"/>
        <s v="BTBR/T/tf/J"/>
        <s v="BPL/1J"/>
        <s v="BXA13/PgnJ"/>
        <s v="BXH8/TyJ"/>
        <s v="BXA16/PgnJ"/>
        <s v="LG/J"/>
        <s v="BXH4/TyJ"/>
        <s v="BXA4/PgnJ"/>
        <s v="BXD75/RwwJ"/>
        <s v="BXH6/TyJ"/>
        <s v="BXH9/TyJ"/>
        <s v="CXB8/HiAJ"/>
        <s v="BXA25/PgnJ"/>
        <s v="CXB11/HiAJ"/>
        <s v="AXB19a/PgnJ"/>
        <s v="C58/J"/>
        <s v="BXH19/TyJ"/>
        <s v="AXB15/PgnJ"/>
        <s v="BXA14/PgnJ"/>
        <s v="AXB1/PgnJ"/>
        <s v="NOR/LtJ"/>
        <s v="AXB23/PgnJ"/>
        <m/>
      </sharedItems>
    </cacheField>
    <cacheField name="Box" numFmtId="0">
      <sharedItems containsString="0" containsBlank="1" containsNumber="1" containsInteger="1" minValue="1" maxValue="16"/>
    </cacheField>
    <cacheField name="Active" numFmtId="0">
      <sharedItems containsString="0" containsBlank="1" containsNumber="1" containsInteger="1" minValue="0" maxValue="2772"/>
    </cacheField>
    <cacheField name="Reinfs" numFmtId="0">
      <sharedItems containsString="0" containsBlank="1" containsNumber="1" containsInteger="1" minValue="0" maxValue="500" count="285">
        <n v="464"/>
        <n v="440"/>
        <n v="3"/>
        <n v="8"/>
        <n v="34"/>
        <n v="32"/>
        <n v="1"/>
        <n v="2"/>
        <n v="5"/>
        <n v="500"/>
        <n v="312"/>
        <n v="302"/>
        <n v="128"/>
        <n v="0"/>
        <n v="19"/>
        <n v="22"/>
        <n v="221"/>
        <n v="462"/>
        <n v="15"/>
        <n v="146"/>
        <n v="4"/>
        <n v="137"/>
        <n v="388"/>
        <n v="258"/>
        <n v="142"/>
        <n v="341"/>
        <n v="486"/>
        <n v="107"/>
        <n v="216"/>
        <n v="270"/>
        <n v="484"/>
        <n v="374"/>
        <n v="190"/>
        <n v="187"/>
        <n v="131"/>
        <n v="327"/>
        <n v="360"/>
        <n v="10"/>
        <n v="40"/>
        <n v="103"/>
        <n v="184"/>
        <n v="218"/>
        <n v="120"/>
        <n v="442"/>
        <n v="355"/>
        <n v="209"/>
        <n v="228"/>
        <n v="153"/>
        <n v="139"/>
        <n v="295"/>
        <n v="420"/>
        <n v="407"/>
        <n v="319"/>
        <n v="325"/>
        <n v="441"/>
        <n v="183"/>
        <n v="281"/>
        <n v="121"/>
        <n v="196"/>
        <n v="366"/>
        <n v="348"/>
        <n v="210"/>
        <n v="340"/>
        <n v="154"/>
        <n v="17"/>
        <n v="124"/>
        <n v="266"/>
        <n v="91"/>
        <n v="444"/>
        <n v="303"/>
        <n v="432"/>
        <n v="334"/>
        <n v="445"/>
        <n v="161"/>
        <n v="205"/>
        <n v="143"/>
        <n v="497"/>
        <n v="404"/>
        <n v="346"/>
        <n v="289"/>
        <n v="459"/>
        <n v="213"/>
        <n v="286"/>
        <n v="392"/>
        <n v="291"/>
        <n v="306"/>
        <n v="493"/>
        <n v="491"/>
        <n v="9"/>
        <n v="6"/>
        <n v="362"/>
        <n v="56"/>
        <n v="191"/>
        <n v="116"/>
        <n v="223"/>
        <n v="456"/>
        <n v="201"/>
        <n v="222"/>
        <n v="122"/>
        <n v="257"/>
        <n v="37"/>
        <n v="467"/>
        <n v="246"/>
        <n v="285"/>
        <n v="195"/>
        <n v="102"/>
        <n v="261"/>
        <n v="308"/>
        <n v="133"/>
        <n v="145"/>
        <n v="43"/>
        <n v="323"/>
        <n v="224"/>
        <n v="417"/>
        <n v="130"/>
        <n v="123"/>
        <n v="446"/>
        <n v="331"/>
        <n v="115"/>
        <n v="106"/>
        <n v="382"/>
        <n v="109"/>
        <n v="150"/>
        <n v="69"/>
        <n v="135"/>
        <n v="225"/>
        <n v="165"/>
        <n v="370"/>
        <n v="76"/>
        <n v="409"/>
        <n v="62"/>
        <n v="170"/>
        <n v="408"/>
        <n v="148"/>
        <n v="398"/>
        <n v="304"/>
        <n v="396"/>
        <n v="311"/>
        <n v="18"/>
        <n v="328"/>
        <n v="31"/>
        <n v="390"/>
        <n v="284"/>
        <n v="101"/>
        <n v="290"/>
        <n v="155"/>
        <n v="385"/>
        <n v="211"/>
        <n v="376"/>
        <n v="470"/>
        <n v="416"/>
        <n v="358"/>
        <n v="488"/>
        <n v="98"/>
        <n v="204"/>
        <n v="63"/>
        <n v="117"/>
        <n v="164"/>
        <n v="38"/>
        <n v="322"/>
        <n v="310"/>
        <n v="140"/>
        <n v="162"/>
        <n v="185"/>
        <n v="499"/>
        <n v="152"/>
        <n v="96"/>
        <n v="241"/>
        <n v="372"/>
        <n v="260"/>
        <n v="300"/>
        <n v="212"/>
        <n v="20"/>
        <n v="229"/>
        <n v="28"/>
        <n v="443"/>
        <n v="425"/>
        <n v="65"/>
        <n v="231"/>
        <n v="141"/>
        <n v="166"/>
        <n v="53"/>
        <n v="147"/>
        <n v="230"/>
        <n v="298"/>
        <n v="243"/>
        <n v="381"/>
        <n v="465"/>
        <n v="255"/>
        <n v="129"/>
        <n v="356"/>
        <n v="110"/>
        <n v="400"/>
        <n v="389"/>
        <n v="279"/>
        <n v="70"/>
        <n v="393"/>
        <n v="453"/>
        <n v="263"/>
        <n v="7"/>
        <n v="415"/>
        <n v="345"/>
        <n v="25"/>
        <n v="438"/>
        <n v="350"/>
        <n v="23"/>
        <n v="411"/>
        <n v="435"/>
        <n v="11"/>
        <n v="92"/>
        <n v="208"/>
        <n v="232"/>
        <n v="480"/>
        <n v="454"/>
        <n v="151"/>
        <n v="242"/>
        <n v="199"/>
        <n v="379"/>
        <n v="158"/>
        <n v="175"/>
        <n v="176"/>
        <n v="159"/>
        <n v="144"/>
        <n v="424"/>
        <n v="450"/>
        <n v="203"/>
        <n v="138"/>
        <n v="421"/>
        <n v="13"/>
        <n v="104"/>
        <n v="235"/>
        <n v="351"/>
        <n v="118"/>
        <n v="125"/>
        <n v="391"/>
        <n v="189"/>
        <n v="437"/>
        <n v="108"/>
        <n v="197"/>
        <n v="132"/>
        <n v="276"/>
        <n v="217"/>
        <n v="214"/>
        <n v="371"/>
        <n v="156"/>
        <n v="192"/>
        <n v="269"/>
        <n v="99"/>
        <n v="180"/>
        <n v="299"/>
        <n v="384"/>
        <n v="126"/>
        <n v="188"/>
        <n v="179"/>
        <n v="433"/>
        <n v="449"/>
        <n v="174"/>
        <n v="105"/>
        <n v="321"/>
        <n v="332"/>
        <n v="490"/>
        <n v="426"/>
        <n v="277"/>
        <n v="293"/>
        <n v="313"/>
        <n v="233"/>
        <n v="383"/>
        <n v="127"/>
        <n v="248"/>
        <n v="239"/>
        <n v="297"/>
        <n v="419"/>
        <n v="369"/>
        <n v="494"/>
        <n v="447"/>
        <n v="495"/>
        <n v="173"/>
        <n v="181"/>
        <n v="49"/>
        <n v="365"/>
        <n v="206"/>
        <n v="265"/>
        <n v="253"/>
        <n v="402"/>
        <m/>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Alex" refreshedDate="41774.702623611112" createdVersion="4" refreshedVersion="4" minRefreshableVersion="3" recordCount="406">
  <cacheSource type="worksheet">
    <worksheetSource ref="A1:J1048576" sheet="HMDPinst"/>
  </cacheSource>
  <cacheFields count="10">
    <cacheField name="FID" numFmtId="0">
      <sharedItems containsBlank="1" count="87">
        <s v="NOD/ShiLtJ"/>
        <s v="DBA/1J"/>
        <s v="A/J"/>
        <s v="129X1/SvJ"/>
        <s v="C3H/HeJ"/>
        <s v="BALB/cJ"/>
        <s v="SJL/J"/>
        <s v="BALB/cByJ"/>
        <s v="FVB/NJ"/>
        <s v="C57BL/10J"/>
        <s v="C3HeB/FeJ"/>
        <s v="KK/HlJ"/>
        <s v="C57BL/6J"/>
        <s v="BXD95/RwwJ"/>
        <s v="BXD60/RwwJ"/>
        <s v="DBA/2J"/>
        <s v="BXD77/RwwJ"/>
        <s v="BXD40/TyJ"/>
        <s v="BXD9/TyJ"/>
        <s v="BXD65/RwwJ"/>
        <s v="BXD62/RwwJ"/>
        <s v="BXD51/RwwJ"/>
        <s v="BXD96/RwwJ"/>
        <s v="BXD66/RwwJ"/>
        <s v="BXD48/RwwJ"/>
        <s v="BXD90/RwwJ"/>
        <s v="BXD1/TyJ"/>
        <s v="BXD24/TyJ"/>
        <s v="BXD29/TyJ"/>
        <s v="BXD39/TyJ"/>
        <s v="BXD84/RwwJ"/>
        <s v="BXD100/RwwJ"/>
        <s v="BXD68/RwwJ"/>
        <s v="BXD42/TyJ"/>
        <s v="BXD32/TyJ"/>
        <s v="C57L/J"/>
        <s v="PL/J"/>
        <s v="MRL/MpJ"/>
        <s v="CBA/J"/>
        <s v="AKR/J"/>
        <s v="NZB/BlNJ"/>
        <s v="SM/J"/>
        <s v="NZW/LacJ"/>
        <s v="129S1/SvImJ"/>
        <s v="LP/J"/>
        <s v="CAST/EiJ"/>
        <s v="C57BLKS/J"/>
        <s v="MOLF/EiJ"/>
        <s v="PWD/PhJ"/>
        <s v="DDY/JclSidSeyFrk"/>
        <s v="BXD31/TyJ"/>
        <s v="NON/ShiLtJ"/>
        <s v="RIIIS/J"/>
        <s v="SEA/GnJ"/>
        <s v="ILS"/>
        <s v="P/J"/>
        <s v="BUB/BnJ"/>
        <s v="ZALENDE/EiJ"/>
        <s v="I/LnJ"/>
        <s v="CE/J"/>
        <s v="ISS"/>
        <s v="CXB1/ByJ"/>
        <s v="AXB8/PgnJ"/>
        <s v="BXH22/KccJ"/>
        <s v="BTBR/T/tf/J"/>
        <s v="BPL/1J"/>
        <s v="BXA13/PgnJ"/>
        <s v="BXH8/TyJ"/>
        <s v="BXA16/PgnJ"/>
        <s v="LG/J"/>
        <s v="BXH4/TyJ"/>
        <s v="BXA4/PgnJ"/>
        <s v="BXD75/RwwJ"/>
        <s v="BXH6/TyJ"/>
        <s v="BXH9/TyJ"/>
        <s v="CXB8/HiAJ"/>
        <s v="BXA25/PgnJ"/>
        <s v="CXB11/HiAJ"/>
        <s v="AXB19a/PgnJ"/>
        <s v="C58/J"/>
        <s v="BXH19/TyJ"/>
        <s v="AXB15/PgnJ"/>
        <s v="BXA14/PgnJ"/>
        <s v="AXB1/PgnJ"/>
        <s v="NOR/LtJ"/>
        <s v="AXB23/PgnJ"/>
        <m/>
      </sharedItems>
    </cacheField>
    <cacheField name="IID" numFmtId="0">
      <sharedItems containsString="0" containsBlank="1" containsNumber="1" containsInteger="1" minValue="1" maxValue="311" count="31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40"/>
        <n v="141"/>
        <n v="142"/>
        <n v="143"/>
        <n v="144"/>
        <n v="145"/>
        <n v="146"/>
        <n v="147"/>
        <n v="148"/>
        <n v="149"/>
        <n v="150"/>
        <n v="151"/>
        <n v="152"/>
        <n v="153"/>
        <n v="154"/>
        <n v="155"/>
        <n v="156"/>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m/>
      </sharedItems>
    </cacheField>
    <cacheField name="Active" numFmtId="0">
      <sharedItems containsString="0" containsBlank="1" containsNumber="1" containsInteger="1" minValue="-9" maxValue="7544"/>
    </cacheField>
    <cacheField name="Reinfs" numFmtId="0">
      <sharedItems containsString="0" containsBlank="1" containsNumber="1" containsInteger="1" minValue="-9" maxValue="1500"/>
    </cacheField>
    <cacheField name="ActivesD1" numFmtId="0">
      <sharedItems containsString="0" containsBlank="1" containsNumber="1" containsInteger="1" minValue="-9" maxValue="2448"/>
    </cacheField>
    <cacheField name="ReinfsD1" numFmtId="0">
      <sharedItems containsString="0" containsBlank="1" containsNumber="1" containsInteger="1" minValue="-9" maxValue="500"/>
    </cacheField>
    <cacheField name="ActivesD2" numFmtId="0">
      <sharedItems containsString="0" containsBlank="1" containsNumber="1" containsInteger="1" minValue="-9" maxValue="2772"/>
    </cacheField>
    <cacheField name="ReinfsD2" numFmtId="0">
      <sharedItems containsString="0" containsBlank="1" containsNumber="1" containsInteger="1" minValue="-9" maxValue="500"/>
    </cacheField>
    <cacheField name="ActivesD3" numFmtId="0">
      <sharedItems containsString="0" containsBlank="1" containsNumber="1" containsInteger="1" minValue="-9" maxValue="2666"/>
    </cacheField>
    <cacheField name="ReinfsD3" numFmtId="0">
      <sharedItems containsString="0" containsBlank="1" containsNumber="1" containsInteger="1" minValue="-9" maxValue="5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40">
  <r>
    <x v="0"/>
    <n v="1"/>
    <n v="1"/>
    <x v="0"/>
    <n v="130313"/>
    <n v="93133"/>
    <x v="0"/>
    <n v="1"/>
    <n v="2044"/>
    <x v="0"/>
  </r>
  <r>
    <x v="1"/>
    <n v="2"/>
    <n v="1"/>
    <x v="0"/>
    <n v="130313"/>
    <n v="93134"/>
    <x v="0"/>
    <n v="2"/>
    <n v="2071"/>
    <x v="1"/>
  </r>
  <r>
    <x v="2"/>
    <n v="3"/>
    <n v="1"/>
    <x v="0"/>
    <n v="130313"/>
    <n v="93134"/>
    <x v="1"/>
    <n v="3"/>
    <n v="3"/>
    <x v="2"/>
  </r>
  <r>
    <x v="3"/>
    <n v="4"/>
    <n v="1"/>
    <x v="0"/>
    <n v="130313"/>
    <n v="93134"/>
    <x v="1"/>
    <n v="4"/>
    <n v="8"/>
    <x v="3"/>
  </r>
  <r>
    <x v="4"/>
    <n v="5"/>
    <n v="1"/>
    <x v="0"/>
    <n v="130313"/>
    <n v="93134"/>
    <x v="2"/>
    <n v="5"/>
    <n v="38"/>
    <x v="4"/>
  </r>
  <r>
    <x v="5"/>
    <n v="6"/>
    <n v="1"/>
    <x v="0"/>
    <n v="130313"/>
    <n v="93134"/>
    <x v="2"/>
    <n v="6"/>
    <n v="35"/>
    <x v="5"/>
  </r>
  <r>
    <x v="6"/>
    <n v="7"/>
    <n v="1"/>
    <x v="0"/>
    <n v="130313"/>
    <n v="93134"/>
    <x v="3"/>
    <n v="7"/>
    <n v="1"/>
    <x v="6"/>
  </r>
  <r>
    <x v="7"/>
    <n v="8"/>
    <n v="1"/>
    <x v="0"/>
    <n v="130313"/>
    <n v="93134"/>
    <x v="3"/>
    <n v="8"/>
    <n v="2"/>
    <x v="7"/>
  </r>
  <r>
    <x v="8"/>
    <n v="9"/>
    <n v="1"/>
    <x v="0"/>
    <n v="130313"/>
    <n v="93134"/>
    <x v="4"/>
    <n v="9"/>
    <n v="5"/>
    <x v="8"/>
  </r>
  <r>
    <x v="9"/>
    <n v="10"/>
    <n v="1"/>
    <x v="0"/>
    <n v="130313"/>
    <n v="93135"/>
    <x v="4"/>
    <n v="10"/>
    <n v="5"/>
    <x v="8"/>
  </r>
  <r>
    <x v="10"/>
    <n v="11"/>
    <n v="1"/>
    <x v="0"/>
    <n v="130313"/>
    <n v="93135"/>
    <x v="5"/>
    <n v="11"/>
    <n v="2160"/>
    <x v="9"/>
  </r>
  <r>
    <x v="11"/>
    <n v="12"/>
    <n v="1"/>
    <x v="0"/>
    <n v="130313"/>
    <n v="93135"/>
    <x v="5"/>
    <n v="12"/>
    <n v="1230"/>
    <x v="10"/>
  </r>
  <r>
    <x v="0"/>
    <n v="1"/>
    <n v="1"/>
    <x v="1"/>
    <n v="130314"/>
    <n v="81353"/>
    <x v="0"/>
    <n v="1"/>
    <n v="2237"/>
    <x v="9"/>
  </r>
  <r>
    <x v="1"/>
    <n v="2"/>
    <n v="1"/>
    <x v="1"/>
    <n v="130314"/>
    <n v="81354"/>
    <x v="0"/>
    <n v="2"/>
    <n v="1223"/>
    <x v="11"/>
  </r>
  <r>
    <x v="2"/>
    <n v="3"/>
    <n v="1"/>
    <x v="1"/>
    <n v="130314"/>
    <n v="81354"/>
    <x v="1"/>
    <n v="3"/>
    <n v="2"/>
    <x v="7"/>
  </r>
  <r>
    <x v="3"/>
    <n v="4"/>
    <n v="1"/>
    <x v="1"/>
    <n v="130314"/>
    <n v="81354"/>
    <x v="1"/>
    <n v="4"/>
    <n v="3"/>
    <x v="2"/>
  </r>
  <r>
    <x v="4"/>
    <n v="5"/>
    <n v="1"/>
    <x v="1"/>
    <n v="130314"/>
    <n v="81354"/>
    <x v="2"/>
    <n v="5"/>
    <n v="300"/>
    <x v="12"/>
  </r>
  <r>
    <x v="5"/>
    <n v="6"/>
    <n v="1"/>
    <x v="1"/>
    <n v="130314"/>
    <n v="81354"/>
    <x v="2"/>
    <n v="6"/>
    <n v="303"/>
    <x v="12"/>
  </r>
  <r>
    <x v="6"/>
    <n v="7"/>
    <n v="1"/>
    <x v="1"/>
    <n v="130314"/>
    <n v="81354"/>
    <x v="3"/>
    <n v="7"/>
    <n v="0"/>
    <x v="13"/>
  </r>
  <r>
    <x v="7"/>
    <n v="8"/>
    <n v="1"/>
    <x v="1"/>
    <n v="130314"/>
    <n v="81354"/>
    <x v="3"/>
    <n v="8"/>
    <n v="0"/>
    <x v="13"/>
  </r>
  <r>
    <x v="8"/>
    <n v="9"/>
    <n v="1"/>
    <x v="1"/>
    <n v="130314"/>
    <n v="81354"/>
    <x v="4"/>
    <n v="9"/>
    <n v="5"/>
    <x v="8"/>
  </r>
  <r>
    <x v="9"/>
    <n v="10"/>
    <n v="1"/>
    <x v="1"/>
    <n v="130314"/>
    <n v="81355"/>
    <x v="4"/>
    <n v="10"/>
    <n v="4"/>
    <x v="2"/>
  </r>
  <r>
    <x v="10"/>
    <n v="11"/>
    <n v="1"/>
    <x v="1"/>
    <n v="130314"/>
    <n v="81355"/>
    <x v="5"/>
    <n v="11"/>
    <n v="2165"/>
    <x v="9"/>
  </r>
  <r>
    <x v="11"/>
    <n v="12"/>
    <n v="1"/>
    <x v="1"/>
    <n v="130314"/>
    <n v="81355"/>
    <x v="5"/>
    <n v="12"/>
    <n v="2174"/>
    <x v="9"/>
  </r>
  <r>
    <x v="0"/>
    <n v="1"/>
    <n v="1"/>
    <x v="2"/>
    <n v="130315"/>
    <n v="105008"/>
    <x v="0"/>
    <n v="1"/>
    <n v="2171"/>
    <x v="9"/>
  </r>
  <r>
    <x v="1"/>
    <n v="2"/>
    <n v="1"/>
    <x v="2"/>
    <n v="130315"/>
    <n v="105009"/>
    <x v="0"/>
    <n v="2"/>
    <n v="2173"/>
    <x v="9"/>
  </r>
  <r>
    <x v="2"/>
    <n v="3"/>
    <n v="1"/>
    <x v="2"/>
    <n v="130315"/>
    <n v="105009"/>
    <x v="1"/>
    <n v="3"/>
    <n v="20"/>
    <x v="14"/>
  </r>
  <r>
    <x v="3"/>
    <n v="4"/>
    <n v="1"/>
    <x v="2"/>
    <n v="130315"/>
    <n v="105009"/>
    <x v="1"/>
    <n v="4"/>
    <n v="24"/>
    <x v="15"/>
  </r>
  <r>
    <x v="4"/>
    <n v="5"/>
    <n v="1"/>
    <x v="2"/>
    <n v="130315"/>
    <n v="105009"/>
    <x v="2"/>
    <n v="5"/>
    <n v="760"/>
    <x v="16"/>
  </r>
  <r>
    <x v="5"/>
    <n v="6"/>
    <n v="1"/>
    <x v="2"/>
    <n v="130315"/>
    <n v="105009"/>
    <x v="2"/>
    <n v="6"/>
    <n v="1994"/>
    <x v="17"/>
  </r>
  <r>
    <x v="6"/>
    <n v="7"/>
    <n v="1"/>
    <x v="2"/>
    <n v="130315"/>
    <n v="105010"/>
    <x v="3"/>
    <n v="7"/>
    <n v="1"/>
    <x v="6"/>
  </r>
  <r>
    <x v="7"/>
    <n v="8"/>
    <n v="1"/>
    <x v="2"/>
    <n v="130315"/>
    <n v="105010"/>
    <x v="3"/>
    <n v="8"/>
    <n v="1"/>
    <x v="6"/>
  </r>
  <r>
    <x v="8"/>
    <n v="9"/>
    <n v="1"/>
    <x v="2"/>
    <n v="130315"/>
    <n v="105010"/>
    <x v="4"/>
    <n v="9"/>
    <n v="15"/>
    <x v="18"/>
  </r>
  <r>
    <x v="9"/>
    <n v="10"/>
    <n v="1"/>
    <x v="2"/>
    <n v="130315"/>
    <n v="105010"/>
    <x v="4"/>
    <n v="10"/>
    <n v="388"/>
    <x v="19"/>
  </r>
  <r>
    <x v="10"/>
    <n v="11"/>
    <n v="1"/>
    <x v="2"/>
    <n v="130315"/>
    <n v="105010"/>
    <x v="5"/>
    <n v="11"/>
    <n v="2158"/>
    <x v="9"/>
  </r>
  <r>
    <x v="11"/>
    <n v="12"/>
    <n v="1"/>
    <x v="2"/>
    <n v="130315"/>
    <n v="105010"/>
    <x v="5"/>
    <n v="12"/>
    <n v="2165"/>
    <x v="9"/>
  </r>
  <r>
    <x v="12"/>
    <n v="13"/>
    <n v="1"/>
    <x v="0"/>
    <n v="130319"/>
    <n v="94656"/>
    <x v="6"/>
    <n v="1"/>
    <n v="4"/>
    <x v="20"/>
  </r>
  <r>
    <x v="13"/>
    <n v="14"/>
    <n v="1"/>
    <x v="0"/>
    <n v="130319"/>
    <n v="94656"/>
    <x v="6"/>
    <n v="2"/>
    <n v="5"/>
    <x v="8"/>
  </r>
  <r>
    <x v="14"/>
    <n v="15"/>
    <n v="1"/>
    <x v="0"/>
    <n v="130319"/>
    <n v="94656"/>
    <x v="7"/>
    <n v="3"/>
    <n v="2171"/>
    <x v="9"/>
  </r>
  <r>
    <x v="15"/>
    <n v="16"/>
    <n v="1"/>
    <x v="0"/>
    <n v="130319"/>
    <n v="94657"/>
    <x v="7"/>
    <n v="4"/>
    <n v="359"/>
    <x v="21"/>
  </r>
  <r>
    <x v="16"/>
    <n v="17"/>
    <n v="1"/>
    <x v="0"/>
    <n v="130319"/>
    <n v="94657"/>
    <x v="8"/>
    <n v="5"/>
    <n v="2294"/>
    <x v="9"/>
  </r>
  <r>
    <x v="17"/>
    <n v="18"/>
    <n v="1"/>
    <x v="0"/>
    <n v="130319"/>
    <n v="94657"/>
    <x v="8"/>
    <n v="6"/>
    <n v="15"/>
    <x v="18"/>
  </r>
  <r>
    <x v="18"/>
    <n v="19"/>
    <n v="1"/>
    <x v="0"/>
    <n v="130319"/>
    <n v="94657"/>
    <x v="9"/>
    <n v="7"/>
    <n v="1636"/>
    <x v="22"/>
  </r>
  <r>
    <x v="19"/>
    <n v="20"/>
    <n v="1"/>
    <x v="0"/>
    <n v="130319"/>
    <n v="94657"/>
    <x v="9"/>
    <n v="8"/>
    <n v="942"/>
    <x v="23"/>
  </r>
  <r>
    <x v="20"/>
    <n v="21"/>
    <n v="1"/>
    <x v="0"/>
    <n v="130319"/>
    <n v="94657"/>
    <x v="10"/>
    <n v="9"/>
    <n v="5"/>
    <x v="8"/>
  </r>
  <r>
    <x v="21"/>
    <n v="22"/>
    <n v="1"/>
    <x v="0"/>
    <n v="130319"/>
    <n v="94657"/>
    <x v="10"/>
    <n v="10"/>
    <n v="4"/>
    <x v="20"/>
  </r>
  <r>
    <x v="22"/>
    <n v="23"/>
    <n v="1"/>
    <x v="0"/>
    <n v="130319"/>
    <n v="94658"/>
    <x v="11"/>
    <n v="11"/>
    <n v="364"/>
    <x v="24"/>
  </r>
  <r>
    <x v="23"/>
    <n v="24"/>
    <n v="1"/>
    <x v="0"/>
    <n v="130319"/>
    <n v="94658"/>
    <x v="11"/>
    <n v="12"/>
    <n v="1383"/>
    <x v="25"/>
  </r>
  <r>
    <x v="12"/>
    <n v="13"/>
    <n v="1"/>
    <x v="1"/>
    <n v="130320"/>
    <n v="113635"/>
    <x v="6"/>
    <n v="1"/>
    <n v="5"/>
    <x v="8"/>
  </r>
  <r>
    <x v="13"/>
    <n v="14"/>
    <n v="1"/>
    <x v="1"/>
    <n v="130320"/>
    <n v="113635"/>
    <x v="6"/>
    <n v="2"/>
    <n v="363"/>
    <x v="24"/>
  </r>
  <r>
    <x v="14"/>
    <n v="15"/>
    <n v="1"/>
    <x v="1"/>
    <n v="130320"/>
    <n v="113636"/>
    <x v="7"/>
    <n v="3"/>
    <n v="2167"/>
    <x v="9"/>
  </r>
  <r>
    <x v="15"/>
    <n v="16"/>
    <n v="1"/>
    <x v="1"/>
    <n v="130320"/>
    <n v="113636"/>
    <x v="7"/>
    <n v="4"/>
    <n v="2173"/>
    <x v="9"/>
  </r>
  <r>
    <x v="16"/>
    <n v="17"/>
    <n v="1"/>
    <x v="1"/>
    <n v="130320"/>
    <n v="113636"/>
    <x v="8"/>
    <n v="5"/>
    <n v="2435"/>
    <x v="9"/>
  </r>
  <r>
    <x v="17"/>
    <n v="18"/>
    <n v="1"/>
    <x v="1"/>
    <n v="130320"/>
    <n v="113636"/>
    <x v="8"/>
    <n v="6"/>
    <n v="2174"/>
    <x v="9"/>
  </r>
  <r>
    <x v="18"/>
    <n v="19"/>
    <n v="1"/>
    <x v="1"/>
    <n v="130320"/>
    <n v="113636"/>
    <x v="9"/>
    <n v="7"/>
    <n v="2256"/>
    <x v="9"/>
  </r>
  <r>
    <x v="19"/>
    <n v="20"/>
    <n v="1"/>
    <x v="1"/>
    <n v="130320"/>
    <n v="113636"/>
    <x v="9"/>
    <n v="8"/>
    <n v="2098"/>
    <x v="26"/>
  </r>
  <r>
    <x v="20"/>
    <n v="21"/>
    <n v="1"/>
    <x v="1"/>
    <n v="130320"/>
    <n v="113636"/>
    <x v="10"/>
    <n v="9"/>
    <n v="186"/>
    <x v="27"/>
  </r>
  <r>
    <x v="21"/>
    <n v="22"/>
    <n v="1"/>
    <x v="1"/>
    <n v="130320"/>
    <n v="113636"/>
    <x v="10"/>
    <n v="10"/>
    <n v="3"/>
    <x v="2"/>
  </r>
  <r>
    <x v="22"/>
    <n v="23"/>
    <n v="1"/>
    <x v="1"/>
    <n v="130320"/>
    <n v="113637"/>
    <x v="11"/>
    <n v="11"/>
    <n v="738"/>
    <x v="28"/>
  </r>
  <r>
    <x v="23"/>
    <n v="24"/>
    <n v="1"/>
    <x v="1"/>
    <n v="130320"/>
    <n v="113637"/>
    <x v="11"/>
    <n v="12"/>
    <n v="1013"/>
    <x v="29"/>
  </r>
  <r>
    <x v="12"/>
    <n v="13"/>
    <n v="1"/>
    <x v="2"/>
    <n v="130321"/>
    <n v="112000"/>
    <x v="6"/>
    <n v="1"/>
    <n v="2"/>
    <x v="7"/>
  </r>
  <r>
    <x v="13"/>
    <n v="14"/>
    <n v="1"/>
    <x v="2"/>
    <n v="130321"/>
    <n v="112000"/>
    <x v="6"/>
    <n v="2"/>
    <n v="2138"/>
    <x v="30"/>
  </r>
  <r>
    <x v="14"/>
    <n v="15"/>
    <n v="1"/>
    <x v="2"/>
    <n v="130321"/>
    <n v="112000"/>
    <x v="7"/>
    <n v="3"/>
    <n v="2164"/>
    <x v="9"/>
  </r>
  <r>
    <x v="15"/>
    <n v="16"/>
    <n v="1"/>
    <x v="2"/>
    <n v="130321"/>
    <n v="112000"/>
    <x v="7"/>
    <n v="4"/>
    <n v="2158"/>
    <x v="9"/>
  </r>
  <r>
    <x v="16"/>
    <n v="17"/>
    <n v="1"/>
    <x v="2"/>
    <n v="130321"/>
    <n v="112000"/>
    <x v="8"/>
    <n v="5"/>
    <n v="2376"/>
    <x v="9"/>
  </r>
  <r>
    <x v="17"/>
    <n v="18"/>
    <n v="1"/>
    <x v="2"/>
    <n v="130321"/>
    <n v="112000"/>
    <x v="8"/>
    <n v="6"/>
    <n v="2178"/>
    <x v="9"/>
  </r>
  <r>
    <x v="18"/>
    <n v="19"/>
    <n v="1"/>
    <x v="2"/>
    <n v="130321"/>
    <n v="112000"/>
    <x v="9"/>
    <n v="7"/>
    <n v="2234"/>
    <x v="9"/>
  </r>
  <r>
    <x v="19"/>
    <n v="20"/>
    <n v="1"/>
    <x v="2"/>
    <n v="130321"/>
    <n v="112001"/>
    <x v="9"/>
    <n v="8"/>
    <n v="1543"/>
    <x v="31"/>
  </r>
  <r>
    <x v="20"/>
    <n v="21"/>
    <n v="1"/>
    <x v="2"/>
    <n v="130321"/>
    <n v="112001"/>
    <x v="10"/>
    <n v="9"/>
    <n v="612"/>
    <x v="32"/>
  </r>
  <r>
    <x v="21"/>
    <n v="22"/>
    <n v="1"/>
    <x v="2"/>
    <n v="130321"/>
    <n v="112001"/>
    <x v="10"/>
    <n v="10"/>
    <n v="5"/>
    <x v="8"/>
  </r>
  <r>
    <x v="22"/>
    <n v="23"/>
    <n v="1"/>
    <x v="2"/>
    <n v="130321"/>
    <n v="112001"/>
    <x v="11"/>
    <n v="11"/>
    <n v="587"/>
    <x v="33"/>
  </r>
  <r>
    <x v="23"/>
    <n v="24"/>
    <n v="1"/>
    <x v="2"/>
    <n v="130321"/>
    <n v="112001"/>
    <x v="11"/>
    <n v="12"/>
    <n v="306"/>
    <x v="34"/>
  </r>
  <r>
    <x v="24"/>
    <n v="1"/>
    <n v="2"/>
    <x v="0"/>
    <n v="130421"/>
    <n v="104705"/>
    <x v="12"/>
    <n v="1"/>
    <n v="1314"/>
    <x v="35"/>
  </r>
  <r>
    <x v="25"/>
    <n v="2"/>
    <n v="2"/>
    <x v="0"/>
    <n v="130421"/>
    <n v="104706"/>
    <x v="12"/>
    <n v="2"/>
    <n v="1487"/>
    <x v="36"/>
  </r>
  <r>
    <x v="26"/>
    <n v="3"/>
    <n v="2"/>
    <x v="0"/>
    <n v="130421"/>
    <n v="104706"/>
    <x v="12"/>
    <n v="3"/>
    <n v="3"/>
    <x v="2"/>
  </r>
  <r>
    <x v="27"/>
    <n v="4"/>
    <n v="2"/>
    <x v="0"/>
    <n v="130421"/>
    <n v="104706"/>
    <x v="13"/>
    <n v="4"/>
    <n v="10"/>
    <x v="37"/>
  </r>
  <r>
    <x v="28"/>
    <n v="5"/>
    <n v="2"/>
    <x v="0"/>
    <n v="130421"/>
    <n v="104706"/>
    <x v="13"/>
    <n v="5"/>
    <n v="42"/>
    <x v="38"/>
  </r>
  <r>
    <x v="29"/>
    <n v="6"/>
    <n v="2"/>
    <x v="0"/>
    <n v="130421"/>
    <n v="104706"/>
    <x v="14"/>
    <n v="6"/>
    <n v="174"/>
    <x v="39"/>
  </r>
  <r>
    <x v="30"/>
    <n v="7"/>
    <n v="2"/>
    <x v="0"/>
    <n v="130421"/>
    <n v="104706"/>
    <x v="14"/>
    <n v="7"/>
    <n v="199"/>
    <x v="27"/>
  </r>
  <r>
    <x v="31"/>
    <n v="8"/>
    <n v="2"/>
    <x v="0"/>
    <n v="130421"/>
    <n v="104706"/>
    <x v="15"/>
    <n v="8"/>
    <n v="593"/>
    <x v="40"/>
  </r>
  <r>
    <x v="32"/>
    <n v="9"/>
    <n v="2"/>
    <x v="0"/>
    <n v="130421"/>
    <n v="104706"/>
    <x v="15"/>
    <n v="9"/>
    <n v="8"/>
    <x v="3"/>
  </r>
  <r>
    <x v="33"/>
    <n v="10"/>
    <n v="2"/>
    <x v="0"/>
    <n v="130421"/>
    <n v="104707"/>
    <x v="15"/>
    <n v="10"/>
    <n v="744"/>
    <x v="41"/>
  </r>
  <r>
    <x v="34"/>
    <n v="11"/>
    <n v="2"/>
    <x v="0"/>
    <n v="130421"/>
    <n v="104707"/>
    <x v="16"/>
    <n v="11"/>
    <n v="261"/>
    <x v="42"/>
  </r>
  <r>
    <x v="35"/>
    <n v="12"/>
    <n v="2"/>
    <x v="0"/>
    <n v="130421"/>
    <n v="104707"/>
    <x v="17"/>
    <n v="12"/>
    <n v="1645"/>
    <x v="22"/>
  </r>
  <r>
    <x v="24"/>
    <n v="1"/>
    <n v="2"/>
    <x v="1"/>
    <n v="130422"/>
    <n v="94818"/>
    <x v="12"/>
    <n v="1"/>
    <n v="1913"/>
    <x v="43"/>
  </r>
  <r>
    <x v="25"/>
    <n v="2"/>
    <n v="2"/>
    <x v="1"/>
    <n v="130422"/>
    <n v="94819"/>
    <x v="12"/>
    <n v="2"/>
    <n v="1463"/>
    <x v="44"/>
  </r>
  <r>
    <x v="26"/>
    <n v="3"/>
    <n v="2"/>
    <x v="1"/>
    <n v="130422"/>
    <n v="94819"/>
    <x v="12"/>
    <n v="3"/>
    <n v="0"/>
    <x v="13"/>
  </r>
  <r>
    <x v="27"/>
    <n v="4"/>
    <n v="2"/>
    <x v="1"/>
    <n v="130422"/>
    <n v="94819"/>
    <x v="13"/>
    <n v="4"/>
    <n v="0"/>
    <x v="13"/>
  </r>
  <r>
    <x v="28"/>
    <n v="5"/>
    <n v="2"/>
    <x v="1"/>
    <n v="130422"/>
    <n v="94819"/>
    <x v="13"/>
    <n v="5"/>
    <n v="710"/>
    <x v="45"/>
  </r>
  <r>
    <x v="29"/>
    <n v="6"/>
    <n v="2"/>
    <x v="1"/>
    <n v="130422"/>
    <n v="94819"/>
    <x v="14"/>
    <n v="6"/>
    <n v="819"/>
    <x v="46"/>
  </r>
  <r>
    <x v="30"/>
    <n v="7"/>
    <n v="2"/>
    <x v="1"/>
    <n v="130422"/>
    <n v="94819"/>
    <x v="14"/>
    <n v="7"/>
    <n v="432"/>
    <x v="47"/>
  </r>
  <r>
    <x v="31"/>
    <n v="8"/>
    <n v="2"/>
    <x v="1"/>
    <n v="130422"/>
    <n v="94819"/>
    <x v="15"/>
    <n v="8"/>
    <n v="1032"/>
    <x v="29"/>
  </r>
  <r>
    <x v="32"/>
    <n v="9"/>
    <n v="2"/>
    <x v="1"/>
    <n v="130422"/>
    <n v="94819"/>
    <x v="15"/>
    <n v="9"/>
    <n v="0"/>
    <x v="13"/>
  </r>
  <r>
    <x v="33"/>
    <n v="10"/>
    <n v="2"/>
    <x v="1"/>
    <n v="130422"/>
    <n v="94819"/>
    <x v="15"/>
    <n v="10"/>
    <n v="342"/>
    <x v="48"/>
  </r>
  <r>
    <x v="34"/>
    <n v="11"/>
    <n v="2"/>
    <x v="1"/>
    <n v="130422"/>
    <n v="94819"/>
    <x v="16"/>
    <n v="11"/>
    <n v="1155"/>
    <x v="49"/>
  </r>
  <r>
    <x v="35"/>
    <n v="12"/>
    <n v="2"/>
    <x v="1"/>
    <n v="130422"/>
    <n v="94820"/>
    <x v="17"/>
    <n v="12"/>
    <n v="1830"/>
    <x v="50"/>
  </r>
  <r>
    <x v="24"/>
    <n v="1"/>
    <n v="2"/>
    <x v="2"/>
    <n v="130423"/>
    <n v="90927"/>
    <x v="12"/>
    <n v="1"/>
    <n v="1718"/>
    <x v="51"/>
  </r>
  <r>
    <x v="25"/>
    <n v="2"/>
    <n v="2"/>
    <x v="2"/>
    <n v="130423"/>
    <n v="90927"/>
    <x v="12"/>
    <n v="2"/>
    <n v="1266"/>
    <x v="52"/>
  </r>
  <r>
    <x v="26"/>
    <n v="3"/>
    <n v="2"/>
    <x v="2"/>
    <n v="130423"/>
    <n v="90927"/>
    <x v="12"/>
    <n v="3"/>
    <n v="1"/>
    <x v="6"/>
  </r>
  <r>
    <x v="27"/>
    <n v="4"/>
    <n v="2"/>
    <x v="2"/>
    <n v="130423"/>
    <n v="90927"/>
    <x v="13"/>
    <n v="4"/>
    <n v="0"/>
    <x v="13"/>
  </r>
  <r>
    <x v="28"/>
    <n v="5"/>
    <n v="2"/>
    <x v="2"/>
    <n v="130423"/>
    <n v="90927"/>
    <x v="13"/>
    <n v="5"/>
    <n v="1303"/>
    <x v="53"/>
  </r>
  <r>
    <x v="29"/>
    <n v="6"/>
    <n v="2"/>
    <x v="2"/>
    <n v="130423"/>
    <n v="90927"/>
    <x v="14"/>
    <n v="6"/>
    <n v="1919"/>
    <x v="54"/>
  </r>
  <r>
    <x v="30"/>
    <n v="7"/>
    <n v="2"/>
    <x v="2"/>
    <n v="130423"/>
    <n v="90928"/>
    <x v="14"/>
    <n v="7"/>
    <n v="568"/>
    <x v="55"/>
  </r>
  <r>
    <x v="31"/>
    <n v="8"/>
    <n v="2"/>
    <x v="2"/>
    <n v="130423"/>
    <n v="90928"/>
    <x v="15"/>
    <n v="8"/>
    <n v="1087"/>
    <x v="56"/>
  </r>
  <r>
    <x v="32"/>
    <n v="9"/>
    <n v="2"/>
    <x v="2"/>
    <n v="130423"/>
    <n v="90928"/>
    <x v="15"/>
    <n v="9"/>
    <n v="1"/>
    <x v="6"/>
  </r>
  <r>
    <x v="33"/>
    <n v="10"/>
    <n v="2"/>
    <x v="2"/>
    <n v="130423"/>
    <n v="93016"/>
    <x v="15"/>
    <n v="10"/>
    <n v="268"/>
    <x v="57"/>
  </r>
  <r>
    <x v="34"/>
    <n v="11"/>
    <n v="2"/>
    <x v="2"/>
    <n v="130423"/>
    <n v="90928"/>
    <x v="16"/>
    <n v="11"/>
    <n v="645"/>
    <x v="58"/>
  </r>
  <r>
    <x v="35"/>
    <n v="12"/>
    <n v="2"/>
    <x v="2"/>
    <n v="130423"/>
    <n v="90928"/>
    <x v="17"/>
    <n v="12"/>
    <n v="1562"/>
    <x v="59"/>
  </r>
  <r>
    <x v="36"/>
    <n v="13"/>
    <n v="2"/>
    <x v="0"/>
    <n v="130428"/>
    <n v="115029"/>
    <x v="18"/>
    <n v="1"/>
    <n v="1568"/>
    <x v="60"/>
  </r>
  <r>
    <x v="37"/>
    <n v="14"/>
    <n v="2"/>
    <x v="0"/>
    <n v="130428"/>
    <n v="115029"/>
    <x v="18"/>
    <n v="2"/>
    <n v="742"/>
    <x v="61"/>
  </r>
  <r>
    <x v="38"/>
    <n v="15"/>
    <n v="2"/>
    <x v="0"/>
    <n v="130428"/>
    <n v="115029"/>
    <x v="18"/>
    <n v="3"/>
    <n v="1464"/>
    <x v="62"/>
  </r>
  <r>
    <x v="39"/>
    <n v="16"/>
    <n v="2"/>
    <x v="0"/>
    <n v="130428"/>
    <n v="115029"/>
    <x v="19"/>
    <n v="4"/>
    <n v="476"/>
    <x v="63"/>
  </r>
  <r>
    <x v="40"/>
    <n v="17"/>
    <n v="2"/>
    <x v="0"/>
    <n v="130428"/>
    <n v="115029"/>
    <x v="19"/>
    <n v="5"/>
    <n v="1633"/>
    <x v="22"/>
  </r>
  <r>
    <x v="41"/>
    <n v="18"/>
    <n v="2"/>
    <x v="0"/>
    <n v="130428"/>
    <n v="115029"/>
    <x v="20"/>
    <n v="6"/>
    <n v="18"/>
    <x v="64"/>
  </r>
  <r>
    <x v="42"/>
    <n v="19"/>
    <n v="2"/>
    <x v="0"/>
    <n v="130428"/>
    <n v="115030"/>
    <x v="20"/>
    <n v="7"/>
    <n v="280"/>
    <x v="65"/>
  </r>
  <r>
    <x v="43"/>
    <n v="20"/>
    <n v="2"/>
    <x v="0"/>
    <n v="130428"/>
    <n v="115030"/>
    <x v="20"/>
    <n v="8"/>
    <n v="1006"/>
    <x v="66"/>
  </r>
  <r>
    <x v="44"/>
    <n v="21"/>
    <n v="2"/>
    <x v="0"/>
    <n v="130428"/>
    <n v="115030"/>
    <x v="21"/>
    <n v="9"/>
    <n v="138"/>
    <x v="67"/>
  </r>
  <r>
    <x v="45"/>
    <n v="22"/>
    <n v="2"/>
    <x v="0"/>
    <n v="130428"/>
    <n v="120820"/>
    <x v="21"/>
    <n v="10"/>
    <n v="1887"/>
    <x v="68"/>
  </r>
  <r>
    <x v="46"/>
    <n v="23"/>
    <n v="2"/>
    <x v="0"/>
    <n v="130428"/>
    <n v="115030"/>
    <x v="21"/>
    <n v="11"/>
    <n v="1168"/>
    <x v="69"/>
  </r>
  <r>
    <x v="47"/>
    <n v="24"/>
    <n v="2"/>
    <x v="0"/>
    <n v="130428"/>
    <n v="115030"/>
    <x v="22"/>
    <n v="12"/>
    <n v="1826"/>
    <x v="70"/>
  </r>
  <r>
    <x v="36"/>
    <n v="13"/>
    <n v="2"/>
    <x v="1"/>
    <n v="130429"/>
    <n v="100000"/>
    <x v="18"/>
    <n v="1"/>
    <n v="1475"/>
    <x v="71"/>
  </r>
  <r>
    <x v="37"/>
    <n v="14"/>
    <n v="2"/>
    <x v="1"/>
    <n v="130429"/>
    <n v="100001"/>
    <x v="18"/>
    <n v="2"/>
    <n v="1382"/>
    <x v="71"/>
  </r>
  <r>
    <x v="38"/>
    <n v="15"/>
    <n v="2"/>
    <x v="1"/>
    <n v="130429"/>
    <n v="100001"/>
    <x v="18"/>
    <n v="3"/>
    <n v="1994"/>
    <x v="72"/>
  </r>
  <r>
    <x v="39"/>
    <n v="16"/>
    <n v="2"/>
    <x v="1"/>
    <n v="130429"/>
    <n v="100001"/>
    <x v="19"/>
    <n v="4"/>
    <n v="610"/>
    <x v="55"/>
  </r>
  <r>
    <x v="40"/>
    <n v="17"/>
    <n v="2"/>
    <x v="1"/>
    <n v="130429"/>
    <n v="100001"/>
    <x v="19"/>
    <n v="5"/>
    <n v="1040"/>
    <x v="66"/>
  </r>
  <r>
    <x v="41"/>
    <n v="18"/>
    <n v="2"/>
    <x v="1"/>
    <n v="130429"/>
    <n v="100001"/>
    <x v="20"/>
    <n v="6"/>
    <n v="0"/>
    <x v="13"/>
  </r>
  <r>
    <x v="42"/>
    <n v="19"/>
    <n v="2"/>
    <x v="1"/>
    <n v="130429"/>
    <n v="100001"/>
    <x v="20"/>
    <n v="7"/>
    <n v="467"/>
    <x v="73"/>
  </r>
  <r>
    <x v="43"/>
    <n v="20"/>
    <n v="2"/>
    <x v="1"/>
    <n v="130429"/>
    <n v="100001"/>
    <x v="20"/>
    <n v="8"/>
    <n v="678"/>
    <x v="74"/>
  </r>
  <r>
    <x v="44"/>
    <n v="21"/>
    <n v="2"/>
    <x v="1"/>
    <n v="130429"/>
    <n v="100001"/>
    <x v="21"/>
    <n v="9"/>
    <n v="378"/>
    <x v="75"/>
  </r>
  <r>
    <x v="45"/>
    <n v="22"/>
    <n v="2"/>
    <x v="1"/>
    <n v="130429"/>
    <n v="100259"/>
    <x v="21"/>
    <n v="10"/>
    <n v="2162"/>
    <x v="76"/>
  </r>
  <r>
    <x v="46"/>
    <n v="23"/>
    <n v="2"/>
    <x v="1"/>
    <n v="130429"/>
    <n v="100002"/>
    <x v="21"/>
    <n v="11"/>
    <n v="1675"/>
    <x v="77"/>
  </r>
  <r>
    <x v="47"/>
    <n v="24"/>
    <n v="2"/>
    <x v="1"/>
    <n v="130429"/>
    <n v="100002"/>
    <x v="22"/>
    <n v="12"/>
    <n v="1379"/>
    <x v="78"/>
  </r>
  <r>
    <x v="36"/>
    <n v="13"/>
    <n v="2"/>
    <x v="2"/>
    <n v="130430"/>
    <n v="103322"/>
    <x v="18"/>
    <n v="1"/>
    <n v="1413"/>
    <x v="10"/>
  </r>
  <r>
    <x v="37"/>
    <n v="14"/>
    <n v="2"/>
    <x v="2"/>
    <n v="130430"/>
    <n v="103322"/>
    <x v="18"/>
    <n v="2"/>
    <n v="1156"/>
    <x v="79"/>
  </r>
  <r>
    <x v="38"/>
    <n v="15"/>
    <n v="2"/>
    <x v="2"/>
    <n v="130430"/>
    <n v="103322"/>
    <x v="18"/>
    <n v="3"/>
    <n v="2033"/>
    <x v="80"/>
  </r>
  <r>
    <x v="39"/>
    <n v="16"/>
    <n v="2"/>
    <x v="2"/>
    <n v="130430"/>
    <n v="103322"/>
    <x v="19"/>
    <n v="4"/>
    <n v="768"/>
    <x v="81"/>
  </r>
  <r>
    <x v="40"/>
    <n v="17"/>
    <n v="2"/>
    <x v="2"/>
    <n v="130430"/>
    <n v="103322"/>
    <x v="19"/>
    <n v="5"/>
    <n v="1099"/>
    <x v="82"/>
  </r>
  <r>
    <x v="41"/>
    <n v="18"/>
    <n v="2"/>
    <x v="2"/>
    <n v="130430"/>
    <n v="103322"/>
    <x v="20"/>
    <n v="6"/>
    <n v="945"/>
    <x v="23"/>
  </r>
  <r>
    <x v="42"/>
    <n v="19"/>
    <n v="2"/>
    <x v="2"/>
    <n v="130430"/>
    <n v="103323"/>
    <x v="20"/>
    <n v="7"/>
    <n v="1619"/>
    <x v="83"/>
  </r>
  <r>
    <x v="43"/>
    <n v="20"/>
    <n v="2"/>
    <x v="2"/>
    <n v="130430"/>
    <n v="103323"/>
    <x v="20"/>
    <n v="8"/>
    <n v="1107"/>
    <x v="84"/>
  </r>
  <r>
    <x v="44"/>
    <n v="21"/>
    <n v="2"/>
    <x v="2"/>
    <n v="130430"/>
    <n v="103323"/>
    <x v="21"/>
    <n v="9"/>
    <n v="1200"/>
    <x v="85"/>
  </r>
  <r>
    <x v="45"/>
    <n v="22"/>
    <n v="2"/>
    <x v="2"/>
    <n v="130430"/>
    <n v="103323"/>
    <x v="21"/>
    <n v="10"/>
    <n v="2153"/>
    <x v="86"/>
  </r>
  <r>
    <x v="46"/>
    <n v="23"/>
    <n v="2"/>
    <x v="2"/>
    <n v="130430"/>
    <n v="103323"/>
    <x v="21"/>
    <n v="11"/>
    <n v="2168"/>
    <x v="9"/>
  </r>
  <r>
    <x v="47"/>
    <n v="24"/>
    <n v="2"/>
    <x v="2"/>
    <n v="130430"/>
    <n v="103323"/>
    <x v="22"/>
    <n v="12"/>
    <n v="2115"/>
    <x v="87"/>
  </r>
  <r>
    <x v="48"/>
    <n v="25"/>
    <n v="2"/>
    <x v="0"/>
    <n v="130501"/>
    <n v="82619"/>
    <x v="23"/>
    <n v="1"/>
    <n v="9"/>
    <x v="88"/>
  </r>
  <r>
    <x v="49"/>
    <n v="26"/>
    <n v="2"/>
    <x v="0"/>
    <n v="130501"/>
    <n v="82619"/>
    <x v="23"/>
    <n v="2"/>
    <n v="9"/>
    <x v="88"/>
  </r>
  <r>
    <x v="50"/>
    <n v="27"/>
    <n v="2"/>
    <x v="0"/>
    <n v="130501"/>
    <n v="82619"/>
    <x v="23"/>
    <n v="3"/>
    <n v="5"/>
    <x v="8"/>
  </r>
  <r>
    <x v="51"/>
    <n v="28"/>
    <n v="2"/>
    <x v="0"/>
    <n v="130501"/>
    <n v="82619"/>
    <x v="24"/>
    <n v="4"/>
    <n v="9"/>
    <x v="88"/>
  </r>
  <r>
    <x v="52"/>
    <n v="29"/>
    <n v="2"/>
    <x v="0"/>
    <n v="130501"/>
    <n v="82619"/>
    <x v="24"/>
    <n v="5"/>
    <n v="6"/>
    <x v="89"/>
  </r>
  <r>
    <x v="53"/>
    <n v="30"/>
    <n v="2"/>
    <x v="0"/>
    <n v="130501"/>
    <n v="82619"/>
    <x v="22"/>
    <n v="6"/>
    <n v="1605"/>
    <x v="90"/>
  </r>
  <r>
    <x v="54"/>
    <n v="31"/>
    <n v="2"/>
    <x v="0"/>
    <n v="130501"/>
    <n v="82619"/>
    <x v="25"/>
    <n v="7"/>
    <n v="65"/>
    <x v="91"/>
  </r>
  <r>
    <x v="55"/>
    <n v="32"/>
    <n v="2"/>
    <x v="0"/>
    <n v="130501"/>
    <n v="82620"/>
    <x v="25"/>
    <n v="8"/>
    <n v="0"/>
    <x v="13"/>
  </r>
  <r>
    <x v="56"/>
    <n v="33"/>
    <n v="2"/>
    <x v="0"/>
    <n v="130501"/>
    <n v="82620"/>
    <x v="18"/>
    <n v="9"/>
    <n v="646"/>
    <x v="58"/>
  </r>
  <r>
    <x v="57"/>
    <n v="34"/>
    <n v="2"/>
    <x v="0"/>
    <n v="130501"/>
    <n v="83552"/>
    <x v="18"/>
    <n v="10"/>
    <n v="638"/>
    <x v="92"/>
  </r>
  <r>
    <x v="58"/>
    <n v="35"/>
    <n v="2"/>
    <x v="0"/>
    <n v="130501"/>
    <n v="83320"/>
    <x v="19"/>
    <n v="11"/>
    <n v="16"/>
    <x v="18"/>
  </r>
  <r>
    <x v="59"/>
    <n v="36"/>
    <n v="2"/>
    <x v="0"/>
    <n v="130501"/>
    <n v="83320"/>
    <x v="19"/>
    <n v="12"/>
    <n v="246"/>
    <x v="93"/>
  </r>
  <r>
    <x v="48"/>
    <n v="25"/>
    <n v="2"/>
    <x v="1"/>
    <n v="130502"/>
    <n v="100125"/>
    <x v="23"/>
    <n v="1"/>
    <n v="774"/>
    <x v="94"/>
  </r>
  <r>
    <x v="49"/>
    <n v="26"/>
    <n v="2"/>
    <x v="1"/>
    <n v="130502"/>
    <n v="100126"/>
    <x v="23"/>
    <n v="2"/>
    <n v="1"/>
    <x v="6"/>
  </r>
  <r>
    <x v="50"/>
    <n v="27"/>
    <n v="2"/>
    <x v="1"/>
    <n v="130502"/>
    <n v="100126"/>
    <x v="23"/>
    <n v="3"/>
    <n v="3"/>
    <x v="2"/>
  </r>
  <r>
    <x v="51"/>
    <n v="28"/>
    <n v="2"/>
    <x v="1"/>
    <n v="130502"/>
    <n v="100410"/>
    <x v="24"/>
    <n v="4"/>
    <n v="1"/>
    <x v="6"/>
  </r>
  <r>
    <x v="52"/>
    <n v="29"/>
    <n v="2"/>
    <x v="1"/>
    <n v="130502"/>
    <n v="100410"/>
    <x v="24"/>
    <n v="5"/>
    <n v="4"/>
    <x v="20"/>
  </r>
  <r>
    <x v="53"/>
    <n v="30"/>
    <n v="2"/>
    <x v="1"/>
    <n v="130502"/>
    <n v="100410"/>
    <x v="22"/>
    <n v="6"/>
    <n v="2091"/>
    <x v="95"/>
  </r>
  <r>
    <x v="54"/>
    <n v="31"/>
    <n v="2"/>
    <x v="1"/>
    <n v="130502"/>
    <n v="100650"/>
    <x v="25"/>
    <n v="7"/>
    <n v="704"/>
    <x v="96"/>
  </r>
  <r>
    <x v="55"/>
    <n v="32"/>
    <n v="2"/>
    <x v="1"/>
    <n v="130502"/>
    <n v="100650"/>
    <x v="25"/>
    <n v="8"/>
    <n v="1"/>
    <x v="6"/>
  </r>
  <r>
    <x v="56"/>
    <n v="33"/>
    <n v="2"/>
    <x v="1"/>
    <n v="130502"/>
    <n v="100651"/>
    <x v="18"/>
    <n v="9"/>
    <n v="1240"/>
    <x v="10"/>
  </r>
  <r>
    <x v="57"/>
    <n v="34"/>
    <n v="2"/>
    <x v="1"/>
    <n v="130502"/>
    <n v="101852"/>
    <x v="18"/>
    <n v="10"/>
    <n v="792"/>
    <x v="97"/>
  </r>
  <r>
    <x v="58"/>
    <n v="35"/>
    <n v="2"/>
    <x v="1"/>
    <n v="130502"/>
    <n v="100846"/>
    <x v="19"/>
    <n v="11"/>
    <n v="5"/>
    <x v="8"/>
  </r>
  <r>
    <x v="59"/>
    <n v="36"/>
    <n v="2"/>
    <x v="1"/>
    <n v="130502"/>
    <n v="100846"/>
    <x v="19"/>
    <n v="12"/>
    <n v="274"/>
    <x v="98"/>
  </r>
  <r>
    <x v="48"/>
    <n v="25"/>
    <n v="2"/>
    <x v="2"/>
    <n v="130503"/>
    <n v="94158"/>
    <x v="23"/>
    <n v="1"/>
    <n v="947"/>
    <x v="99"/>
  </r>
  <r>
    <x v="49"/>
    <n v="26"/>
    <n v="2"/>
    <x v="2"/>
    <n v="130503"/>
    <n v="94159"/>
    <x v="23"/>
    <n v="2"/>
    <n v="1"/>
    <x v="6"/>
  </r>
  <r>
    <x v="50"/>
    <n v="27"/>
    <n v="2"/>
    <x v="2"/>
    <n v="130503"/>
    <n v="94159"/>
    <x v="23"/>
    <n v="3"/>
    <n v="1"/>
    <x v="6"/>
  </r>
  <r>
    <x v="51"/>
    <n v="28"/>
    <n v="2"/>
    <x v="2"/>
    <n v="130503"/>
    <n v="94159"/>
    <x v="24"/>
    <n v="4"/>
    <n v="45"/>
    <x v="100"/>
  </r>
  <r>
    <x v="52"/>
    <n v="29"/>
    <n v="2"/>
    <x v="2"/>
    <n v="130503"/>
    <n v="94159"/>
    <x v="24"/>
    <n v="5"/>
    <n v="1"/>
    <x v="6"/>
  </r>
  <r>
    <x v="53"/>
    <n v="30"/>
    <n v="2"/>
    <x v="2"/>
    <n v="130503"/>
    <n v="94200"/>
    <x v="22"/>
    <n v="6"/>
    <n v="2095"/>
    <x v="101"/>
  </r>
  <r>
    <x v="54"/>
    <n v="31"/>
    <n v="2"/>
    <x v="2"/>
    <n v="130503"/>
    <n v="94200"/>
    <x v="25"/>
    <n v="7"/>
    <n v="974"/>
    <x v="102"/>
  </r>
  <r>
    <x v="55"/>
    <n v="32"/>
    <n v="2"/>
    <x v="2"/>
    <n v="130503"/>
    <n v="94200"/>
    <x v="25"/>
    <n v="8"/>
    <n v="0"/>
    <x v="13"/>
  </r>
  <r>
    <x v="56"/>
    <n v="33"/>
    <n v="2"/>
    <x v="2"/>
    <n v="130503"/>
    <n v="94200"/>
    <x v="18"/>
    <n v="9"/>
    <n v="1094"/>
    <x v="103"/>
  </r>
  <r>
    <x v="57"/>
    <n v="34"/>
    <n v="2"/>
    <x v="2"/>
    <n v="130503"/>
    <n v="94901"/>
    <x v="18"/>
    <n v="10"/>
    <n v="642"/>
    <x v="104"/>
  </r>
  <r>
    <x v="58"/>
    <n v="35"/>
    <n v="2"/>
    <x v="2"/>
    <n v="130503"/>
    <n v="94200"/>
    <x v="19"/>
    <n v="11"/>
    <n v="2"/>
    <x v="7"/>
  </r>
  <r>
    <x v="59"/>
    <n v="36"/>
    <n v="2"/>
    <x v="2"/>
    <n v="130503"/>
    <n v="94200"/>
    <x v="19"/>
    <n v="12"/>
    <n v="233"/>
    <x v="93"/>
  </r>
  <r>
    <x v="60"/>
    <n v="37"/>
    <n v="2"/>
    <x v="0"/>
    <n v="130504"/>
    <n v="100148"/>
    <x v="26"/>
    <n v="1"/>
    <n v="5"/>
    <x v="8"/>
  </r>
  <r>
    <x v="61"/>
    <n v="38"/>
    <n v="2"/>
    <x v="0"/>
    <n v="130504"/>
    <n v="100148"/>
    <x v="26"/>
    <n v="2"/>
    <n v="182"/>
    <x v="105"/>
  </r>
  <r>
    <x v="62"/>
    <n v="39"/>
    <n v="2"/>
    <x v="0"/>
    <n v="130504"/>
    <n v="100148"/>
    <x v="26"/>
    <n v="3"/>
    <n v="1"/>
    <x v="6"/>
  </r>
  <r>
    <x v="63"/>
    <n v="40"/>
    <n v="2"/>
    <x v="0"/>
    <n v="130504"/>
    <n v="100407"/>
    <x v="27"/>
    <n v="4"/>
    <n v="978"/>
    <x v="106"/>
  </r>
  <r>
    <x v="64"/>
    <n v="41"/>
    <n v="2"/>
    <x v="0"/>
    <n v="130504"/>
    <n v="100407"/>
    <x v="27"/>
    <n v="5"/>
    <n v="24"/>
    <x v="15"/>
  </r>
  <r>
    <x v="65"/>
    <n v="42"/>
    <n v="2"/>
    <x v="0"/>
    <n v="130504"/>
    <n v="100407"/>
    <x v="28"/>
    <n v="6"/>
    <n v="9"/>
    <x v="3"/>
  </r>
  <r>
    <x v="66"/>
    <n v="43"/>
    <n v="2"/>
    <x v="0"/>
    <n v="130504"/>
    <n v="100408"/>
    <x v="28"/>
    <n v="7"/>
    <n v="3"/>
    <x v="7"/>
  </r>
  <r>
    <x v="67"/>
    <n v="44"/>
    <n v="2"/>
    <x v="0"/>
    <n v="130504"/>
    <n v="100706"/>
    <x v="29"/>
    <n v="8"/>
    <n v="8"/>
    <x v="89"/>
  </r>
  <r>
    <x v="68"/>
    <n v="45"/>
    <n v="2"/>
    <x v="0"/>
    <n v="130504"/>
    <n v="100707"/>
    <x v="29"/>
    <n v="9"/>
    <n v="4"/>
    <x v="20"/>
  </r>
  <r>
    <x v="69"/>
    <n v="46"/>
    <n v="2"/>
    <x v="0"/>
    <n v="130504"/>
    <n v="101738"/>
    <x v="24"/>
    <n v="10"/>
    <n v="1212"/>
    <x v="107"/>
  </r>
  <r>
    <x v="70"/>
    <n v="47"/>
    <n v="2"/>
    <x v="0"/>
    <n v="130504"/>
    <n v="100707"/>
    <x v="24"/>
    <n v="11"/>
    <n v="0"/>
    <x v="13"/>
  </r>
  <r>
    <x v="71"/>
    <n v="48"/>
    <n v="2"/>
    <x v="0"/>
    <n v="130504"/>
    <n v="100707"/>
    <x v="24"/>
    <n v="12"/>
    <n v="317"/>
    <x v="108"/>
  </r>
  <r>
    <x v="60"/>
    <n v="37"/>
    <n v="2"/>
    <x v="1"/>
    <n v="130505"/>
    <n v="91926"/>
    <x v="26"/>
    <n v="1"/>
    <n v="0"/>
    <x v="13"/>
  </r>
  <r>
    <x v="61"/>
    <n v="38"/>
    <n v="2"/>
    <x v="1"/>
    <n v="130505"/>
    <n v="91926"/>
    <x v="26"/>
    <n v="2"/>
    <n v="1306"/>
    <x v="53"/>
  </r>
  <r>
    <x v="62"/>
    <n v="39"/>
    <n v="2"/>
    <x v="1"/>
    <n v="130505"/>
    <n v="91926"/>
    <x v="26"/>
    <n v="3"/>
    <n v="1"/>
    <x v="6"/>
  </r>
  <r>
    <x v="63"/>
    <n v="40"/>
    <n v="2"/>
    <x v="1"/>
    <n v="130505"/>
    <n v="91926"/>
    <x v="27"/>
    <n v="4"/>
    <n v="387"/>
    <x v="109"/>
  </r>
  <r>
    <x v="64"/>
    <n v="41"/>
    <n v="2"/>
    <x v="1"/>
    <n v="130505"/>
    <n v="91927"/>
    <x v="27"/>
    <n v="5"/>
    <n v="45"/>
    <x v="110"/>
  </r>
  <r>
    <x v="65"/>
    <n v="42"/>
    <n v="2"/>
    <x v="1"/>
    <n v="130505"/>
    <n v="91927"/>
    <x v="28"/>
    <n v="6"/>
    <n v="0"/>
    <x v="13"/>
  </r>
  <r>
    <x v="66"/>
    <n v="43"/>
    <n v="2"/>
    <x v="1"/>
    <n v="130505"/>
    <n v="91927"/>
    <x v="28"/>
    <n v="7"/>
    <n v="2"/>
    <x v="7"/>
  </r>
  <r>
    <x v="67"/>
    <n v="44"/>
    <n v="2"/>
    <x v="1"/>
    <n v="130505"/>
    <n v="91927"/>
    <x v="29"/>
    <n v="8"/>
    <n v="1"/>
    <x v="6"/>
  </r>
  <r>
    <x v="68"/>
    <n v="45"/>
    <n v="2"/>
    <x v="1"/>
    <n v="130505"/>
    <n v="91927"/>
    <x v="29"/>
    <n v="9"/>
    <n v="1"/>
    <x v="6"/>
  </r>
  <r>
    <x v="69"/>
    <n v="46"/>
    <n v="2"/>
    <x v="1"/>
    <n v="130505"/>
    <n v="91927"/>
    <x v="24"/>
    <n v="10"/>
    <n v="1289"/>
    <x v="111"/>
  </r>
  <r>
    <x v="70"/>
    <n v="47"/>
    <n v="2"/>
    <x v="1"/>
    <n v="130505"/>
    <n v="91927"/>
    <x v="24"/>
    <n v="11"/>
    <n v="0"/>
    <x v="13"/>
  </r>
  <r>
    <x v="71"/>
    <n v="48"/>
    <n v="2"/>
    <x v="1"/>
    <n v="130505"/>
    <n v="91927"/>
    <x v="24"/>
    <n v="12"/>
    <n v="780"/>
    <x v="112"/>
  </r>
  <r>
    <x v="60"/>
    <n v="37"/>
    <n v="2"/>
    <x v="2"/>
    <n v="130507"/>
    <n v="93001"/>
    <x v="26"/>
    <n v="1"/>
    <n v="1"/>
    <x v="6"/>
  </r>
  <r>
    <x v="61"/>
    <n v="38"/>
    <n v="2"/>
    <x v="2"/>
    <n v="130507"/>
    <n v="93002"/>
    <x v="26"/>
    <n v="2"/>
    <n v="1777"/>
    <x v="113"/>
  </r>
  <r>
    <x v="62"/>
    <n v="39"/>
    <n v="2"/>
    <x v="2"/>
    <n v="130507"/>
    <n v="93002"/>
    <x v="26"/>
    <n v="3"/>
    <n v="1"/>
    <x v="6"/>
  </r>
  <r>
    <x v="63"/>
    <n v="40"/>
    <n v="2"/>
    <x v="2"/>
    <n v="130507"/>
    <n v="93002"/>
    <x v="27"/>
    <n v="4"/>
    <n v="305"/>
    <x v="114"/>
  </r>
  <r>
    <x v="64"/>
    <n v="41"/>
    <n v="2"/>
    <x v="2"/>
    <n v="130507"/>
    <n v="93002"/>
    <x v="27"/>
    <n v="5"/>
    <n v="284"/>
    <x v="115"/>
  </r>
  <r>
    <x v="65"/>
    <n v="42"/>
    <n v="2"/>
    <x v="2"/>
    <n v="130507"/>
    <n v="93002"/>
    <x v="28"/>
    <n v="6"/>
    <n v="1"/>
    <x v="6"/>
  </r>
  <r>
    <x v="66"/>
    <n v="43"/>
    <n v="2"/>
    <x v="2"/>
    <n v="130507"/>
    <n v="93002"/>
    <x v="28"/>
    <n v="7"/>
    <n v="0"/>
    <x v="13"/>
  </r>
  <r>
    <x v="67"/>
    <n v="44"/>
    <n v="2"/>
    <x v="2"/>
    <n v="130507"/>
    <n v="93002"/>
    <x v="29"/>
    <n v="8"/>
    <n v="1"/>
    <x v="6"/>
  </r>
  <r>
    <x v="68"/>
    <n v="45"/>
    <n v="2"/>
    <x v="2"/>
    <n v="130507"/>
    <n v="93002"/>
    <x v="29"/>
    <n v="9"/>
    <n v="2"/>
    <x v="7"/>
  </r>
  <r>
    <x v="69"/>
    <n v="46"/>
    <n v="2"/>
    <x v="2"/>
    <n v="130507"/>
    <n v="93002"/>
    <x v="24"/>
    <n v="10"/>
    <n v="1925"/>
    <x v="116"/>
  </r>
  <r>
    <x v="70"/>
    <n v="47"/>
    <n v="2"/>
    <x v="2"/>
    <n v="130507"/>
    <n v="93003"/>
    <x v="24"/>
    <n v="11"/>
    <n v="0"/>
    <x v="13"/>
  </r>
  <r>
    <x v="71"/>
    <n v="48"/>
    <n v="2"/>
    <x v="2"/>
    <n v="130507"/>
    <n v="93003"/>
    <x v="24"/>
    <n v="12"/>
    <n v="1307"/>
    <x v="117"/>
  </r>
  <r>
    <x v="72"/>
    <n v="49"/>
    <n v="2"/>
    <x v="0"/>
    <n v="130508"/>
    <n v="84409"/>
    <x v="14"/>
    <n v="1"/>
    <n v="6"/>
    <x v="89"/>
  </r>
  <r>
    <x v="73"/>
    <n v="50"/>
    <n v="2"/>
    <x v="0"/>
    <n v="130508"/>
    <n v="84409"/>
    <x v="14"/>
    <n v="2"/>
    <n v="908"/>
    <x v="102"/>
  </r>
  <r>
    <x v="74"/>
    <n v="51"/>
    <n v="2"/>
    <x v="0"/>
    <n v="130508"/>
    <n v="84409"/>
    <x v="14"/>
    <n v="3"/>
    <n v="237"/>
    <x v="118"/>
  </r>
  <r>
    <x v="75"/>
    <n v="52"/>
    <n v="2"/>
    <x v="0"/>
    <n v="130508"/>
    <n v="84409"/>
    <x v="30"/>
    <n v="4"/>
    <n v="12"/>
    <x v="37"/>
  </r>
  <r>
    <x v="76"/>
    <n v="53"/>
    <n v="2"/>
    <x v="0"/>
    <n v="130508"/>
    <n v="84409"/>
    <x v="30"/>
    <n v="5"/>
    <n v="1337"/>
    <x v="52"/>
  </r>
  <r>
    <x v="77"/>
    <n v="54"/>
    <n v="2"/>
    <x v="0"/>
    <n v="130508"/>
    <n v="84409"/>
    <x v="31"/>
    <n v="6"/>
    <n v="274"/>
    <x v="65"/>
  </r>
  <r>
    <x v="78"/>
    <n v="55"/>
    <n v="2"/>
    <x v="0"/>
    <n v="130508"/>
    <n v="84409"/>
    <x v="31"/>
    <n v="7"/>
    <n v="194"/>
    <x v="119"/>
  </r>
  <r>
    <x v="79"/>
    <n v="56"/>
    <n v="2"/>
    <x v="0"/>
    <n v="130508"/>
    <n v="84409"/>
    <x v="31"/>
    <n v="8"/>
    <n v="5"/>
    <x v="8"/>
  </r>
  <r>
    <x v="80"/>
    <n v="57"/>
    <n v="2"/>
    <x v="0"/>
    <n v="130508"/>
    <n v="83723"/>
    <x v="32"/>
    <n v="9"/>
    <n v="5"/>
    <x v="8"/>
  </r>
  <r>
    <x v="81"/>
    <n v="58"/>
    <n v="2"/>
    <x v="0"/>
    <n v="130508"/>
    <n v="83724"/>
    <x v="32"/>
    <n v="10"/>
    <n v="4"/>
    <x v="20"/>
  </r>
  <r>
    <x v="82"/>
    <n v="59"/>
    <n v="2"/>
    <x v="0"/>
    <n v="130508"/>
    <n v="83724"/>
    <x v="33"/>
    <n v="11"/>
    <n v="4"/>
    <x v="20"/>
  </r>
  <r>
    <x v="83"/>
    <n v="60"/>
    <n v="2"/>
    <x v="0"/>
    <n v="130508"/>
    <n v="83724"/>
    <x v="33"/>
    <n v="12"/>
    <n v="0"/>
    <x v="13"/>
  </r>
  <r>
    <x v="72"/>
    <n v="49"/>
    <n v="2"/>
    <x v="1"/>
    <n v="130509"/>
    <n v="85902"/>
    <x v="14"/>
    <n v="1"/>
    <n v="6"/>
    <x v="89"/>
  </r>
  <r>
    <x v="73"/>
    <n v="50"/>
    <n v="2"/>
    <x v="1"/>
    <n v="130509"/>
    <n v="85902"/>
    <x v="14"/>
    <n v="2"/>
    <n v="1605"/>
    <x v="120"/>
  </r>
  <r>
    <x v="74"/>
    <n v="51"/>
    <n v="2"/>
    <x v="1"/>
    <n v="130509"/>
    <n v="85902"/>
    <x v="14"/>
    <n v="3"/>
    <n v="314"/>
    <x v="12"/>
  </r>
  <r>
    <x v="75"/>
    <n v="52"/>
    <n v="2"/>
    <x v="1"/>
    <n v="130509"/>
    <n v="85903"/>
    <x v="30"/>
    <n v="4"/>
    <n v="9"/>
    <x v="88"/>
  </r>
  <r>
    <x v="76"/>
    <n v="53"/>
    <n v="2"/>
    <x v="1"/>
    <n v="130509"/>
    <n v="85903"/>
    <x v="30"/>
    <n v="5"/>
    <n v="1777"/>
    <x v="51"/>
  </r>
  <r>
    <x v="77"/>
    <n v="54"/>
    <n v="2"/>
    <x v="1"/>
    <n v="130509"/>
    <n v="85903"/>
    <x v="31"/>
    <n v="6"/>
    <n v="205"/>
    <x v="121"/>
  </r>
  <r>
    <x v="78"/>
    <n v="55"/>
    <n v="2"/>
    <x v="1"/>
    <n v="130509"/>
    <n v="85903"/>
    <x v="31"/>
    <n v="7"/>
    <n v="410"/>
    <x v="122"/>
  </r>
  <r>
    <x v="79"/>
    <n v="56"/>
    <n v="2"/>
    <x v="1"/>
    <n v="130509"/>
    <n v="85903"/>
    <x v="31"/>
    <n v="8"/>
    <n v="1"/>
    <x v="6"/>
  </r>
  <r>
    <x v="80"/>
    <n v="57"/>
    <n v="2"/>
    <x v="1"/>
    <n v="130509"/>
    <n v="84444"/>
    <x v="32"/>
    <n v="9"/>
    <n v="0"/>
    <x v="13"/>
  </r>
  <r>
    <x v="81"/>
    <n v="58"/>
    <n v="2"/>
    <x v="1"/>
    <n v="130509"/>
    <n v="84444"/>
    <x v="32"/>
    <n v="10"/>
    <n v="1"/>
    <x v="6"/>
  </r>
  <r>
    <x v="82"/>
    <n v="59"/>
    <n v="2"/>
    <x v="1"/>
    <n v="130509"/>
    <n v="84444"/>
    <x v="33"/>
    <n v="11"/>
    <n v="2"/>
    <x v="7"/>
  </r>
  <r>
    <x v="83"/>
    <n v="60"/>
    <n v="2"/>
    <x v="1"/>
    <n v="130509"/>
    <n v="84444"/>
    <x v="33"/>
    <n v="12"/>
    <n v="0"/>
    <x v="13"/>
  </r>
  <r>
    <x v="72"/>
    <n v="49"/>
    <n v="2"/>
    <x v="2"/>
    <n v="130510"/>
    <n v="102904"/>
    <x v="14"/>
    <n v="1"/>
    <n v="389"/>
    <x v="109"/>
  </r>
  <r>
    <x v="73"/>
    <n v="50"/>
    <n v="2"/>
    <x v="2"/>
    <n v="130510"/>
    <n v="102904"/>
    <x v="14"/>
    <n v="2"/>
    <n v="2255"/>
    <x v="9"/>
  </r>
  <r>
    <x v="74"/>
    <n v="51"/>
    <n v="2"/>
    <x v="2"/>
    <n v="130510"/>
    <n v="102904"/>
    <x v="14"/>
    <n v="3"/>
    <n v="414"/>
    <x v="19"/>
  </r>
  <r>
    <x v="75"/>
    <n v="52"/>
    <n v="2"/>
    <x v="2"/>
    <n v="130510"/>
    <n v="102904"/>
    <x v="30"/>
    <n v="4"/>
    <n v="104"/>
    <x v="123"/>
  </r>
  <r>
    <x v="76"/>
    <n v="53"/>
    <n v="2"/>
    <x v="2"/>
    <n v="130510"/>
    <n v="102904"/>
    <x v="30"/>
    <n v="5"/>
    <n v="2276"/>
    <x v="9"/>
  </r>
  <r>
    <x v="77"/>
    <n v="54"/>
    <n v="2"/>
    <x v="2"/>
    <n v="130510"/>
    <n v="102904"/>
    <x v="31"/>
    <n v="6"/>
    <n v="333"/>
    <x v="124"/>
  </r>
  <r>
    <x v="78"/>
    <n v="55"/>
    <n v="2"/>
    <x v="2"/>
    <n v="130510"/>
    <n v="102904"/>
    <x v="31"/>
    <n v="7"/>
    <n v="778"/>
    <x v="125"/>
  </r>
  <r>
    <x v="79"/>
    <n v="56"/>
    <n v="2"/>
    <x v="2"/>
    <n v="130510"/>
    <n v="102905"/>
    <x v="31"/>
    <n v="8"/>
    <n v="2"/>
    <x v="7"/>
  </r>
  <r>
    <x v="80"/>
    <n v="57"/>
    <n v="2"/>
    <x v="2"/>
    <n v="130510"/>
    <n v="101703"/>
    <x v="32"/>
    <n v="9"/>
    <n v="0"/>
    <x v="13"/>
  </r>
  <r>
    <x v="81"/>
    <n v="58"/>
    <n v="2"/>
    <x v="2"/>
    <n v="130510"/>
    <n v="101703"/>
    <x v="32"/>
    <n v="10"/>
    <n v="0"/>
    <x v="13"/>
  </r>
  <r>
    <x v="82"/>
    <n v="59"/>
    <n v="2"/>
    <x v="2"/>
    <n v="130510"/>
    <n v="101704"/>
    <x v="33"/>
    <n v="11"/>
    <n v="479"/>
    <x v="126"/>
  </r>
  <r>
    <x v="83"/>
    <n v="60"/>
    <n v="2"/>
    <x v="2"/>
    <n v="130510"/>
    <n v="101704"/>
    <x v="33"/>
    <n v="12"/>
    <n v="0"/>
    <x v="13"/>
  </r>
  <r>
    <x v="84"/>
    <n v="1"/>
    <n v="3"/>
    <x v="0"/>
    <n v="130521"/>
    <n v="102110"/>
    <x v="28"/>
    <n v="1"/>
    <n v="4"/>
    <x v="20"/>
  </r>
  <r>
    <x v="85"/>
    <n v="2"/>
    <n v="3"/>
    <x v="0"/>
    <n v="130521"/>
    <n v="102111"/>
    <x v="28"/>
    <n v="2"/>
    <n v="3"/>
    <x v="2"/>
  </r>
  <r>
    <x v="86"/>
    <n v="3"/>
    <n v="3"/>
    <x v="0"/>
    <n v="130521"/>
    <n v="102111"/>
    <x v="16"/>
    <n v="3"/>
    <n v="9"/>
    <x v="88"/>
  </r>
  <r>
    <x v="87"/>
    <n v="4"/>
    <n v="3"/>
    <x v="0"/>
    <n v="130521"/>
    <n v="102111"/>
    <x v="16"/>
    <n v="4"/>
    <n v="2"/>
    <x v="7"/>
  </r>
  <r>
    <x v="88"/>
    <n v="5"/>
    <n v="3"/>
    <x v="0"/>
    <n v="130521"/>
    <n v="102111"/>
    <x v="32"/>
    <n v="5"/>
    <n v="1554"/>
    <x v="127"/>
  </r>
  <r>
    <x v="89"/>
    <n v="6"/>
    <n v="3"/>
    <x v="0"/>
    <n v="130521"/>
    <n v="102111"/>
    <x v="17"/>
    <n v="6"/>
    <n v="4"/>
    <x v="20"/>
  </r>
  <r>
    <x v="90"/>
    <n v="7"/>
    <n v="3"/>
    <x v="0"/>
    <n v="130521"/>
    <n v="102111"/>
    <x v="34"/>
    <n v="7"/>
    <n v="300"/>
    <x v="12"/>
  </r>
  <r>
    <x v="91"/>
    <n v="8"/>
    <n v="3"/>
    <x v="0"/>
    <n v="130521"/>
    <n v="102111"/>
    <x v="34"/>
    <n v="8"/>
    <n v="2"/>
    <x v="7"/>
  </r>
  <r>
    <x v="92"/>
    <n v="9"/>
    <n v="3"/>
    <x v="0"/>
    <n v="130521"/>
    <n v="102112"/>
    <x v="27"/>
    <n v="9"/>
    <n v="107"/>
    <x v="128"/>
  </r>
  <r>
    <x v="93"/>
    <n v="10"/>
    <n v="3"/>
    <x v="0"/>
    <n v="130521"/>
    <n v="102112"/>
    <x v="27"/>
    <n v="10"/>
    <n v="170"/>
    <x v="39"/>
  </r>
  <r>
    <x v="94"/>
    <n v="11"/>
    <n v="3"/>
    <x v="0"/>
    <n v="130521"/>
    <n v="102112"/>
    <x v="14"/>
    <n v="11"/>
    <n v="2"/>
    <x v="7"/>
  </r>
  <r>
    <x v="95"/>
    <n v="12"/>
    <n v="3"/>
    <x v="0"/>
    <n v="130521"/>
    <n v="102113"/>
    <x v="14"/>
    <n v="12"/>
    <n v="3"/>
    <x v="7"/>
  </r>
  <r>
    <x v="84"/>
    <n v="1"/>
    <n v="3"/>
    <x v="1"/>
    <n v="130522"/>
    <n v="104437"/>
    <x v="28"/>
    <n v="1"/>
    <n v="4"/>
    <x v="20"/>
  </r>
  <r>
    <x v="85"/>
    <n v="2"/>
    <n v="3"/>
    <x v="1"/>
    <n v="130522"/>
    <n v="104437"/>
    <x v="28"/>
    <n v="2"/>
    <n v="2"/>
    <x v="7"/>
  </r>
  <r>
    <x v="86"/>
    <n v="3"/>
    <n v="3"/>
    <x v="1"/>
    <n v="130522"/>
    <n v="104437"/>
    <x v="16"/>
    <n v="3"/>
    <n v="2"/>
    <x v="7"/>
  </r>
  <r>
    <x v="87"/>
    <n v="4"/>
    <n v="3"/>
    <x v="1"/>
    <n v="130522"/>
    <n v="104438"/>
    <x v="16"/>
    <n v="4"/>
    <n v="0"/>
    <x v="13"/>
  </r>
  <r>
    <x v="88"/>
    <n v="5"/>
    <n v="3"/>
    <x v="1"/>
    <n v="130522"/>
    <n v="104438"/>
    <x v="32"/>
    <n v="5"/>
    <n v="2216"/>
    <x v="9"/>
  </r>
  <r>
    <x v="89"/>
    <n v="6"/>
    <n v="3"/>
    <x v="1"/>
    <n v="130522"/>
    <n v="104438"/>
    <x v="17"/>
    <n v="6"/>
    <n v="1"/>
    <x v="6"/>
  </r>
  <r>
    <x v="90"/>
    <n v="7"/>
    <n v="3"/>
    <x v="1"/>
    <n v="130522"/>
    <n v="104438"/>
    <x v="34"/>
    <n v="7"/>
    <n v="1712"/>
    <x v="129"/>
  </r>
  <r>
    <x v="91"/>
    <n v="8"/>
    <n v="3"/>
    <x v="1"/>
    <n v="130522"/>
    <n v="104438"/>
    <x v="34"/>
    <n v="8"/>
    <n v="1"/>
    <x v="6"/>
  </r>
  <r>
    <x v="92"/>
    <n v="9"/>
    <n v="3"/>
    <x v="1"/>
    <n v="130522"/>
    <n v="104438"/>
    <x v="27"/>
    <n v="9"/>
    <n v="278"/>
    <x v="65"/>
  </r>
  <r>
    <x v="93"/>
    <n v="10"/>
    <n v="3"/>
    <x v="1"/>
    <n v="130522"/>
    <n v="104438"/>
    <x v="27"/>
    <n v="10"/>
    <n v="715"/>
    <x v="45"/>
  </r>
  <r>
    <x v="94"/>
    <n v="11"/>
    <n v="3"/>
    <x v="1"/>
    <n v="130522"/>
    <n v="104438"/>
    <x v="14"/>
    <n v="11"/>
    <n v="3"/>
    <x v="2"/>
  </r>
  <r>
    <x v="95"/>
    <n v="12"/>
    <n v="3"/>
    <x v="1"/>
    <n v="130522"/>
    <n v="104439"/>
    <x v="14"/>
    <n v="12"/>
    <n v="1"/>
    <x v="6"/>
  </r>
  <r>
    <x v="84"/>
    <n v="1"/>
    <n v="3"/>
    <x v="2"/>
    <n v="130523"/>
    <n v="110725"/>
    <x v="28"/>
    <n v="1"/>
    <n v="77"/>
    <x v="130"/>
  </r>
  <r>
    <x v="85"/>
    <n v="2"/>
    <n v="3"/>
    <x v="2"/>
    <n v="130523"/>
    <n v="110725"/>
    <x v="28"/>
    <n v="2"/>
    <n v="498"/>
    <x v="131"/>
  </r>
  <r>
    <x v="86"/>
    <n v="3"/>
    <n v="3"/>
    <x v="2"/>
    <n v="130523"/>
    <n v="110725"/>
    <x v="16"/>
    <n v="3"/>
    <n v="3"/>
    <x v="7"/>
  </r>
  <r>
    <x v="87"/>
    <n v="4"/>
    <n v="3"/>
    <x v="2"/>
    <n v="130523"/>
    <n v="110725"/>
    <x v="16"/>
    <n v="4"/>
    <n v="2"/>
    <x v="7"/>
  </r>
  <r>
    <x v="88"/>
    <n v="5"/>
    <n v="3"/>
    <x v="2"/>
    <n v="130523"/>
    <n v="110726"/>
    <x v="32"/>
    <n v="5"/>
    <n v="2213"/>
    <x v="9"/>
  </r>
  <r>
    <x v="89"/>
    <n v="6"/>
    <n v="3"/>
    <x v="2"/>
    <n v="130523"/>
    <n v="110726"/>
    <x v="17"/>
    <n v="6"/>
    <n v="0"/>
    <x v="13"/>
  </r>
  <r>
    <x v="90"/>
    <n v="7"/>
    <n v="3"/>
    <x v="2"/>
    <n v="130523"/>
    <n v="110416"/>
    <x v="34"/>
    <n v="7"/>
    <n v="1707"/>
    <x v="132"/>
  </r>
  <r>
    <x v="91"/>
    <n v="8"/>
    <n v="3"/>
    <x v="2"/>
    <n v="130523"/>
    <n v="110416"/>
    <x v="34"/>
    <n v="8"/>
    <n v="0"/>
    <x v="13"/>
  </r>
  <r>
    <x v="92"/>
    <n v="9"/>
    <n v="3"/>
    <x v="2"/>
    <n v="130523"/>
    <n v="110416"/>
    <x v="27"/>
    <n v="9"/>
    <n v="198"/>
    <x v="121"/>
  </r>
  <r>
    <x v="93"/>
    <n v="10"/>
    <n v="3"/>
    <x v="2"/>
    <n v="130523"/>
    <n v="110416"/>
    <x v="27"/>
    <n v="10"/>
    <n v="416"/>
    <x v="133"/>
  </r>
  <r>
    <x v="94"/>
    <n v="11"/>
    <n v="3"/>
    <x v="2"/>
    <n v="130523"/>
    <n v="110416"/>
    <x v="14"/>
    <n v="11"/>
    <n v="1"/>
    <x v="6"/>
  </r>
  <r>
    <x v="95"/>
    <n v="12"/>
    <n v="3"/>
    <x v="2"/>
    <n v="130523"/>
    <n v="110416"/>
    <x v="14"/>
    <n v="12"/>
    <n v="0"/>
    <x v="13"/>
  </r>
  <r>
    <x v="96"/>
    <n v="13"/>
    <n v="3"/>
    <x v="0"/>
    <n v="130529"/>
    <n v="104142"/>
    <x v="29"/>
    <n v="1"/>
    <n v="2"/>
    <x v="7"/>
  </r>
  <r>
    <x v="97"/>
    <n v="14"/>
    <n v="3"/>
    <x v="0"/>
    <n v="130529"/>
    <n v="104142"/>
    <x v="29"/>
    <n v="2"/>
    <n v="2"/>
    <x v="7"/>
  </r>
  <r>
    <x v="98"/>
    <n v="15"/>
    <n v="3"/>
    <x v="0"/>
    <n v="130529"/>
    <n v="104142"/>
    <x v="29"/>
    <n v="3"/>
    <n v="1"/>
    <x v="6"/>
  </r>
  <r>
    <x v="99"/>
    <n v="16"/>
    <n v="3"/>
    <x v="0"/>
    <n v="130529"/>
    <n v="104142"/>
    <x v="17"/>
    <n v="4"/>
    <n v="1722"/>
    <x v="134"/>
  </r>
  <r>
    <x v="100"/>
    <n v="17"/>
    <n v="3"/>
    <x v="0"/>
    <n v="130529"/>
    <n v="104142"/>
    <x v="17"/>
    <n v="5"/>
    <n v="1805"/>
    <x v="50"/>
  </r>
  <r>
    <x v="96"/>
    <n v="13"/>
    <n v="3"/>
    <x v="1"/>
    <n v="130530"/>
    <n v="100057"/>
    <x v="29"/>
    <n v="1"/>
    <n v="1"/>
    <x v="6"/>
  </r>
  <r>
    <x v="97"/>
    <n v="14"/>
    <n v="3"/>
    <x v="1"/>
    <n v="130530"/>
    <n v="100057"/>
    <x v="29"/>
    <n v="2"/>
    <n v="2"/>
    <x v="7"/>
  </r>
  <r>
    <x v="98"/>
    <n v="15"/>
    <n v="3"/>
    <x v="1"/>
    <n v="130530"/>
    <n v="100058"/>
    <x v="29"/>
    <n v="3"/>
    <n v="0"/>
    <x v="13"/>
  </r>
  <r>
    <x v="99"/>
    <n v="16"/>
    <n v="3"/>
    <x v="1"/>
    <n v="130530"/>
    <n v="100058"/>
    <x v="17"/>
    <n v="4"/>
    <n v="1838"/>
    <x v="132"/>
  </r>
  <r>
    <x v="100"/>
    <n v="17"/>
    <n v="3"/>
    <x v="1"/>
    <n v="130530"/>
    <n v="100058"/>
    <x v="17"/>
    <n v="5"/>
    <n v="1215"/>
    <x v="135"/>
  </r>
  <r>
    <x v="96"/>
    <n v="13"/>
    <n v="3"/>
    <x v="2"/>
    <n v="130531"/>
    <n v="93646"/>
    <x v="29"/>
    <n v="1"/>
    <n v="1"/>
    <x v="6"/>
  </r>
  <r>
    <x v="97"/>
    <n v="14"/>
    <n v="3"/>
    <x v="2"/>
    <n v="130531"/>
    <n v="93647"/>
    <x v="29"/>
    <n v="2"/>
    <n v="0"/>
    <x v="13"/>
  </r>
  <r>
    <x v="98"/>
    <n v="15"/>
    <n v="3"/>
    <x v="2"/>
    <n v="130531"/>
    <n v="93647"/>
    <x v="29"/>
    <n v="3"/>
    <n v="0"/>
    <x v="13"/>
  </r>
  <r>
    <x v="99"/>
    <n v="16"/>
    <n v="3"/>
    <x v="2"/>
    <n v="130531"/>
    <n v="93647"/>
    <x v="17"/>
    <n v="4"/>
    <n v="1808"/>
    <x v="136"/>
  </r>
  <r>
    <x v="100"/>
    <n v="17"/>
    <n v="3"/>
    <x v="2"/>
    <n v="130531"/>
    <n v="93647"/>
    <x v="17"/>
    <n v="5"/>
    <n v="1004"/>
    <x v="106"/>
  </r>
  <r>
    <x v="101"/>
    <n v="18"/>
    <n v="3"/>
    <x v="0"/>
    <n v="130603"/>
    <n v="100703"/>
    <x v="33"/>
    <n v="1"/>
    <n v="1249"/>
    <x v="137"/>
  </r>
  <r>
    <x v="102"/>
    <n v="19"/>
    <n v="3"/>
    <x v="0"/>
    <n v="130603"/>
    <n v="102026"/>
    <x v="33"/>
    <n v="2"/>
    <n v="1006"/>
    <x v="106"/>
  </r>
  <r>
    <x v="103"/>
    <n v="20"/>
    <n v="3"/>
    <x v="0"/>
    <n v="130603"/>
    <n v="100943"/>
    <x v="33"/>
    <n v="3"/>
    <n v="4"/>
    <x v="20"/>
  </r>
  <r>
    <x v="104"/>
    <n v="21"/>
    <n v="3"/>
    <x v="0"/>
    <n v="130603"/>
    <n v="102026"/>
    <x v="19"/>
    <n v="4"/>
    <n v="4"/>
    <x v="20"/>
  </r>
  <r>
    <x v="105"/>
    <n v="22"/>
    <n v="3"/>
    <x v="0"/>
    <n v="130603"/>
    <n v="100703"/>
    <x v="19"/>
    <n v="5"/>
    <n v="19"/>
    <x v="138"/>
  </r>
  <r>
    <x v="101"/>
    <n v="18"/>
    <n v="3"/>
    <x v="1"/>
    <n v="130606"/>
    <n v="93110"/>
    <x v="33"/>
    <n v="1"/>
    <n v="1421"/>
    <x v="25"/>
  </r>
  <r>
    <x v="102"/>
    <n v="19"/>
    <n v="3"/>
    <x v="1"/>
    <n v="130606"/>
    <n v="93110"/>
    <x v="33"/>
    <n v="2"/>
    <n v="1350"/>
    <x v="139"/>
  </r>
  <r>
    <x v="103"/>
    <n v="20"/>
    <n v="3"/>
    <x v="1"/>
    <n v="130606"/>
    <n v="93110"/>
    <x v="33"/>
    <n v="3"/>
    <n v="0"/>
    <x v="13"/>
  </r>
  <r>
    <x v="104"/>
    <n v="21"/>
    <n v="3"/>
    <x v="1"/>
    <n v="130606"/>
    <n v="93110"/>
    <x v="19"/>
    <n v="4"/>
    <n v="1"/>
    <x v="6"/>
  </r>
  <r>
    <x v="105"/>
    <n v="22"/>
    <n v="3"/>
    <x v="1"/>
    <n v="130606"/>
    <n v="93110"/>
    <x v="19"/>
    <n v="5"/>
    <n v="34"/>
    <x v="140"/>
  </r>
  <r>
    <x v="101"/>
    <n v="18"/>
    <n v="3"/>
    <x v="2"/>
    <n v="130607"/>
    <n v="95840"/>
    <x v="33"/>
    <n v="1"/>
    <n v="1671"/>
    <x v="141"/>
  </r>
  <r>
    <x v="102"/>
    <n v="19"/>
    <n v="3"/>
    <x v="2"/>
    <n v="130607"/>
    <n v="95840"/>
    <x v="33"/>
    <n v="2"/>
    <n v="1114"/>
    <x v="142"/>
  </r>
  <r>
    <x v="103"/>
    <n v="20"/>
    <n v="3"/>
    <x v="2"/>
    <n v="130607"/>
    <n v="95840"/>
    <x v="33"/>
    <n v="3"/>
    <n v="4"/>
    <x v="2"/>
  </r>
  <r>
    <x v="104"/>
    <n v="21"/>
    <n v="3"/>
    <x v="2"/>
    <n v="130607"/>
    <n v="95840"/>
    <x v="19"/>
    <n v="4"/>
    <n v="4"/>
    <x v="20"/>
  </r>
  <r>
    <x v="105"/>
    <n v="22"/>
    <n v="3"/>
    <x v="2"/>
    <n v="130607"/>
    <n v="95840"/>
    <x v="19"/>
    <n v="5"/>
    <n v="175"/>
    <x v="143"/>
  </r>
  <r>
    <x v="106"/>
    <n v="23"/>
    <n v="3"/>
    <x v="0"/>
    <n v="130611"/>
    <n v="104112"/>
    <x v="32"/>
    <n v="1"/>
    <n v="5"/>
    <x v="8"/>
  </r>
  <r>
    <x v="107"/>
    <n v="24"/>
    <n v="3"/>
    <x v="0"/>
    <n v="130611"/>
    <n v="103701"/>
    <x v="32"/>
    <n v="2"/>
    <n v="4"/>
    <x v="20"/>
  </r>
  <r>
    <x v="108"/>
    <n v="25"/>
    <n v="3"/>
    <x v="0"/>
    <n v="130611"/>
    <n v="103534"/>
    <x v="33"/>
    <n v="3"/>
    <n v="1133"/>
    <x v="144"/>
  </r>
  <r>
    <x v="109"/>
    <n v="26"/>
    <n v="3"/>
    <x v="0"/>
    <n v="130611"/>
    <n v="103535"/>
    <x v="33"/>
    <n v="4"/>
    <n v="436"/>
    <x v="145"/>
  </r>
  <r>
    <x v="110"/>
    <n v="27"/>
    <n v="3"/>
    <x v="0"/>
    <n v="130611"/>
    <n v="104112"/>
    <x v="33"/>
    <n v="5"/>
    <n v="1634"/>
    <x v="146"/>
  </r>
  <r>
    <x v="106"/>
    <n v="23"/>
    <n v="3"/>
    <x v="1"/>
    <n v="130612"/>
    <n v="95025"/>
    <x v="32"/>
    <n v="1"/>
    <n v="1"/>
    <x v="6"/>
  </r>
  <r>
    <x v="107"/>
    <n v="24"/>
    <n v="3"/>
    <x v="1"/>
    <n v="130612"/>
    <n v="95026"/>
    <x v="32"/>
    <n v="2"/>
    <n v="1"/>
    <x v="6"/>
  </r>
  <r>
    <x v="108"/>
    <n v="25"/>
    <n v="3"/>
    <x v="1"/>
    <n v="130612"/>
    <n v="90843"/>
    <x v="33"/>
    <n v="3"/>
    <n v="1917"/>
    <x v="54"/>
  </r>
  <r>
    <x v="109"/>
    <n v="26"/>
    <n v="3"/>
    <x v="1"/>
    <n v="130612"/>
    <n v="95026"/>
    <x v="33"/>
    <n v="4"/>
    <n v="716"/>
    <x v="147"/>
  </r>
  <r>
    <x v="110"/>
    <n v="27"/>
    <n v="3"/>
    <x v="1"/>
    <n v="130612"/>
    <n v="95026"/>
    <x v="33"/>
    <n v="5"/>
    <n v="1604"/>
    <x v="148"/>
  </r>
  <r>
    <x v="106"/>
    <n v="23"/>
    <n v="3"/>
    <x v="2"/>
    <n v="130613"/>
    <n v="103107"/>
    <x v="32"/>
    <n v="1"/>
    <n v="41"/>
    <x v="100"/>
  </r>
  <r>
    <x v="107"/>
    <n v="24"/>
    <n v="3"/>
    <x v="2"/>
    <n v="130613"/>
    <n v="103108"/>
    <x v="32"/>
    <n v="2"/>
    <n v="1"/>
    <x v="6"/>
  </r>
  <r>
    <x v="108"/>
    <n v="25"/>
    <n v="3"/>
    <x v="2"/>
    <n v="130613"/>
    <n v="103108"/>
    <x v="33"/>
    <n v="3"/>
    <n v="2033"/>
    <x v="149"/>
  </r>
  <r>
    <x v="109"/>
    <n v="26"/>
    <n v="3"/>
    <x v="2"/>
    <n v="130613"/>
    <n v="103108"/>
    <x v="33"/>
    <n v="4"/>
    <n v="730"/>
    <x v="81"/>
  </r>
  <r>
    <x v="110"/>
    <n v="27"/>
    <n v="3"/>
    <x v="2"/>
    <n v="130613"/>
    <n v="103108"/>
    <x v="33"/>
    <n v="5"/>
    <n v="1825"/>
    <x v="150"/>
  </r>
  <r>
    <x v="111"/>
    <n v="1"/>
    <n v="4"/>
    <x v="0"/>
    <n v="130615"/>
    <n v="121503"/>
    <x v="35"/>
    <n v="1"/>
    <n v="1461"/>
    <x v="151"/>
  </r>
  <r>
    <x v="112"/>
    <n v="2"/>
    <n v="4"/>
    <x v="0"/>
    <n v="130615"/>
    <n v="115330"/>
    <x v="35"/>
    <n v="2"/>
    <n v="2192"/>
    <x v="9"/>
  </r>
  <r>
    <x v="113"/>
    <n v="3"/>
    <n v="4"/>
    <x v="0"/>
    <n v="130615"/>
    <n v="115330"/>
    <x v="36"/>
    <n v="3"/>
    <n v="4"/>
    <x v="20"/>
  </r>
  <r>
    <x v="114"/>
    <n v="4"/>
    <n v="4"/>
    <x v="0"/>
    <n v="130615"/>
    <n v="115330"/>
    <x v="36"/>
    <n v="4"/>
    <n v="409"/>
    <x v="122"/>
  </r>
  <r>
    <x v="115"/>
    <n v="5"/>
    <n v="4"/>
    <x v="0"/>
    <n v="130615"/>
    <n v="121503"/>
    <x v="37"/>
    <n v="5"/>
    <n v="2097"/>
    <x v="152"/>
  </r>
  <r>
    <x v="116"/>
    <n v="6"/>
    <n v="4"/>
    <x v="0"/>
    <n v="130615"/>
    <n v="115330"/>
    <x v="37"/>
    <n v="6"/>
    <n v="2218"/>
    <x v="9"/>
  </r>
  <r>
    <x v="117"/>
    <n v="7"/>
    <n v="4"/>
    <x v="0"/>
    <n v="130615"/>
    <n v="115330"/>
    <x v="38"/>
    <n v="7"/>
    <n v="2029"/>
    <x v="0"/>
  </r>
  <r>
    <x v="118"/>
    <n v="8"/>
    <n v="4"/>
    <x v="0"/>
    <n v="130615"/>
    <n v="115330"/>
    <x v="38"/>
    <n v="8"/>
    <n v="283"/>
    <x v="65"/>
  </r>
  <r>
    <x v="119"/>
    <n v="9"/>
    <n v="4"/>
    <x v="0"/>
    <n v="130615"/>
    <n v="115331"/>
    <x v="39"/>
    <n v="9"/>
    <n v="150"/>
    <x v="153"/>
  </r>
  <r>
    <x v="120"/>
    <n v="10"/>
    <n v="4"/>
    <x v="0"/>
    <n v="130615"/>
    <n v="115331"/>
    <x v="39"/>
    <n v="10"/>
    <n v="6"/>
    <x v="89"/>
  </r>
  <r>
    <x v="121"/>
    <n v="11"/>
    <n v="4"/>
    <x v="0"/>
    <n v="130615"/>
    <n v="115331"/>
    <x v="40"/>
    <n v="11"/>
    <n v="1543"/>
    <x v="148"/>
  </r>
  <r>
    <x v="122"/>
    <n v="12"/>
    <n v="4"/>
    <x v="0"/>
    <n v="130615"/>
    <n v="115332"/>
    <x v="40"/>
    <n v="12"/>
    <n v="32"/>
    <x v="140"/>
  </r>
  <r>
    <x v="111"/>
    <n v="1"/>
    <n v="4"/>
    <x v="1"/>
    <n v="130616"/>
    <n v="145233"/>
    <x v="35"/>
    <n v="1"/>
    <n v="2168"/>
    <x v="9"/>
  </r>
  <r>
    <x v="112"/>
    <n v="2"/>
    <n v="4"/>
    <x v="1"/>
    <n v="130616"/>
    <n v="143154"/>
    <x v="35"/>
    <n v="2"/>
    <n v="2203"/>
    <x v="9"/>
  </r>
  <r>
    <x v="113"/>
    <n v="3"/>
    <n v="4"/>
    <x v="1"/>
    <n v="130616"/>
    <n v="143154"/>
    <x v="36"/>
    <n v="3"/>
    <n v="2"/>
    <x v="7"/>
  </r>
  <r>
    <x v="114"/>
    <n v="4"/>
    <n v="4"/>
    <x v="1"/>
    <n v="130616"/>
    <n v="143155"/>
    <x v="36"/>
    <n v="4"/>
    <n v="680"/>
    <x v="154"/>
  </r>
  <r>
    <x v="115"/>
    <n v="5"/>
    <n v="4"/>
    <x v="1"/>
    <n v="130616"/>
    <n v="145233"/>
    <x v="37"/>
    <n v="5"/>
    <n v="2154"/>
    <x v="9"/>
  </r>
  <r>
    <x v="116"/>
    <n v="6"/>
    <n v="4"/>
    <x v="1"/>
    <n v="130616"/>
    <n v="143155"/>
    <x v="37"/>
    <n v="6"/>
    <n v="2262"/>
    <x v="9"/>
  </r>
  <r>
    <x v="117"/>
    <n v="7"/>
    <n v="4"/>
    <x v="1"/>
    <n v="130616"/>
    <n v="143155"/>
    <x v="38"/>
    <n v="7"/>
    <n v="2228"/>
    <x v="9"/>
  </r>
  <r>
    <x v="118"/>
    <n v="8"/>
    <n v="4"/>
    <x v="1"/>
    <n v="130616"/>
    <n v="143155"/>
    <x v="38"/>
    <n v="8"/>
    <n v="2275"/>
    <x v="9"/>
  </r>
  <r>
    <x v="119"/>
    <n v="9"/>
    <n v="4"/>
    <x v="1"/>
    <n v="130616"/>
    <n v="143631"/>
    <x v="39"/>
    <n v="9"/>
    <n v="792"/>
    <x v="46"/>
  </r>
  <r>
    <x v="120"/>
    <n v="10"/>
    <n v="4"/>
    <x v="1"/>
    <n v="130616"/>
    <n v="143631"/>
    <x v="39"/>
    <n v="10"/>
    <n v="78"/>
    <x v="155"/>
  </r>
  <r>
    <x v="121"/>
    <n v="11"/>
    <n v="4"/>
    <x v="1"/>
    <n v="130616"/>
    <n v="143631"/>
    <x v="40"/>
    <n v="11"/>
    <n v="2165"/>
    <x v="9"/>
  </r>
  <r>
    <x v="122"/>
    <n v="12"/>
    <n v="4"/>
    <x v="1"/>
    <n v="130616"/>
    <n v="143631"/>
    <x v="40"/>
    <n v="12"/>
    <n v="275"/>
    <x v="98"/>
  </r>
  <r>
    <x v="111"/>
    <n v="1"/>
    <n v="4"/>
    <x v="2"/>
    <n v="130617"/>
    <n v="142742"/>
    <x v="35"/>
    <n v="1"/>
    <n v="2089"/>
    <x v="30"/>
  </r>
  <r>
    <x v="112"/>
    <n v="2"/>
    <n v="4"/>
    <x v="2"/>
    <n v="130617"/>
    <n v="141056"/>
    <x v="35"/>
    <n v="2"/>
    <n v="2189"/>
    <x v="9"/>
  </r>
  <r>
    <x v="113"/>
    <n v="3"/>
    <n v="4"/>
    <x v="2"/>
    <n v="130617"/>
    <n v="140759"/>
    <x v="36"/>
    <n v="3"/>
    <n v="1"/>
    <x v="6"/>
  </r>
  <r>
    <x v="114"/>
    <n v="4"/>
    <n v="4"/>
    <x v="2"/>
    <n v="130617"/>
    <n v="140759"/>
    <x v="36"/>
    <n v="4"/>
    <n v="511"/>
    <x v="131"/>
  </r>
  <r>
    <x v="115"/>
    <n v="5"/>
    <n v="4"/>
    <x v="2"/>
    <n v="130617"/>
    <n v="142742"/>
    <x v="37"/>
    <n v="5"/>
    <n v="2168"/>
    <x v="9"/>
  </r>
  <r>
    <x v="116"/>
    <n v="6"/>
    <n v="4"/>
    <x v="2"/>
    <n v="130617"/>
    <n v="141057"/>
    <x v="37"/>
    <n v="6"/>
    <n v="2372"/>
    <x v="9"/>
  </r>
  <r>
    <x v="117"/>
    <n v="7"/>
    <n v="4"/>
    <x v="2"/>
    <n v="130617"/>
    <n v="140759"/>
    <x v="38"/>
    <n v="7"/>
    <n v="2280"/>
    <x v="9"/>
  </r>
  <r>
    <x v="118"/>
    <n v="8"/>
    <n v="4"/>
    <x v="2"/>
    <n v="130617"/>
    <n v="140759"/>
    <x v="38"/>
    <n v="8"/>
    <n v="2358"/>
    <x v="9"/>
  </r>
  <r>
    <x v="119"/>
    <n v="9"/>
    <n v="4"/>
    <x v="2"/>
    <n v="130617"/>
    <n v="140325"/>
    <x v="39"/>
    <n v="9"/>
    <n v="200"/>
    <x v="121"/>
  </r>
  <r>
    <x v="120"/>
    <n v="10"/>
    <n v="4"/>
    <x v="2"/>
    <n v="130617"/>
    <n v="140326"/>
    <x v="39"/>
    <n v="10"/>
    <n v="236"/>
    <x v="156"/>
  </r>
  <r>
    <x v="121"/>
    <n v="11"/>
    <n v="4"/>
    <x v="2"/>
    <n v="130617"/>
    <n v="140326"/>
    <x v="40"/>
    <n v="11"/>
    <n v="2169"/>
    <x v="9"/>
  </r>
  <r>
    <x v="122"/>
    <n v="12"/>
    <n v="4"/>
    <x v="2"/>
    <n v="130617"/>
    <n v="140326"/>
    <x v="40"/>
    <n v="12"/>
    <n v="475"/>
    <x v="157"/>
  </r>
  <r>
    <x v="123"/>
    <n v="13"/>
    <n v="4"/>
    <x v="0"/>
    <n v="130618"/>
    <n v="114535"/>
    <x v="41"/>
    <n v="1"/>
    <n v="38"/>
    <x v="158"/>
  </r>
  <r>
    <x v="124"/>
    <n v="14"/>
    <n v="4"/>
    <x v="0"/>
    <n v="130618"/>
    <n v="110923"/>
    <x v="41"/>
    <n v="2"/>
    <n v="1284"/>
    <x v="159"/>
  </r>
  <r>
    <x v="125"/>
    <n v="15"/>
    <n v="4"/>
    <x v="0"/>
    <n v="130618"/>
    <n v="110700"/>
    <x v="42"/>
    <n v="3"/>
    <n v="1216"/>
    <x v="160"/>
  </r>
  <r>
    <x v="126"/>
    <n v="16"/>
    <n v="4"/>
    <x v="0"/>
    <n v="130618"/>
    <n v="110700"/>
    <x v="42"/>
    <n v="4"/>
    <n v="176"/>
    <x v="39"/>
  </r>
  <r>
    <x v="127"/>
    <n v="17"/>
    <n v="4"/>
    <x v="0"/>
    <n v="130618"/>
    <n v="114536"/>
    <x v="43"/>
    <n v="5"/>
    <n v="4"/>
    <x v="20"/>
  </r>
  <r>
    <x v="128"/>
    <n v="18"/>
    <n v="4"/>
    <x v="0"/>
    <n v="130618"/>
    <n v="110923"/>
    <x v="43"/>
    <n v="6"/>
    <n v="2"/>
    <x v="7"/>
  </r>
  <r>
    <x v="129"/>
    <n v="19"/>
    <n v="4"/>
    <x v="0"/>
    <n v="130618"/>
    <n v="110700"/>
    <x v="44"/>
    <n v="7"/>
    <n v="9"/>
    <x v="3"/>
  </r>
  <r>
    <x v="130"/>
    <n v="20"/>
    <n v="4"/>
    <x v="0"/>
    <n v="130618"/>
    <n v="110700"/>
    <x v="44"/>
    <n v="8"/>
    <n v="3"/>
    <x v="2"/>
  </r>
  <r>
    <x v="131"/>
    <n v="21"/>
    <n v="4"/>
    <x v="0"/>
    <n v="130618"/>
    <n v="110439"/>
    <x v="45"/>
    <n v="9"/>
    <n v="360"/>
    <x v="161"/>
  </r>
  <r>
    <x v="132"/>
    <n v="22"/>
    <n v="4"/>
    <x v="0"/>
    <n v="130618"/>
    <n v="110439"/>
    <x v="45"/>
    <n v="10"/>
    <n v="482"/>
    <x v="162"/>
  </r>
  <r>
    <x v="133"/>
    <n v="23"/>
    <n v="4"/>
    <x v="0"/>
    <n v="130618"/>
    <n v="110439"/>
    <x v="46"/>
    <n v="11"/>
    <n v="1585"/>
    <x v="120"/>
  </r>
  <r>
    <x v="134"/>
    <n v="24"/>
    <n v="4"/>
    <x v="0"/>
    <n v="130618"/>
    <n v="110440"/>
    <x v="46"/>
    <n v="12"/>
    <n v="592"/>
    <x v="163"/>
  </r>
  <r>
    <x v="123"/>
    <n v="13"/>
    <n v="4"/>
    <x v="1"/>
    <n v="130619"/>
    <n v="112923"/>
    <x v="41"/>
    <n v="1"/>
    <n v="366"/>
    <x v="161"/>
  </r>
  <r>
    <x v="124"/>
    <n v="14"/>
    <n v="4"/>
    <x v="1"/>
    <n v="130619"/>
    <n v="105149"/>
    <x v="41"/>
    <n v="2"/>
    <n v="2194"/>
    <x v="164"/>
  </r>
  <r>
    <x v="125"/>
    <n v="15"/>
    <n v="4"/>
    <x v="1"/>
    <n v="130619"/>
    <n v="104847"/>
    <x v="42"/>
    <n v="3"/>
    <n v="1217"/>
    <x v="160"/>
  </r>
  <r>
    <x v="126"/>
    <n v="16"/>
    <n v="4"/>
    <x v="1"/>
    <n v="130619"/>
    <n v="104847"/>
    <x v="42"/>
    <n v="4"/>
    <n v="338"/>
    <x v="124"/>
  </r>
  <r>
    <x v="127"/>
    <n v="17"/>
    <n v="4"/>
    <x v="1"/>
    <n v="130619"/>
    <n v="112923"/>
    <x v="43"/>
    <n v="5"/>
    <n v="0"/>
    <x v="13"/>
  </r>
  <r>
    <x v="128"/>
    <n v="18"/>
    <n v="4"/>
    <x v="1"/>
    <n v="130619"/>
    <n v="105149"/>
    <x v="43"/>
    <n v="6"/>
    <n v="1"/>
    <x v="6"/>
  </r>
  <r>
    <x v="129"/>
    <n v="19"/>
    <n v="4"/>
    <x v="1"/>
    <n v="130619"/>
    <n v="104847"/>
    <x v="44"/>
    <n v="7"/>
    <n v="0"/>
    <x v="13"/>
  </r>
  <r>
    <x v="130"/>
    <n v="20"/>
    <n v="4"/>
    <x v="1"/>
    <n v="130619"/>
    <n v="104848"/>
    <x v="44"/>
    <n v="8"/>
    <n v="1"/>
    <x v="6"/>
  </r>
  <r>
    <x v="131"/>
    <n v="21"/>
    <n v="4"/>
    <x v="1"/>
    <n v="130619"/>
    <n v="104424"/>
    <x v="45"/>
    <n v="9"/>
    <n v="417"/>
    <x v="165"/>
  </r>
  <r>
    <x v="132"/>
    <n v="22"/>
    <n v="4"/>
    <x v="1"/>
    <n v="130619"/>
    <n v="104424"/>
    <x v="45"/>
    <n v="10"/>
    <n v="145"/>
    <x v="166"/>
  </r>
  <r>
    <x v="133"/>
    <n v="23"/>
    <n v="4"/>
    <x v="1"/>
    <n v="130619"/>
    <n v="104424"/>
    <x v="46"/>
    <n v="11"/>
    <n v="1360"/>
    <x v="71"/>
  </r>
  <r>
    <x v="134"/>
    <n v="24"/>
    <n v="4"/>
    <x v="1"/>
    <n v="130619"/>
    <n v="104424"/>
    <x v="46"/>
    <n v="12"/>
    <n v="860"/>
    <x v="167"/>
  </r>
  <r>
    <x v="123"/>
    <n v="13"/>
    <n v="4"/>
    <x v="2"/>
    <n v="130620"/>
    <n v="132258"/>
    <x v="41"/>
    <n v="1"/>
    <n v="1522"/>
    <x v="127"/>
  </r>
  <r>
    <x v="124"/>
    <n v="14"/>
    <n v="4"/>
    <x v="2"/>
    <n v="130620"/>
    <n v="125000"/>
    <x v="41"/>
    <n v="2"/>
    <n v="2208"/>
    <x v="9"/>
  </r>
  <r>
    <x v="125"/>
    <n v="15"/>
    <n v="4"/>
    <x v="2"/>
    <n v="130620"/>
    <n v="124429"/>
    <x v="42"/>
    <n v="3"/>
    <n v="1529"/>
    <x v="168"/>
  </r>
  <r>
    <x v="126"/>
    <n v="16"/>
    <n v="4"/>
    <x v="2"/>
    <n v="130620"/>
    <n v="124430"/>
    <x v="42"/>
    <n v="4"/>
    <n v="490"/>
    <x v="126"/>
  </r>
  <r>
    <x v="127"/>
    <n v="17"/>
    <n v="4"/>
    <x v="2"/>
    <n v="130620"/>
    <n v="132258"/>
    <x v="43"/>
    <n v="5"/>
    <n v="0"/>
    <x v="13"/>
  </r>
  <r>
    <x v="128"/>
    <n v="18"/>
    <n v="4"/>
    <x v="2"/>
    <n v="130620"/>
    <n v="125000"/>
    <x v="43"/>
    <n v="6"/>
    <n v="0"/>
    <x v="13"/>
  </r>
  <r>
    <x v="129"/>
    <n v="19"/>
    <n v="4"/>
    <x v="2"/>
    <n v="130620"/>
    <n v="124430"/>
    <x v="44"/>
    <n v="7"/>
    <n v="175"/>
    <x v="143"/>
  </r>
  <r>
    <x v="130"/>
    <n v="20"/>
    <n v="4"/>
    <x v="2"/>
    <n v="130620"/>
    <n v="124430"/>
    <x v="44"/>
    <n v="8"/>
    <n v="2"/>
    <x v="6"/>
  </r>
  <r>
    <x v="131"/>
    <n v="21"/>
    <n v="4"/>
    <x v="2"/>
    <n v="130620"/>
    <n v="123702"/>
    <x v="45"/>
    <n v="9"/>
    <n v="958"/>
    <x v="169"/>
  </r>
  <r>
    <x v="132"/>
    <n v="22"/>
    <n v="4"/>
    <x v="2"/>
    <n v="130620"/>
    <n v="123703"/>
    <x v="45"/>
    <n v="10"/>
    <n v="1154"/>
    <x v="170"/>
  </r>
  <r>
    <x v="133"/>
    <n v="23"/>
    <n v="4"/>
    <x v="2"/>
    <n v="130620"/>
    <n v="123703"/>
    <x v="46"/>
    <n v="11"/>
    <n v="2228"/>
    <x v="9"/>
  </r>
  <r>
    <x v="134"/>
    <n v="24"/>
    <n v="4"/>
    <x v="2"/>
    <n v="130620"/>
    <n v="123703"/>
    <x v="46"/>
    <n v="12"/>
    <n v="719"/>
    <x v="171"/>
  </r>
  <r>
    <x v="135"/>
    <n v="1"/>
    <n v="5"/>
    <x v="0"/>
    <n v="130701"/>
    <n v="104847"/>
    <x v="47"/>
    <n v="1"/>
    <n v="3"/>
    <x v="2"/>
  </r>
  <r>
    <x v="136"/>
    <n v="2"/>
    <n v="5"/>
    <x v="0"/>
    <n v="130701"/>
    <n v="104847"/>
    <x v="47"/>
    <n v="2"/>
    <n v="21"/>
    <x v="172"/>
  </r>
  <r>
    <x v="137"/>
    <n v="3"/>
    <n v="5"/>
    <x v="0"/>
    <n v="130701"/>
    <n v="104847"/>
    <x v="48"/>
    <n v="3"/>
    <n v="196"/>
    <x v="119"/>
  </r>
  <r>
    <x v="138"/>
    <n v="5"/>
    <n v="5"/>
    <x v="0"/>
    <n v="130701"/>
    <n v="104847"/>
    <x v="49"/>
    <n v="4"/>
    <n v="2022"/>
    <x v="95"/>
  </r>
  <r>
    <x v="139"/>
    <n v="6"/>
    <n v="5"/>
    <x v="0"/>
    <n v="130701"/>
    <n v="104847"/>
    <x v="49"/>
    <n v="5"/>
    <n v="20"/>
    <x v="172"/>
  </r>
  <r>
    <x v="135"/>
    <n v="1"/>
    <n v="5"/>
    <x v="1"/>
    <n v="130702"/>
    <n v="95358"/>
    <x v="47"/>
    <n v="1"/>
    <n v="1"/>
    <x v="6"/>
  </r>
  <r>
    <x v="136"/>
    <n v="2"/>
    <n v="5"/>
    <x v="1"/>
    <n v="130702"/>
    <n v="95358"/>
    <x v="47"/>
    <n v="2"/>
    <n v="6"/>
    <x v="89"/>
  </r>
  <r>
    <x v="137"/>
    <n v="3"/>
    <n v="5"/>
    <x v="1"/>
    <n v="130702"/>
    <n v="95358"/>
    <x v="48"/>
    <n v="3"/>
    <n v="812"/>
    <x v="173"/>
  </r>
  <r>
    <x v="138"/>
    <n v="5"/>
    <n v="5"/>
    <x v="1"/>
    <n v="130702"/>
    <n v="95358"/>
    <x v="49"/>
    <n v="4"/>
    <n v="2174"/>
    <x v="26"/>
  </r>
  <r>
    <x v="139"/>
    <n v="6"/>
    <n v="5"/>
    <x v="1"/>
    <n v="130702"/>
    <n v="95358"/>
    <x v="49"/>
    <n v="5"/>
    <n v="28"/>
    <x v="174"/>
  </r>
  <r>
    <x v="140"/>
    <n v="7"/>
    <n v="5"/>
    <x v="0"/>
    <n v="130702"/>
    <n v="95402"/>
    <x v="50"/>
    <n v="6"/>
    <n v="1"/>
    <x v="6"/>
  </r>
  <r>
    <x v="141"/>
    <n v="8"/>
    <n v="5"/>
    <x v="0"/>
    <n v="130702"/>
    <n v="95402"/>
    <x v="50"/>
    <n v="7"/>
    <n v="1970"/>
    <x v="175"/>
  </r>
  <r>
    <x v="142"/>
    <n v="9"/>
    <n v="5"/>
    <x v="0"/>
    <n v="130702"/>
    <n v="95402"/>
    <x v="51"/>
    <n v="8"/>
    <n v="2158"/>
    <x v="9"/>
  </r>
  <r>
    <x v="143"/>
    <n v="10"/>
    <n v="5"/>
    <x v="0"/>
    <n v="130702"/>
    <n v="95403"/>
    <x v="51"/>
    <n v="9"/>
    <n v="1804"/>
    <x v="176"/>
  </r>
  <r>
    <x v="135"/>
    <n v="1"/>
    <n v="5"/>
    <x v="2"/>
    <n v="130703"/>
    <n v="121337"/>
    <x v="47"/>
    <n v="1"/>
    <n v="1"/>
    <x v="6"/>
  </r>
  <r>
    <x v="136"/>
    <n v="2"/>
    <n v="5"/>
    <x v="2"/>
    <n v="130703"/>
    <n v="121337"/>
    <x v="47"/>
    <n v="2"/>
    <n v="84"/>
    <x v="177"/>
  </r>
  <r>
    <x v="137"/>
    <n v="3"/>
    <n v="5"/>
    <x v="2"/>
    <n v="130703"/>
    <n v="121338"/>
    <x v="48"/>
    <n v="3"/>
    <n v="636"/>
    <x v="58"/>
  </r>
  <r>
    <x v="138"/>
    <n v="5"/>
    <n v="5"/>
    <x v="2"/>
    <n v="130703"/>
    <n v="121338"/>
    <x v="49"/>
    <n v="4"/>
    <n v="2413"/>
    <x v="9"/>
  </r>
  <r>
    <x v="139"/>
    <n v="6"/>
    <n v="5"/>
    <x v="2"/>
    <n v="130703"/>
    <n v="111914"/>
    <x v="49"/>
    <n v="5"/>
    <n v="231"/>
    <x v="118"/>
  </r>
  <r>
    <x v="140"/>
    <n v="7"/>
    <n v="5"/>
    <x v="1"/>
    <n v="130703"/>
    <n v="111842"/>
    <x v="50"/>
    <n v="6"/>
    <n v="2"/>
    <x v="7"/>
  </r>
  <r>
    <x v="141"/>
    <n v="8"/>
    <n v="5"/>
    <x v="1"/>
    <n v="130703"/>
    <n v="112655"/>
    <x v="50"/>
    <n v="7"/>
    <n v="2304"/>
    <x v="9"/>
  </r>
  <r>
    <x v="142"/>
    <n v="9"/>
    <n v="5"/>
    <x v="1"/>
    <n v="130703"/>
    <n v="111842"/>
    <x v="51"/>
    <n v="8"/>
    <n v="2163"/>
    <x v="9"/>
  </r>
  <r>
    <x v="143"/>
    <n v="10"/>
    <n v="5"/>
    <x v="1"/>
    <n v="130703"/>
    <n v="111842"/>
    <x v="51"/>
    <n v="9"/>
    <n v="2187"/>
    <x v="9"/>
  </r>
  <r>
    <x v="140"/>
    <n v="7"/>
    <n v="5"/>
    <x v="2"/>
    <n v="130704"/>
    <n v="103935"/>
    <x v="50"/>
    <n v="6"/>
    <n v="0"/>
    <x v="13"/>
  </r>
  <r>
    <x v="141"/>
    <n v="8"/>
    <n v="5"/>
    <x v="2"/>
    <n v="130704"/>
    <n v="103936"/>
    <x v="50"/>
    <n v="7"/>
    <n v="2309"/>
    <x v="9"/>
  </r>
  <r>
    <x v="142"/>
    <n v="9"/>
    <n v="5"/>
    <x v="2"/>
    <n v="130704"/>
    <n v="103936"/>
    <x v="51"/>
    <n v="8"/>
    <n v="2160"/>
    <x v="9"/>
  </r>
  <r>
    <x v="143"/>
    <n v="10"/>
    <n v="5"/>
    <x v="2"/>
    <n v="130704"/>
    <n v="103936"/>
    <x v="51"/>
    <n v="9"/>
    <n v="2176"/>
    <x v="9"/>
  </r>
  <r>
    <x v="144"/>
    <n v="11"/>
    <n v="5"/>
    <x v="0"/>
    <n v="130704"/>
    <n v="103349"/>
    <x v="52"/>
    <n v="1"/>
    <n v="831"/>
    <x v="178"/>
  </r>
  <r>
    <x v="145"/>
    <n v="12"/>
    <n v="5"/>
    <x v="0"/>
    <n v="130704"/>
    <n v="103349"/>
    <x v="52"/>
    <n v="2"/>
    <n v="368"/>
    <x v="179"/>
  </r>
  <r>
    <x v="146"/>
    <n v="13"/>
    <n v="5"/>
    <x v="0"/>
    <n v="130704"/>
    <n v="103349"/>
    <x v="53"/>
    <n v="3"/>
    <n v="502"/>
    <x v="180"/>
  </r>
  <r>
    <x v="147"/>
    <n v="14"/>
    <n v="5"/>
    <x v="0"/>
    <n v="130704"/>
    <n v="103350"/>
    <x v="53"/>
    <n v="4"/>
    <n v="64"/>
    <x v="181"/>
  </r>
  <r>
    <x v="144"/>
    <n v="11"/>
    <n v="5"/>
    <x v="1"/>
    <n v="130705"/>
    <n v="105907"/>
    <x v="52"/>
    <n v="1"/>
    <n v="1169"/>
    <x v="170"/>
  </r>
  <r>
    <x v="145"/>
    <n v="12"/>
    <n v="5"/>
    <x v="1"/>
    <n v="130705"/>
    <n v="105907"/>
    <x v="52"/>
    <n v="2"/>
    <n v="391"/>
    <x v="182"/>
  </r>
  <r>
    <x v="146"/>
    <n v="13"/>
    <n v="5"/>
    <x v="1"/>
    <n v="130705"/>
    <n v="105907"/>
    <x v="53"/>
    <n v="3"/>
    <n v="807"/>
    <x v="183"/>
  </r>
  <r>
    <x v="147"/>
    <n v="14"/>
    <n v="5"/>
    <x v="1"/>
    <n v="130705"/>
    <n v="105907"/>
    <x v="53"/>
    <n v="4"/>
    <n v="1243"/>
    <x v="184"/>
  </r>
  <r>
    <x v="144"/>
    <n v="11"/>
    <n v="5"/>
    <x v="2"/>
    <n v="130706"/>
    <n v="114934"/>
    <x v="52"/>
    <n v="1"/>
    <n v="1372"/>
    <x v="25"/>
  </r>
  <r>
    <x v="145"/>
    <n v="12"/>
    <n v="5"/>
    <x v="2"/>
    <n v="130706"/>
    <n v="114935"/>
    <x v="52"/>
    <n v="2"/>
    <n v="883"/>
    <x v="185"/>
  </r>
  <r>
    <x v="146"/>
    <n v="13"/>
    <n v="5"/>
    <x v="2"/>
    <n v="130706"/>
    <n v="114935"/>
    <x v="53"/>
    <n v="3"/>
    <n v="1574"/>
    <x v="186"/>
  </r>
  <r>
    <x v="147"/>
    <n v="14"/>
    <n v="5"/>
    <x v="2"/>
    <n v="130706"/>
    <n v="114935"/>
    <x v="53"/>
    <n v="4"/>
    <n v="2196"/>
    <x v="187"/>
  </r>
  <r>
    <x v="148"/>
    <n v="1"/>
    <n v="6"/>
    <x v="0"/>
    <n v="130709"/>
    <n v="93339"/>
    <x v="54"/>
    <n v="1"/>
    <n v="1084"/>
    <x v="142"/>
  </r>
  <r>
    <x v="149"/>
    <n v="2"/>
    <n v="6"/>
    <x v="0"/>
    <n v="130709"/>
    <n v="93340"/>
    <x v="54"/>
    <n v="2"/>
    <n v="965"/>
    <x v="188"/>
  </r>
  <r>
    <x v="150"/>
    <n v="3"/>
    <n v="6"/>
    <x v="0"/>
    <n v="130709"/>
    <n v="93340"/>
    <x v="55"/>
    <n v="3"/>
    <n v="21"/>
    <x v="172"/>
  </r>
  <r>
    <x v="151"/>
    <n v="4"/>
    <n v="6"/>
    <x v="0"/>
    <n v="130709"/>
    <n v="93340"/>
    <x v="55"/>
    <n v="4"/>
    <n v="303"/>
    <x v="189"/>
  </r>
  <r>
    <x v="148"/>
    <n v="1"/>
    <n v="6"/>
    <x v="1"/>
    <n v="130710"/>
    <n v="94657"/>
    <x v="54"/>
    <n v="1"/>
    <n v="1892"/>
    <x v="43"/>
  </r>
  <r>
    <x v="149"/>
    <n v="2"/>
    <n v="6"/>
    <x v="1"/>
    <n v="130710"/>
    <n v="94657"/>
    <x v="54"/>
    <n v="2"/>
    <n v="1489"/>
    <x v="190"/>
  </r>
  <r>
    <x v="150"/>
    <n v="3"/>
    <n v="6"/>
    <x v="1"/>
    <n v="130710"/>
    <n v="94658"/>
    <x v="55"/>
    <n v="3"/>
    <n v="204"/>
    <x v="191"/>
  </r>
  <r>
    <x v="151"/>
    <n v="4"/>
    <n v="6"/>
    <x v="1"/>
    <n v="130710"/>
    <n v="94658"/>
    <x v="55"/>
    <n v="4"/>
    <n v="369"/>
    <x v="75"/>
  </r>
  <r>
    <x v="148"/>
    <n v="1"/>
    <n v="6"/>
    <x v="2"/>
    <n v="130711"/>
    <n v="105433"/>
    <x v="54"/>
    <n v="1"/>
    <n v="1672"/>
    <x v="192"/>
  </r>
  <r>
    <x v="149"/>
    <n v="2"/>
    <n v="6"/>
    <x v="2"/>
    <n v="130711"/>
    <n v="105433"/>
    <x v="54"/>
    <n v="2"/>
    <n v="1671"/>
    <x v="193"/>
  </r>
  <r>
    <x v="150"/>
    <n v="3"/>
    <n v="6"/>
    <x v="2"/>
    <n v="130711"/>
    <n v="105433"/>
    <x v="55"/>
    <n v="3"/>
    <n v="272"/>
    <x v="98"/>
  </r>
  <r>
    <x v="151"/>
    <n v="4"/>
    <n v="6"/>
    <x v="2"/>
    <n v="130711"/>
    <n v="105433"/>
    <x v="55"/>
    <n v="4"/>
    <n v="275"/>
    <x v="65"/>
  </r>
  <r>
    <x v="152"/>
    <n v="5"/>
    <n v="6"/>
    <x v="0"/>
    <n v="130723"/>
    <n v="95042"/>
    <x v="56"/>
    <n v="1"/>
    <n v="1083"/>
    <x v="194"/>
  </r>
  <r>
    <x v="153"/>
    <n v="6"/>
    <n v="6"/>
    <x v="0"/>
    <n v="130723"/>
    <n v="95042"/>
    <x v="56"/>
    <n v="2"/>
    <n v="326"/>
    <x v="114"/>
  </r>
  <r>
    <x v="154"/>
    <n v="7"/>
    <n v="6"/>
    <x v="0"/>
    <n v="130723"/>
    <n v="95042"/>
    <x v="57"/>
    <n v="3"/>
    <n v="100"/>
    <x v="195"/>
  </r>
  <r>
    <x v="155"/>
    <n v="9"/>
    <n v="6"/>
    <x v="0"/>
    <n v="130723"/>
    <n v="95042"/>
    <x v="33"/>
    <n v="4"/>
    <n v="1655"/>
    <x v="196"/>
  </r>
  <r>
    <x v="156"/>
    <n v="10"/>
    <n v="6"/>
    <x v="0"/>
    <n v="130723"/>
    <n v="95042"/>
    <x v="33"/>
    <n v="5"/>
    <n v="8"/>
    <x v="3"/>
  </r>
  <r>
    <x v="157"/>
    <n v="11"/>
    <n v="6"/>
    <x v="0"/>
    <n v="130723"/>
    <n v="95042"/>
    <x v="33"/>
    <n v="6"/>
    <n v="1994"/>
    <x v="197"/>
  </r>
  <r>
    <x v="152"/>
    <n v="5"/>
    <n v="6"/>
    <x v="1"/>
    <n v="130724"/>
    <n v="92550"/>
    <x v="56"/>
    <n v="1"/>
    <n v="1030"/>
    <x v="198"/>
  </r>
  <r>
    <x v="153"/>
    <n v="6"/>
    <n v="6"/>
    <x v="1"/>
    <n v="130724"/>
    <n v="92550"/>
    <x v="56"/>
    <n v="2"/>
    <n v="403"/>
    <x v="182"/>
  </r>
  <r>
    <x v="154"/>
    <n v="7"/>
    <n v="6"/>
    <x v="1"/>
    <n v="130724"/>
    <n v="92550"/>
    <x v="57"/>
    <n v="3"/>
    <n v="8"/>
    <x v="199"/>
  </r>
  <r>
    <x v="155"/>
    <n v="9"/>
    <n v="6"/>
    <x v="1"/>
    <n v="130724"/>
    <n v="92550"/>
    <x v="33"/>
    <n v="4"/>
    <n v="1767"/>
    <x v="200"/>
  </r>
  <r>
    <x v="156"/>
    <n v="10"/>
    <n v="6"/>
    <x v="1"/>
    <n v="130724"/>
    <n v="92550"/>
    <x v="33"/>
    <n v="5"/>
    <n v="2"/>
    <x v="7"/>
  </r>
  <r>
    <x v="157"/>
    <n v="11"/>
    <n v="6"/>
    <x v="1"/>
    <n v="130724"/>
    <n v="92550"/>
    <x v="33"/>
    <n v="6"/>
    <n v="1705"/>
    <x v="136"/>
  </r>
  <r>
    <x v="152"/>
    <n v="5"/>
    <n v="6"/>
    <x v="2"/>
    <n v="130725"/>
    <n v="85611"/>
    <x v="56"/>
    <n v="1"/>
    <n v="1441"/>
    <x v="201"/>
  </r>
  <r>
    <x v="153"/>
    <n v="6"/>
    <n v="6"/>
    <x v="2"/>
    <n v="130725"/>
    <n v="85612"/>
    <x v="56"/>
    <n v="2"/>
    <n v="493"/>
    <x v="157"/>
  </r>
  <r>
    <x v="154"/>
    <n v="7"/>
    <n v="6"/>
    <x v="2"/>
    <n v="130725"/>
    <n v="85612"/>
    <x v="57"/>
    <n v="3"/>
    <n v="34"/>
    <x v="202"/>
  </r>
  <r>
    <x v="155"/>
    <n v="9"/>
    <n v="6"/>
    <x v="2"/>
    <n v="130725"/>
    <n v="85612"/>
    <x v="33"/>
    <n v="4"/>
    <n v="1887"/>
    <x v="203"/>
  </r>
  <r>
    <x v="156"/>
    <n v="10"/>
    <n v="6"/>
    <x v="2"/>
    <n v="130725"/>
    <n v="85612"/>
    <x v="33"/>
    <n v="5"/>
    <n v="180"/>
    <x v="119"/>
  </r>
  <r>
    <x v="157"/>
    <n v="11"/>
    <n v="6"/>
    <x v="2"/>
    <n v="130725"/>
    <n v="85612"/>
    <x v="33"/>
    <n v="6"/>
    <n v="1328"/>
    <x v="117"/>
  </r>
  <r>
    <x v="158"/>
    <n v="12"/>
    <n v="6"/>
    <x v="0"/>
    <n v="130730"/>
    <n v="74617"/>
    <x v="58"/>
    <n v="1"/>
    <n v="2180"/>
    <x v="9"/>
  </r>
  <r>
    <x v="159"/>
    <n v="13"/>
    <n v="6"/>
    <x v="0"/>
    <n v="130730"/>
    <n v="74617"/>
    <x v="59"/>
    <n v="2"/>
    <n v="1910"/>
    <x v="54"/>
  </r>
  <r>
    <x v="160"/>
    <n v="14"/>
    <n v="6"/>
    <x v="0"/>
    <n v="130730"/>
    <n v="74618"/>
    <x v="59"/>
    <n v="3"/>
    <n v="1586"/>
    <x v="146"/>
  </r>
  <r>
    <x v="158"/>
    <n v="12"/>
    <n v="6"/>
    <x v="1"/>
    <n v="130731"/>
    <n v="75330"/>
    <x v="58"/>
    <n v="1"/>
    <n v="2164"/>
    <x v="9"/>
  </r>
  <r>
    <x v="159"/>
    <n v="13"/>
    <n v="6"/>
    <x v="1"/>
    <n v="130731"/>
    <n v="75330"/>
    <x v="59"/>
    <n v="2"/>
    <n v="2208"/>
    <x v="9"/>
  </r>
  <r>
    <x v="160"/>
    <n v="14"/>
    <n v="6"/>
    <x v="1"/>
    <n v="130731"/>
    <n v="75330"/>
    <x v="59"/>
    <n v="3"/>
    <n v="1179"/>
    <x v="11"/>
  </r>
  <r>
    <x v="158"/>
    <n v="12"/>
    <n v="6"/>
    <x v="2"/>
    <n v="130801"/>
    <n v="75558"/>
    <x v="58"/>
    <n v="1"/>
    <n v="2164"/>
    <x v="9"/>
  </r>
  <r>
    <x v="159"/>
    <n v="13"/>
    <n v="6"/>
    <x v="2"/>
    <n v="130801"/>
    <n v="75558"/>
    <x v="59"/>
    <n v="2"/>
    <n v="1425"/>
    <x v="204"/>
  </r>
  <r>
    <x v="160"/>
    <n v="14"/>
    <n v="6"/>
    <x v="2"/>
    <n v="130801"/>
    <n v="75559"/>
    <x v="59"/>
    <n v="3"/>
    <n v="723"/>
    <x v="171"/>
  </r>
  <r>
    <x v="161"/>
    <n v="1"/>
    <n v="7"/>
    <x v="0"/>
    <n v="130903"/>
    <n v="100910"/>
    <x v="50"/>
    <n v="1"/>
    <n v="2181"/>
    <x v="9"/>
  </r>
  <r>
    <x v="162"/>
    <n v="2"/>
    <n v="7"/>
    <x v="0"/>
    <n v="130903"/>
    <n v="100910"/>
    <x v="8"/>
    <n v="2"/>
    <n v="2448"/>
    <x v="9"/>
  </r>
  <r>
    <x v="163"/>
    <n v="3"/>
    <n v="7"/>
    <x v="0"/>
    <n v="130903"/>
    <n v="100910"/>
    <x v="8"/>
    <n v="3"/>
    <n v="11"/>
    <x v="37"/>
  </r>
  <r>
    <x v="164"/>
    <n v="4"/>
    <n v="7"/>
    <x v="0"/>
    <n v="130903"/>
    <n v="100910"/>
    <x v="7"/>
    <n v="4"/>
    <n v="823"/>
    <x v="97"/>
  </r>
  <r>
    <x v="165"/>
    <n v="5"/>
    <n v="7"/>
    <x v="0"/>
    <n v="130903"/>
    <n v="100910"/>
    <x v="7"/>
    <n v="5"/>
    <n v="2165"/>
    <x v="9"/>
  </r>
  <r>
    <x v="166"/>
    <n v="6"/>
    <n v="7"/>
    <x v="0"/>
    <n v="130903"/>
    <n v="100911"/>
    <x v="5"/>
    <n v="7"/>
    <n v="4"/>
    <x v="20"/>
  </r>
  <r>
    <x v="167"/>
    <n v="7"/>
    <n v="7"/>
    <x v="0"/>
    <n v="130903"/>
    <n v="100911"/>
    <x v="5"/>
    <n v="8"/>
    <n v="24"/>
    <x v="205"/>
  </r>
  <r>
    <x v="161"/>
    <n v="1"/>
    <n v="7"/>
    <x v="1"/>
    <n v="130904"/>
    <n v="94402"/>
    <x v="50"/>
    <n v="1"/>
    <n v="2231"/>
    <x v="9"/>
  </r>
  <r>
    <x v="162"/>
    <n v="2"/>
    <n v="7"/>
    <x v="1"/>
    <n v="130904"/>
    <n v="94402"/>
    <x v="8"/>
    <n v="2"/>
    <n v="2472"/>
    <x v="9"/>
  </r>
  <r>
    <x v="163"/>
    <n v="3"/>
    <n v="7"/>
    <x v="1"/>
    <n v="130904"/>
    <n v="94402"/>
    <x v="8"/>
    <n v="3"/>
    <n v="1"/>
    <x v="6"/>
  </r>
  <r>
    <x v="164"/>
    <n v="4"/>
    <n v="7"/>
    <x v="1"/>
    <n v="130904"/>
    <n v="94403"/>
    <x v="7"/>
    <n v="4"/>
    <n v="2183"/>
    <x v="9"/>
  </r>
  <r>
    <x v="165"/>
    <n v="5"/>
    <n v="7"/>
    <x v="1"/>
    <n v="130904"/>
    <n v="94403"/>
    <x v="7"/>
    <n v="5"/>
    <n v="2162"/>
    <x v="9"/>
  </r>
  <r>
    <x v="166"/>
    <n v="6"/>
    <n v="7"/>
    <x v="1"/>
    <n v="130904"/>
    <n v="94403"/>
    <x v="5"/>
    <n v="7"/>
    <n v="7"/>
    <x v="199"/>
  </r>
  <r>
    <x v="167"/>
    <n v="7"/>
    <n v="7"/>
    <x v="1"/>
    <n v="130904"/>
    <n v="94403"/>
    <x v="5"/>
    <n v="8"/>
    <n v="1756"/>
    <x v="206"/>
  </r>
  <r>
    <x v="161"/>
    <n v="1"/>
    <n v="7"/>
    <x v="2"/>
    <n v="130905"/>
    <n v="94500"/>
    <x v="50"/>
    <n v="1"/>
    <n v="2282"/>
    <x v="9"/>
  </r>
  <r>
    <x v="162"/>
    <n v="2"/>
    <n v="7"/>
    <x v="2"/>
    <n v="130905"/>
    <n v="94501"/>
    <x v="8"/>
    <n v="2"/>
    <n v="2624"/>
    <x v="9"/>
  </r>
  <r>
    <x v="163"/>
    <n v="3"/>
    <n v="7"/>
    <x v="2"/>
    <n v="130905"/>
    <n v="94501"/>
    <x v="8"/>
    <n v="3"/>
    <n v="4"/>
    <x v="20"/>
  </r>
  <r>
    <x v="164"/>
    <n v="4"/>
    <n v="7"/>
    <x v="2"/>
    <n v="130905"/>
    <n v="94501"/>
    <x v="7"/>
    <n v="4"/>
    <n v="2177"/>
    <x v="9"/>
  </r>
  <r>
    <x v="165"/>
    <n v="5"/>
    <n v="7"/>
    <x v="2"/>
    <n v="130905"/>
    <n v="94501"/>
    <x v="7"/>
    <n v="5"/>
    <n v="2159"/>
    <x v="9"/>
  </r>
  <r>
    <x v="166"/>
    <n v="6"/>
    <n v="7"/>
    <x v="2"/>
    <n v="130905"/>
    <n v="94501"/>
    <x v="5"/>
    <n v="7"/>
    <n v="1224"/>
    <x v="10"/>
  </r>
  <r>
    <x v="167"/>
    <n v="7"/>
    <n v="7"/>
    <x v="2"/>
    <n v="130905"/>
    <n v="94501"/>
    <x v="5"/>
    <n v="8"/>
    <n v="2184"/>
    <x v="9"/>
  </r>
  <r>
    <x v="168"/>
    <n v="8"/>
    <n v="7"/>
    <x v="0"/>
    <n v="130910"/>
    <n v="101043"/>
    <x v="60"/>
    <n v="1"/>
    <n v="1875"/>
    <x v="207"/>
  </r>
  <r>
    <x v="169"/>
    <n v="9"/>
    <n v="7"/>
    <x v="0"/>
    <n v="130910"/>
    <n v="101044"/>
    <x v="60"/>
    <n v="2"/>
    <n v="2214"/>
    <x v="9"/>
  </r>
  <r>
    <x v="170"/>
    <n v="10"/>
    <n v="7"/>
    <x v="0"/>
    <n v="130910"/>
    <n v="101044"/>
    <x v="10"/>
    <n v="3"/>
    <n v="11"/>
    <x v="208"/>
  </r>
  <r>
    <x v="171"/>
    <n v="11"/>
    <n v="7"/>
    <x v="0"/>
    <n v="130910"/>
    <n v="101044"/>
    <x v="45"/>
    <n v="4"/>
    <n v="138"/>
    <x v="209"/>
  </r>
  <r>
    <x v="172"/>
    <n v="12"/>
    <n v="7"/>
    <x v="0"/>
    <n v="130910"/>
    <n v="101044"/>
    <x v="44"/>
    <n v="5"/>
    <n v="712"/>
    <x v="210"/>
  </r>
  <r>
    <x v="173"/>
    <n v="13"/>
    <n v="7"/>
    <x v="0"/>
    <n v="130910"/>
    <n v="101045"/>
    <x v="41"/>
    <n v="7"/>
    <n v="843"/>
    <x v="211"/>
  </r>
  <r>
    <x v="168"/>
    <n v="8"/>
    <n v="7"/>
    <x v="1"/>
    <n v="130911"/>
    <n v="92048"/>
    <x v="60"/>
    <n v="1"/>
    <n v="2077"/>
    <x v="212"/>
  </r>
  <r>
    <x v="169"/>
    <n v="9"/>
    <n v="7"/>
    <x v="1"/>
    <n v="130911"/>
    <n v="92049"/>
    <x v="60"/>
    <n v="2"/>
    <n v="1985"/>
    <x v="213"/>
  </r>
  <r>
    <x v="170"/>
    <n v="10"/>
    <n v="7"/>
    <x v="1"/>
    <n v="130911"/>
    <n v="92049"/>
    <x v="10"/>
    <n v="3"/>
    <n v="1"/>
    <x v="6"/>
  </r>
  <r>
    <x v="171"/>
    <n v="11"/>
    <n v="7"/>
    <x v="1"/>
    <n v="130911"/>
    <n v="92049"/>
    <x v="45"/>
    <n v="4"/>
    <n v="412"/>
    <x v="214"/>
  </r>
  <r>
    <x v="172"/>
    <n v="12"/>
    <n v="7"/>
    <x v="1"/>
    <n v="130911"/>
    <n v="92049"/>
    <x v="41"/>
    <n v="5"/>
    <n v="883"/>
    <x v="215"/>
  </r>
  <r>
    <x v="173"/>
    <n v="13"/>
    <n v="7"/>
    <x v="1"/>
    <n v="130911"/>
    <n v="93151"/>
    <x v="44"/>
    <n v="7"/>
    <n v="951"/>
    <x v="188"/>
  </r>
  <r>
    <x v="168"/>
    <n v="8"/>
    <n v="7"/>
    <x v="2"/>
    <n v="130912"/>
    <n v="94649"/>
    <x v="60"/>
    <n v="1"/>
    <n v="2173"/>
    <x v="9"/>
  </r>
  <r>
    <x v="169"/>
    <n v="9"/>
    <n v="7"/>
    <x v="2"/>
    <n v="130912"/>
    <n v="94650"/>
    <x v="60"/>
    <n v="2"/>
    <n v="2226"/>
    <x v="76"/>
  </r>
  <r>
    <x v="170"/>
    <n v="10"/>
    <n v="7"/>
    <x v="2"/>
    <n v="130912"/>
    <n v="94650"/>
    <x v="10"/>
    <n v="3"/>
    <n v="1"/>
    <x v="6"/>
  </r>
  <r>
    <x v="171"/>
    <n v="11"/>
    <n v="7"/>
    <x v="2"/>
    <n v="130912"/>
    <n v="94650"/>
    <x v="45"/>
    <n v="4"/>
    <n v="500"/>
    <x v="131"/>
  </r>
  <r>
    <x v="172"/>
    <n v="12"/>
    <n v="7"/>
    <x v="2"/>
    <n v="130912"/>
    <n v="94650"/>
    <x v="44"/>
    <n v="5"/>
    <n v="656"/>
    <x v="216"/>
  </r>
  <r>
    <x v="173"/>
    <n v="13"/>
    <n v="7"/>
    <x v="2"/>
    <n v="130912"/>
    <n v="94650"/>
    <x v="41"/>
    <n v="7"/>
    <n v="1588"/>
    <x v="217"/>
  </r>
  <r>
    <x v="174"/>
    <n v="1"/>
    <n v="8"/>
    <x v="0"/>
    <n v="131216"/>
    <n v="105011"/>
    <x v="61"/>
    <n v="1"/>
    <n v="142"/>
    <x v="209"/>
  </r>
  <r>
    <x v="175"/>
    <n v="2"/>
    <n v="8"/>
    <x v="0"/>
    <n v="131216"/>
    <n v="105012"/>
    <x v="61"/>
    <n v="2"/>
    <n v="6"/>
    <x v="89"/>
  </r>
  <r>
    <x v="176"/>
    <n v="3"/>
    <n v="8"/>
    <x v="0"/>
    <n v="131216"/>
    <n v="105012"/>
    <x v="61"/>
    <n v="3"/>
    <n v="7"/>
    <x v="199"/>
  </r>
  <r>
    <x v="177"/>
    <n v="4"/>
    <n v="8"/>
    <x v="0"/>
    <n v="131216"/>
    <n v="105012"/>
    <x v="61"/>
    <n v="4"/>
    <n v="1068"/>
    <x v="56"/>
  </r>
  <r>
    <x v="178"/>
    <n v="5"/>
    <n v="8"/>
    <x v="0"/>
    <n v="131216"/>
    <n v="105012"/>
    <x v="52"/>
    <n v="5"/>
    <n v="454"/>
    <x v="218"/>
  </r>
  <r>
    <x v="179"/>
    <n v="6"/>
    <n v="8"/>
    <x v="0"/>
    <n v="131216"/>
    <n v="105012"/>
    <x v="52"/>
    <n v="6"/>
    <n v="139"/>
    <x v="67"/>
  </r>
  <r>
    <x v="180"/>
    <n v="7"/>
    <n v="8"/>
    <x v="0"/>
    <n v="131216"/>
    <n v="105012"/>
    <x v="52"/>
    <n v="7"/>
    <n v="246"/>
    <x v="42"/>
  </r>
  <r>
    <x v="181"/>
    <n v="8"/>
    <n v="8"/>
    <x v="0"/>
    <n v="131216"/>
    <n v="105012"/>
    <x v="52"/>
    <n v="8"/>
    <n v="5"/>
    <x v="8"/>
  </r>
  <r>
    <x v="174"/>
    <n v="1"/>
    <n v="8"/>
    <x v="1"/>
    <n v="131217"/>
    <n v="91003"/>
    <x v="61"/>
    <n v="1"/>
    <n v="3"/>
    <x v="2"/>
  </r>
  <r>
    <x v="175"/>
    <n v="2"/>
    <n v="8"/>
    <x v="1"/>
    <n v="131217"/>
    <n v="91003"/>
    <x v="61"/>
    <n v="2"/>
    <n v="0"/>
    <x v="13"/>
  </r>
  <r>
    <x v="176"/>
    <n v="3"/>
    <n v="8"/>
    <x v="1"/>
    <n v="131217"/>
    <n v="91004"/>
    <x v="61"/>
    <n v="3"/>
    <n v="3"/>
    <x v="2"/>
  </r>
  <r>
    <x v="177"/>
    <n v="4"/>
    <n v="8"/>
    <x v="1"/>
    <n v="131217"/>
    <n v="91004"/>
    <x v="61"/>
    <n v="4"/>
    <n v="1676"/>
    <x v="77"/>
  </r>
  <r>
    <x v="178"/>
    <n v="5"/>
    <n v="8"/>
    <x v="1"/>
    <n v="131217"/>
    <n v="91004"/>
    <x v="52"/>
    <n v="5"/>
    <n v="363"/>
    <x v="75"/>
  </r>
  <r>
    <x v="179"/>
    <n v="6"/>
    <n v="8"/>
    <x v="1"/>
    <n v="131217"/>
    <n v="91004"/>
    <x v="52"/>
    <n v="6"/>
    <n v="534"/>
    <x v="219"/>
  </r>
  <r>
    <x v="180"/>
    <n v="7"/>
    <n v="8"/>
    <x v="1"/>
    <n v="131217"/>
    <n v="91004"/>
    <x v="52"/>
    <n v="7"/>
    <n v="413"/>
    <x v="165"/>
  </r>
  <r>
    <x v="181"/>
    <n v="8"/>
    <n v="8"/>
    <x v="1"/>
    <n v="131217"/>
    <n v="91004"/>
    <x v="52"/>
    <n v="8"/>
    <n v="0"/>
    <x v="13"/>
  </r>
  <r>
    <x v="174"/>
    <n v="1"/>
    <n v="8"/>
    <x v="2"/>
    <n v="131218"/>
    <n v="105749"/>
    <x v="61"/>
    <n v="1"/>
    <n v="306"/>
    <x v="189"/>
  </r>
  <r>
    <x v="175"/>
    <n v="2"/>
    <n v="8"/>
    <x v="2"/>
    <n v="131218"/>
    <n v="105749"/>
    <x v="61"/>
    <n v="2"/>
    <n v="0"/>
    <x v="13"/>
  </r>
  <r>
    <x v="176"/>
    <n v="3"/>
    <n v="8"/>
    <x v="2"/>
    <n v="131218"/>
    <n v="105749"/>
    <x v="61"/>
    <n v="3"/>
    <n v="3"/>
    <x v="2"/>
  </r>
  <r>
    <x v="177"/>
    <n v="4"/>
    <n v="8"/>
    <x v="2"/>
    <n v="131218"/>
    <n v="105749"/>
    <x v="61"/>
    <n v="4"/>
    <n v="2148"/>
    <x v="9"/>
  </r>
  <r>
    <x v="178"/>
    <n v="5"/>
    <n v="8"/>
    <x v="2"/>
    <n v="131218"/>
    <n v="110203"/>
    <x v="52"/>
    <n v="5"/>
    <n v="327"/>
    <x v="124"/>
  </r>
  <r>
    <x v="179"/>
    <n v="6"/>
    <n v="8"/>
    <x v="2"/>
    <n v="131218"/>
    <n v="110203"/>
    <x v="52"/>
    <n v="6"/>
    <n v="527"/>
    <x v="220"/>
  </r>
  <r>
    <x v="180"/>
    <n v="7"/>
    <n v="8"/>
    <x v="2"/>
    <n v="131218"/>
    <n v="110203"/>
    <x v="52"/>
    <n v="7"/>
    <n v="264"/>
    <x v="98"/>
  </r>
  <r>
    <x v="181"/>
    <n v="8"/>
    <n v="8"/>
    <x v="2"/>
    <n v="131218"/>
    <n v="110722"/>
    <x v="52"/>
    <n v="8"/>
    <n v="2"/>
    <x v="7"/>
  </r>
  <r>
    <x v="182"/>
    <n v="1"/>
    <n v="9"/>
    <x v="0"/>
    <n v="140106"/>
    <n v="102544"/>
    <x v="4"/>
    <n v="1"/>
    <n v="447"/>
    <x v="221"/>
  </r>
  <r>
    <x v="183"/>
    <n v="2"/>
    <n v="9"/>
    <x v="0"/>
    <n v="140106"/>
    <n v="102544"/>
    <x v="4"/>
    <n v="2"/>
    <n v="5"/>
    <x v="8"/>
  </r>
  <r>
    <x v="184"/>
    <n v="3"/>
    <n v="9"/>
    <x v="0"/>
    <n v="140106"/>
    <n v="102544"/>
    <x v="4"/>
    <n v="3"/>
    <n v="4"/>
    <x v="2"/>
  </r>
  <r>
    <x v="185"/>
    <n v="4"/>
    <n v="9"/>
    <x v="0"/>
    <n v="140106"/>
    <n v="102544"/>
    <x v="12"/>
    <n v="4"/>
    <n v="11"/>
    <x v="88"/>
  </r>
  <r>
    <x v="186"/>
    <n v="5"/>
    <n v="9"/>
    <x v="0"/>
    <n v="140106"/>
    <n v="102742"/>
    <x v="12"/>
    <n v="5"/>
    <n v="3"/>
    <x v="2"/>
  </r>
  <r>
    <x v="187"/>
    <n v="6"/>
    <n v="9"/>
    <x v="0"/>
    <n v="140106"/>
    <n v="102742"/>
    <x v="12"/>
    <n v="6"/>
    <n v="2"/>
    <x v="7"/>
  </r>
  <r>
    <x v="188"/>
    <n v="7"/>
    <n v="9"/>
    <x v="0"/>
    <n v="140106"/>
    <n v="104002"/>
    <x v="15"/>
    <n v="7"/>
    <n v="13"/>
    <x v="208"/>
  </r>
  <r>
    <x v="189"/>
    <n v="8"/>
    <n v="9"/>
    <x v="0"/>
    <n v="140106"/>
    <n v="104002"/>
    <x v="15"/>
    <n v="8"/>
    <n v="13"/>
    <x v="88"/>
  </r>
  <r>
    <x v="190"/>
    <n v="9"/>
    <n v="9"/>
    <x v="0"/>
    <n v="140106"/>
    <n v="104139"/>
    <x v="15"/>
    <n v="9"/>
    <n v="1600"/>
    <x v="186"/>
  </r>
  <r>
    <x v="191"/>
    <n v="10"/>
    <n v="9"/>
    <x v="0"/>
    <n v="140106"/>
    <n v="104125"/>
    <x v="50"/>
    <n v="10"/>
    <n v="2"/>
    <x v="7"/>
  </r>
  <r>
    <x v="192"/>
    <n v="11"/>
    <n v="9"/>
    <x v="0"/>
    <n v="140106"/>
    <n v="104126"/>
    <x v="50"/>
    <n v="11"/>
    <n v="0"/>
    <x v="13"/>
  </r>
  <r>
    <x v="193"/>
    <n v="12"/>
    <n v="9"/>
    <x v="0"/>
    <n v="140106"/>
    <n v="104126"/>
    <x v="50"/>
    <n v="12"/>
    <n v="7"/>
    <x v="199"/>
  </r>
  <r>
    <x v="194"/>
    <n v="13"/>
    <n v="9"/>
    <x v="0"/>
    <n v="140106"/>
    <n v="4118"/>
    <x v="5"/>
    <n v="13"/>
    <n v="2252"/>
    <x v="9"/>
  </r>
  <r>
    <x v="195"/>
    <n v="14"/>
    <n v="9"/>
    <x v="0"/>
    <n v="140106"/>
    <n v="2606"/>
    <x v="5"/>
    <n v="14"/>
    <n v="2172"/>
    <x v="9"/>
  </r>
  <r>
    <x v="182"/>
    <n v="1"/>
    <n v="9"/>
    <x v="1"/>
    <n v="140107"/>
    <n v="91329"/>
    <x v="4"/>
    <n v="1"/>
    <n v="794"/>
    <x v="125"/>
  </r>
  <r>
    <x v="183"/>
    <n v="2"/>
    <n v="9"/>
    <x v="1"/>
    <n v="140107"/>
    <n v="91329"/>
    <x v="4"/>
    <n v="2"/>
    <n v="4"/>
    <x v="20"/>
  </r>
  <r>
    <x v="184"/>
    <n v="3"/>
    <n v="9"/>
    <x v="1"/>
    <n v="140107"/>
    <n v="91330"/>
    <x v="4"/>
    <n v="3"/>
    <n v="0"/>
    <x v="13"/>
  </r>
  <r>
    <x v="185"/>
    <n v="4"/>
    <n v="9"/>
    <x v="1"/>
    <n v="140107"/>
    <n v="91330"/>
    <x v="12"/>
    <n v="4"/>
    <n v="0"/>
    <x v="13"/>
  </r>
  <r>
    <x v="186"/>
    <n v="5"/>
    <n v="9"/>
    <x v="1"/>
    <n v="140107"/>
    <n v="91330"/>
    <x v="12"/>
    <n v="5"/>
    <n v="0"/>
    <x v="13"/>
  </r>
  <r>
    <x v="187"/>
    <n v="6"/>
    <n v="9"/>
    <x v="1"/>
    <n v="140107"/>
    <n v="91330"/>
    <x v="12"/>
    <n v="6"/>
    <n v="17"/>
    <x v="64"/>
  </r>
  <r>
    <x v="188"/>
    <n v="7"/>
    <n v="9"/>
    <x v="1"/>
    <n v="140107"/>
    <n v="92015"/>
    <x v="15"/>
    <n v="7"/>
    <n v="463"/>
    <x v="221"/>
  </r>
  <r>
    <x v="189"/>
    <n v="8"/>
    <n v="9"/>
    <x v="1"/>
    <n v="140107"/>
    <n v="92015"/>
    <x v="15"/>
    <n v="8"/>
    <n v="8"/>
    <x v="3"/>
  </r>
  <r>
    <x v="190"/>
    <n v="9"/>
    <n v="9"/>
    <x v="1"/>
    <n v="140107"/>
    <n v="92016"/>
    <x v="15"/>
    <n v="9"/>
    <n v="1617"/>
    <x v="193"/>
  </r>
  <r>
    <x v="191"/>
    <n v="10"/>
    <n v="9"/>
    <x v="1"/>
    <n v="140107"/>
    <n v="92016"/>
    <x v="50"/>
    <n v="10"/>
    <n v="0"/>
    <x v="13"/>
  </r>
  <r>
    <x v="192"/>
    <n v="11"/>
    <n v="9"/>
    <x v="1"/>
    <n v="140107"/>
    <n v="92016"/>
    <x v="50"/>
    <n v="11"/>
    <n v="5"/>
    <x v="2"/>
  </r>
  <r>
    <x v="193"/>
    <n v="12"/>
    <n v="9"/>
    <x v="1"/>
    <n v="140107"/>
    <n v="92016"/>
    <x v="50"/>
    <n v="12"/>
    <n v="1"/>
    <x v="6"/>
  </r>
  <r>
    <x v="194"/>
    <n v="13"/>
    <n v="9"/>
    <x v="1"/>
    <n v="140107"/>
    <n v="3558"/>
    <x v="5"/>
    <n v="13"/>
    <n v="2290"/>
    <x v="9"/>
  </r>
  <r>
    <x v="195"/>
    <n v="14"/>
    <n v="9"/>
    <x v="1"/>
    <n v="140107"/>
    <n v="3239"/>
    <x v="5"/>
    <n v="14"/>
    <n v="2170"/>
    <x v="9"/>
  </r>
  <r>
    <x v="182"/>
    <n v="1"/>
    <n v="9"/>
    <x v="2"/>
    <n v="140108"/>
    <n v="134713"/>
    <x v="4"/>
    <n v="1"/>
    <n v="2218"/>
    <x v="9"/>
  </r>
  <r>
    <x v="183"/>
    <n v="2"/>
    <n v="9"/>
    <x v="2"/>
    <n v="140108"/>
    <n v="134713"/>
    <x v="4"/>
    <n v="2"/>
    <n v="296"/>
    <x v="12"/>
  </r>
  <r>
    <x v="184"/>
    <n v="3"/>
    <n v="9"/>
    <x v="2"/>
    <n v="140108"/>
    <n v="134713"/>
    <x v="4"/>
    <n v="3"/>
    <n v="6"/>
    <x v="89"/>
  </r>
  <r>
    <x v="185"/>
    <n v="4"/>
    <n v="9"/>
    <x v="2"/>
    <n v="140108"/>
    <n v="134713"/>
    <x v="12"/>
    <n v="4"/>
    <n v="382"/>
    <x v="222"/>
  </r>
  <r>
    <x v="186"/>
    <n v="5"/>
    <n v="9"/>
    <x v="2"/>
    <n v="140108"/>
    <n v="134713"/>
    <x v="12"/>
    <n v="5"/>
    <n v="4"/>
    <x v="20"/>
  </r>
  <r>
    <x v="187"/>
    <n v="6"/>
    <n v="9"/>
    <x v="2"/>
    <n v="140108"/>
    <n v="134713"/>
    <x v="12"/>
    <n v="6"/>
    <n v="1851"/>
    <x v="223"/>
  </r>
  <r>
    <x v="188"/>
    <n v="7"/>
    <n v="9"/>
    <x v="2"/>
    <n v="140108"/>
    <n v="135647"/>
    <x v="15"/>
    <n v="7"/>
    <n v="2050"/>
    <x v="224"/>
  </r>
  <r>
    <x v="189"/>
    <n v="8"/>
    <n v="9"/>
    <x v="2"/>
    <n v="140108"/>
    <n v="135648"/>
    <x v="15"/>
    <n v="8"/>
    <n v="1215"/>
    <x v="135"/>
  </r>
  <r>
    <x v="190"/>
    <n v="9"/>
    <n v="9"/>
    <x v="2"/>
    <n v="140108"/>
    <n v="135648"/>
    <x v="15"/>
    <n v="9"/>
    <n v="2234"/>
    <x v="9"/>
  </r>
  <r>
    <x v="191"/>
    <n v="10"/>
    <n v="9"/>
    <x v="2"/>
    <n v="140108"/>
    <n v="135648"/>
    <x v="50"/>
    <n v="10"/>
    <n v="0"/>
    <x v="13"/>
  </r>
  <r>
    <x v="192"/>
    <n v="11"/>
    <n v="9"/>
    <x v="2"/>
    <n v="140108"/>
    <n v="135648"/>
    <x v="50"/>
    <n v="11"/>
    <n v="2"/>
    <x v="7"/>
  </r>
  <r>
    <x v="193"/>
    <n v="12"/>
    <n v="9"/>
    <x v="2"/>
    <n v="140108"/>
    <n v="135648"/>
    <x v="50"/>
    <n v="12"/>
    <n v="163"/>
    <x v="39"/>
  </r>
  <r>
    <x v="194"/>
    <n v="13"/>
    <n v="9"/>
    <x v="2"/>
    <n v="140108"/>
    <n v="3809"/>
    <x v="5"/>
    <n v="13"/>
    <n v="2262"/>
    <x v="9"/>
  </r>
  <r>
    <x v="195"/>
    <n v="14"/>
    <n v="9"/>
    <x v="2"/>
    <n v="140108"/>
    <n v="3809"/>
    <x v="5"/>
    <n v="14"/>
    <n v="2184"/>
    <x v="9"/>
  </r>
  <r>
    <x v="196"/>
    <n v="15"/>
    <n v="9"/>
    <x v="0"/>
    <n v="140110"/>
    <n v="93552"/>
    <x v="3"/>
    <n v="1"/>
    <n v="1"/>
    <x v="6"/>
  </r>
  <r>
    <x v="197"/>
    <n v="16"/>
    <n v="9"/>
    <x v="0"/>
    <n v="140110"/>
    <n v="93552"/>
    <x v="3"/>
    <n v="2"/>
    <n v="0"/>
    <x v="13"/>
  </r>
  <r>
    <x v="198"/>
    <n v="17"/>
    <n v="9"/>
    <x v="0"/>
    <n v="140110"/>
    <n v="93553"/>
    <x v="3"/>
    <n v="3"/>
    <n v="0"/>
    <x v="13"/>
  </r>
  <r>
    <x v="199"/>
    <n v="18"/>
    <n v="9"/>
    <x v="0"/>
    <n v="140110"/>
    <n v="93553"/>
    <x v="2"/>
    <n v="4"/>
    <n v="674"/>
    <x v="225"/>
  </r>
  <r>
    <x v="200"/>
    <n v="19"/>
    <n v="9"/>
    <x v="0"/>
    <n v="140110"/>
    <n v="93553"/>
    <x v="2"/>
    <n v="5"/>
    <n v="351"/>
    <x v="226"/>
  </r>
  <r>
    <x v="201"/>
    <n v="20"/>
    <n v="9"/>
    <x v="0"/>
    <n v="140110"/>
    <n v="93553"/>
    <x v="2"/>
    <n v="6"/>
    <n v="1186"/>
    <x v="69"/>
  </r>
  <r>
    <x v="202"/>
    <n v="21"/>
    <n v="9"/>
    <x v="0"/>
    <n v="140110"/>
    <n v="94344"/>
    <x v="5"/>
    <n v="7"/>
    <n v="2186"/>
    <x v="9"/>
  </r>
  <r>
    <x v="203"/>
    <n v="22"/>
    <n v="9"/>
    <x v="0"/>
    <n v="140110"/>
    <n v="94344"/>
    <x v="7"/>
    <n v="8"/>
    <n v="7"/>
    <x v="199"/>
  </r>
  <r>
    <x v="204"/>
    <n v="23"/>
    <n v="9"/>
    <x v="0"/>
    <n v="140110"/>
    <n v="94344"/>
    <x v="7"/>
    <n v="9"/>
    <n v="1770"/>
    <x v="227"/>
  </r>
  <r>
    <x v="205"/>
    <n v="24"/>
    <n v="9"/>
    <x v="0"/>
    <n v="140110"/>
    <n v="94345"/>
    <x v="38"/>
    <n v="10"/>
    <n v="8"/>
    <x v="3"/>
  </r>
  <r>
    <x v="206"/>
    <n v="25"/>
    <n v="9"/>
    <x v="0"/>
    <n v="140110"/>
    <n v="94345"/>
    <x v="38"/>
    <n v="11"/>
    <n v="13"/>
    <x v="228"/>
  </r>
  <r>
    <x v="207"/>
    <n v="26"/>
    <n v="9"/>
    <x v="0"/>
    <n v="140110"/>
    <n v="94345"/>
    <x v="38"/>
    <n v="12"/>
    <n v="4"/>
    <x v="20"/>
  </r>
  <r>
    <x v="196"/>
    <n v="15"/>
    <n v="9"/>
    <x v="1"/>
    <n v="140111"/>
    <n v="93429"/>
    <x v="3"/>
    <n v="1"/>
    <n v="0"/>
    <x v="13"/>
  </r>
  <r>
    <x v="197"/>
    <n v="16"/>
    <n v="9"/>
    <x v="1"/>
    <n v="140111"/>
    <n v="93429"/>
    <x v="3"/>
    <n v="2"/>
    <n v="0"/>
    <x v="13"/>
  </r>
  <r>
    <x v="198"/>
    <n v="17"/>
    <n v="9"/>
    <x v="1"/>
    <n v="140111"/>
    <n v="93430"/>
    <x v="3"/>
    <n v="3"/>
    <n v="0"/>
    <x v="13"/>
  </r>
  <r>
    <x v="199"/>
    <n v="18"/>
    <n v="9"/>
    <x v="1"/>
    <n v="140111"/>
    <n v="93430"/>
    <x v="2"/>
    <n v="4"/>
    <n v="181"/>
    <x v="229"/>
  </r>
  <r>
    <x v="200"/>
    <n v="19"/>
    <n v="9"/>
    <x v="1"/>
    <n v="140111"/>
    <n v="93430"/>
    <x v="2"/>
    <n v="5"/>
    <n v="839"/>
    <x v="230"/>
  </r>
  <r>
    <x v="201"/>
    <n v="20"/>
    <n v="9"/>
    <x v="1"/>
    <n v="140111"/>
    <n v="93430"/>
    <x v="2"/>
    <n v="6"/>
    <n v="1422"/>
    <x v="231"/>
  </r>
  <r>
    <x v="202"/>
    <n v="21"/>
    <n v="9"/>
    <x v="1"/>
    <n v="140111"/>
    <n v="93430"/>
    <x v="5"/>
    <n v="7"/>
    <n v="2174"/>
    <x v="9"/>
  </r>
  <r>
    <x v="203"/>
    <n v="22"/>
    <n v="9"/>
    <x v="1"/>
    <n v="140111"/>
    <n v="93430"/>
    <x v="7"/>
    <n v="8"/>
    <n v="247"/>
    <x v="232"/>
  </r>
  <r>
    <x v="204"/>
    <n v="23"/>
    <n v="9"/>
    <x v="1"/>
    <n v="140111"/>
    <n v="93430"/>
    <x v="7"/>
    <n v="9"/>
    <n v="2165"/>
    <x v="9"/>
  </r>
  <r>
    <x v="205"/>
    <n v="24"/>
    <n v="9"/>
    <x v="1"/>
    <n v="140111"/>
    <n v="93430"/>
    <x v="38"/>
    <n v="10"/>
    <n v="3"/>
    <x v="2"/>
  </r>
  <r>
    <x v="206"/>
    <n v="25"/>
    <n v="9"/>
    <x v="1"/>
    <n v="140111"/>
    <n v="93430"/>
    <x v="38"/>
    <n v="11"/>
    <n v="4"/>
    <x v="20"/>
  </r>
  <r>
    <x v="207"/>
    <n v="26"/>
    <n v="9"/>
    <x v="1"/>
    <n v="140111"/>
    <n v="93430"/>
    <x v="38"/>
    <n v="12"/>
    <n v="2"/>
    <x v="7"/>
  </r>
  <r>
    <x v="196"/>
    <n v="15"/>
    <n v="9"/>
    <x v="2"/>
    <n v="140112"/>
    <n v="94811"/>
    <x v="3"/>
    <n v="1"/>
    <n v="0"/>
    <x v="13"/>
  </r>
  <r>
    <x v="197"/>
    <n v="16"/>
    <n v="9"/>
    <x v="2"/>
    <n v="140112"/>
    <n v="94811"/>
    <x v="3"/>
    <n v="2"/>
    <n v="0"/>
    <x v="13"/>
  </r>
  <r>
    <x v="198"/>
    <n v="17"/>
    <n v="9"/>
    <x v="2"/>
    <n v="140112"/>
    <n v="94811"/>
    <x v="3"/>
    <n v="3"/>
    <n v="0"/>
    <x v="13"/>
  </r>
  <r>
    <x v="199"/>
    <n v="18"/>
    <n v="9"/>
    <x v="2"/>
    <n v="140112"/>
    <n v="94812"/>
    <x v="2"/>
    <n v="4"/>
    <n v="280"/>
    <x v="233"/>
  </r>
  <r>
    <x v="200"/>
    <n v="19"/>
    <n v="9"/>
    <x v="2"/>
    <n v="140112"/>
    <n v="94812"/>
    <x v="2"/>
    <n v="5"/>
    <n v="675"/>
    <x v="96"/>
  </r>
  <r>
    <x v="201"/>
    <n v="20"/>
    <n v="9"/>
    <x v="2"/>
    <n v="140112"/>
    <n v="94812"/>
    <x v="2"/>
    <n v="6"/>
    <n v="1744"/>
    <x v="113"/>
  </r>
  <r>
    <x v="202"/>
    <n v="21"/>
    <n v="9"/>
    <x v="2"/>
    <n v="140112"/>
    <n v="94812"/>
    <x v="5"/>
    <n v="7"/>
    <n v="2196"/>
    <x v="9"/>
  </r>
  <r>
    <x v="203"/>
    <n v="22"/>
    <n v="9"/>
    <x v="2"/>
    <n v="140112"/>
    <n v="94812"/>
    <x v="7"/>
    <n v="8"/>
    <n v="2159"/>
    <x v="9"/>
  </r>
  <r>
    <x v="204"/>
    <n v="23"/>
    <n v="9"/>
    <x v="2"/>
    <n v="140112"/>
    <n v="94812"/>
    <x v="7"/>
    <n v="9"/>
    <n v="2174"/>
    <x v="9"/>
  </r>
  <r>
    <x v="205"/>
    <n v="24"/>
    <n v="9"/>
    <x v="2"/>
    <n v="140112"/>
    <n v="94812"/>
    <x v="38"/>
    <n v="10"/>
    <n v="1"/>
    <x v="6"/>
  </r>
  <r>
    <x v="206"/>
    <n v="25"/>
    <n v="9"/>
    <x v="2"/>
    <n v="140112"/>
    <n v="94812"/>
    <x v="38"/>
    <n v="11"/>
    <n v="1619"/>
    <x v="234"/>
  </r>
  <r>
    <x v="207"/>
    <n v="26"/>
    <n v="9"/>
    <x v="2"/>
    <n v="140112"/>
    <n v="94812"/>
    <x v="38"/>
    <n v="12"/>
    <n v="0"/>
    <x v="13"/>
  </r>
  <r>
    <x v="208"/>
    <n v="1"/>
    <n v="10"/>
    <x v="0"/>
    <n v="140120"/>
    <n v="101529"/>
    <x v="8"/>
    <n v="1"/>
    <n v="19"/>
    <x v="64"/>
  </r>
  <r>
    <x v="209"/>
    <n v="2"/>
    <n v="10"/>
    <x v="0"/>
    <n v="140120"/>
    <n v="101530"/>
    <x v="8"/>
    <n v="2"/>
    <n v="4"/>
    <x v="20"/>
  </r>
  <r>
    <x v="210"/>
    <n v="3"/>
    <n v="10"/>
    <x v="0"/>
    <n v="140120"/>
    <n v="101530"/>
    <x v="8"/>
    <n v="3"/>
    <n v="5"/>
    <x v="8"/>
  </r>
  <r>
    <x v="211"/>
    <n v="4"/>
    <n v="10"/>
    <x v="0"/>
    <n v="140120"/>
    <n v="102035"/>
    <x v="0"/>
    <n v="4"/>
    <n v="327"/>
    <x v="233"/>
  </r>
  <r>
    <x v="212"/>
    <n v="5"/>
    <n v="10"/>
    <x v="0"/>
    <n v="140120"/>
    <n v="102035"/>
    <x v="0"/>
    <n v="5"/>
    <n v="2098"/>
    <x v="187"/>
  </r>
  <r>
    <x v="213"/>
    <n v="6"/>
    <n v="10"/>
    <x v="0"/>
    <n v="140120"/>
    <n v="102035"/>
    <x v="0"/>
    <n v="6"/>
    <n v="1762"/>
    <x v="200"/>
  </r>
  <r>
    <x v="214"/>
    <n v="7"/>
    <n v="10"/>
    <x v="0"/>
    <n v="140120"/>
    <n v="102514"/>
    <x v="6"/>
    <n v="7"/>
    <n v="13"/>
    <x v="228"/>
  </r>
  <r>
    <x v="215"/>
    <n v="8"/>
    <n v="10"/>
    <x v="0"/>
    <n v="140120"/>
    <n v="102514"/>
    <x v="6"/>
    <n v="10"/>
    <n v="7"/>
    <x v="199"/>
  </r>
  <r>
    <x v="216"/>
    <n v="9"/>
    <n v="10"/>
    <x v="0"/>
    <n v="140120"/>
    <n v="102514"/>
    <x v="6"/>
    <n v="12"/>
    <n v="8"/>
    <x v="3"/>
  </r>
  <r>
    <x v="208"/>
    <n v="1"/>
    <n v="10"/>
    <x v="1"/>
    <n v="140121"/>
    <n v="93525"/>
    <x v="8"/>
    <n v="1"/>
    <n v="1"/>
    <x v="6"/>
  </r>
  <r>
    <x v="209"/>
    <n v="2"/>
    <n v="10"/>
    <x v="1"/>
    <n v="140121"/>
    <n v="93525"/>
    <x v="8"/>
    <n v="2"/>
    <n v="1"/>
    <x v="6"/>
  </r>
  <r>
    <x v="210"/>
    <n v="3"/>
    <n v="10"/>
    <x v="1"/>
    <n v="140121"/>
    <n v="93525"/>
    <x v="8"/>
    <n v="3"/>
    <n v="0"/>
    <x v="13"/>
  </r>
  <r>
    <x v="211"/>
    <n v="4"/>
    <n v="10"/>
    <x v="1"/>
    <n v="140121"/>
    <n v="93525"/>
    <x v="0"/>
    <n v="4"/>
    <n v="631"/>
    <x v="235"/>
  </r>
  <r>
    <x v="212"/>
    <n v="5"/>
    <n v="10"/>
    <x v="1"/>
    <n v="140121"/>
    <n v="94317"/>
    <x v="0"/>
    <n v="5"/>
    <n v="1936"/>
    <x v="1"/>
  </r>
  <r>
    <x v="213"/>
    <n v="6"/>
    <n v="10"/>
    <x v="1"/>
    <n v="140121"/>
    <n v="94318"/>
    <x v="0"/>
    <n v="6"/>
    <n v="1859"/>
    <x v="236"/>
  </r>
  <r>
    <x v="214"/>
    <n v="7"/>
    <n v="10"/>
    <x v="1"/>
    <n v="140121"/>
    <n v="94318"/>
    <x v="6"/>
    <n v="7"/>
    <n v="193"/>
    <x v="237"/>
  </r>
  <r>
    <x v="215"/>
    <n v="8"/>
    <n v="10"/>
    <x v="1"/>
    <n v="140121"/>
    <n v="94318"/>
    <x v="6"/>
    <n v="10"/>
    <n v="2"/>
    <x v="7"/>
  </r>
  <r>
    <x v="216"/>
    <n v="9"/>
    <n v="10"/>
    <x v="1"/>
    <n v="140121"/>
    <n v="94318"/>
    <x v="6"/>
    <n v="12"/>
    <n v="1"/>
    <x v="6"/>
  </r>
  <r>
    <x v="208"/>
    <n v="1"/>
    <n v="10"/>
    <x v="2"/>
    <n v="140122"/>
    <n v="142514"/>
    <x v="8"/>
    <n v="1"/>
    <n v="2362"/>
    <x v="9"/>
  </r>
  <r>
    <x v="209"/>
    <n v="2"/>
    <n v="10"/>
    <x v="2"/>
    <n v="140122"/>
    <n v="142514"/>
    <x v="8"/>
    <n v="2"/>
    <n v="1182"/>
    <x v="56"/>
  </r>
  <r>
    <x v="210"/>
    <n v="3"/>
    <n v="10"/>
    <x v="2"/>
    <n v="140122"/>
    <n v="142514"/>
    <x v="8"/>
    <n v="3"/>
    <n v="6"/>
    <x v="8"/>
  </r>
  <r>
    <x v="211"/>
    <n v="4"/>
    <n v="10"/>
    <x v="2"/>
    <n v="140122"/>
    <n v="143328"/>
    <x v="0"/>
    <n v="4"/>
    <n v="2169"/>
    <x v="9"/>
  </r>
  <r>
    <x v="212"/>
    <n v="5"/>
    <n v="10"/>
    <x v="2"/>
    <n v="140122"/>
    <n v="143328"/>
    <x v="0"/>
    <n v="5"/>
    <n v="2201"/>
    <x v="9"/>
  </r>
  <r>
    <x v="213"/>
    <n v="6"/>
    <n v="10"/>
    <x v="2"/>
    <n v="140122"/>
    <n v="143328"/>
    <x v="0"/>
    <n v="6"/>
    <n v="2168"/>
    <x v="9"/>
  </r>
  <r>
    <x v="214"/>
    <n v="7"/>
    <n v="10"/>
    <x v="2"/>
    <n v="140122"/>
    <n v="142908"/>
    <x v="6"/>
    <n v="7"/>
    <n v="2200"/>
    <x v="9"/>
  </r>
  <r>
    <x v="215"/>
    <n v="8"/>
    <n v="10"/>
    <x v="2"/>
    <n v="140122"/>
    <n v="142909"/>
    <x v="6"/>
    <n v="10"/>
    <n v="548"/>
    <x v="219"/>
  </r>
  <r>
    <x v="216"/>
    <n v="9"/>
    <n v="10"/>
    <x v="2"/>
    <n v="140122"/>
    <n v="142909"/>
    <x v="6"/>
    <n v="12"/>
    <n v="640"/>
    <x v="238"/>
  </r>
  <r>
    <x v="217"/>
    <n v="1"/>
    <n v="11"/>
    <x v="0"/>
    <n v="140312"/>
    <n v="90512"/>
    <x v="62"/>
    <n v="1"/>
    <n v="3"/>
    <x v="2"/>
  </r>
  <r>
    <x v="218"/>
    <n v="2"/>
    <n v="11"/>
    <x v="0"/>
    <n v="140312"/>
    <n v="90512"/>
    <x v="62"/>
    <n v="2"/>
    <n v="2"/>
    <x v="7"/>
  </r>
  <r>
    <x v="219"/>
    <n v="3"/>
    <n v="11"/>
    <x v="0"/>
    <n v="140312"/>
    <n v="90513"/>
    <x v="62"/>
    <n v="3"/>
    <n v="344"/>
    <x v="239"/>
  </r>
  <r>
    <x v="220"/>
    <n v="4"/>
    <n v="11"/>
    <x v="0"/>
    <n v="140312"/>
    <n v="90513"/>
    <x v="12"/>
    <n v="4"/>
    <n v="18"/>
    <x v="138"/>
  </r>
  <r>
    <x v="221"/>
    <n v="5"/>
    <n v="11"/>
    <x v="0"/>
    <n v="140312"/>
    <n v="90513"/>
    <x v="12"/>
    <n v="5"/>
    <n v="3"/>
    <x v="2"/>
  </r>
  <r>
    <x v="222"/>
    <n v="6"/>
    <n v="11"/>
    <x v="0"/>
    <n v="140312"/>
    <n v="93106"/>
    <x v="12"/>
    <n v="6"/>
    <n v="5"/>
    <x v="8"/>
  </r>
  <r>
    <x v="223"/>
    <n v="7"/>
    <n v="11"/>
    <x v="0"/>
    <n v="140312"/>
    <n v="90513"/>
    <x v="63"/>
    <n v="7"/>
    <n v="105"/>
    <x v="128"/>
  </r>
  <r>
    <x v="224"/>
    <n v="8"/>
    <n v="11"/>
    <x v="0"/>
    <n v="140312"/>
    <n v="93106"/>
    <x v="63"/>
    <n v="8"/>
    <n v="1"/>
    <x v="6"/>
  </r>
  <r>
    <x v="225"/>
    <n v="9"/>
    <n v="11"/>
    <x v="0"/>
    <n v="140312"/>
    <n v="91741"/>
    <x v="61"/>
    <n v="9"/>
    <n v="0"/>
    <x v="13"/>
  </r>
  <r>
    <x v="226"/>
    <n v="10"/>
    <n v="11"/>
    <x v="0"/>
    <n v="140312"/>
    <n v="91741"/>
    <x v="61"/>
    <n v="10"/>
    <n v="2"/>
    <x v="7"/>
  </r>
  <r>
    <x v="227"/>
    <n v="11"/>
    <n v="11"/>
    <x v="0"/>
    <n v="140312"/>
    <n v="91741"/>
    <x v="64"/>
    <n v="11"/>
    <n v="2"/>
    <x v="7"/>
  </r>
  <r>
    <x v="228"/>
    <n v="12"/>
    <n v="11"/>
    <x v="0"/>
    <n v="140312"/>
    <n v="91741"/>
    <x v="64"/>
    <n v="12"/>
    <n v="1064"/>
    <x v="240"/>
  </r>
  <r>
    <x v="217"/>
    <n v="1"/>
    <n v="11"/>
    <x v="1"/>
    <n v="140313"/>
    <n v="90414"/>
    <x v="62"/>
    <n v="1"/>
    <n v="0"/>
    <x v="13"/>
  </r>
  <r>
    <x v="218"/>
    <n v="2"/>
    <n v="11"/>
    <x v="1"/>
    <n v="140313"/>
    <n v="90415"/>
    <x v="62"/>
    <n v="2"/>
    <n v="0"/>
    <x v="13"/>
  </r>
  <r>
    <x v="219"/>
    <n v="3"/>
    <n v="11"/>
    <x v="1"/>
    <n v="140313"/>
    <n v="90415"/>
    <x v="62"/>
    <n v="3"/>
    <n v="190"/>
    <x v="229"/>
  </r>
  <r>
    <x v="220"/>
    <n v="4"/>
    <n v="11"/>
    <x v="1"/>
    <n v="140313"/>
    <n v="90415"/>
    <x v="12"/>
    <n v="4"/>
    <n v="13"/>
    <x v="208"/>
  </r>
  <r>
    <x v="221"/>
    <n v="5"/>
    <n v="11"/>
    <x v="1"/>
    <n v="140313"/>
    <n v="90416"/>
    <x v="12"/>
    <n v="5"/>
    <n v="1"/>
    <x v="6"/>
  </r>
  <r>
    <x v="222"/>
    <n v="6"/>
    <n v="11"/>
    <x v="1"/>
    <n v="140313"/>
    <n v="90416"/>
    <x v="12"/>
    <n v="6"/>
    <n v="1"/>
    <x v="6"/>
  </r>
  <r>
    <x v="223"/>
    <n v="7"/>
    <n v="11"/>
    <x v="1"/>
    <n v="140313"/>
    <n v="91709"/>
    <x v="63"/>
    <n v="7"/>
    <n v="167"/>
    <x v="105"/>
  </r>
  <r>
    <x v="224"/>
    <n v="8"/>
    <n v="11"/>
    <x v="1"/>
    <n v="140313"/>
    <n v="91709"/>
    <x v="63"/>
    <n v="8"/>
    <n v="0"/>
    <x v="13"/>
  </r>
  <r>
    <x v="225"/>
    <n v="9"/>
    <n v="11"/>
    <x v="1"/>
    <n v="140313"/>
    <n v="91709"/>
    <x v="61"/>
    <n v="9"/>
    <n v="0"/>
    <x v="13"/>
  </r>
  <r>
    <x v="226"/>
    <n v="10"/>
    <n v="11"/>
    <x v="1"/>
    <n v="140313"/>
    <n v="91709"/>
    <x v="61"/>
    <n v="10"/>
    <n v="0"/>
    <x v="13"/>
  </r>
  <r>
    <x v="227"/>
    <n v="11"/>
    <n v="11"/>
    <x v="1"/>
    <n v="140313"/>
    <n v="91710"/>
    <x v="64"/>
    <n v="11"/>
    <n v="1"/>
    <x v="6"/>
  </r>
  <r>
    <x v="228"/>
    <n v="12"/>
    <n v="11"/>
    <x v="1"/>
    <n v="140313"/>
    <n v="91710"/>
    <x v="64"/>
    <n v="12"/>
    <n v="262"/>
    <x v="232"/>
  </r>
  <r>
    <x v="217"/>
    <n v="1"/>
    <n v="11"/>
    <x v="2"/>
    <n v="140314"/>
    <n v="94400"/>
    <x v="62"/>
    <n v="1"/>
    <n v="2"/>
    <x v="7"/>
  </r>
  <r>
    <x v="218"/>
    <n v="2"/>
    <n v="11"/>
    <x v="2"/>
    <n v="140314"/>
    <n v="94400"/>
    <x v="62"/>
    <n v="2"/>
    <n v="0"/>
    <x v="13"/>
  </r>
  <r>
    <x v="219"/>
    <n v="3"/>
    <n v="11"/>
    <x v="2"/>
    <n v="140314"/>
    <n v="94400"/>
    <x v="62"/>
    <n v="3"/>
    <n v="751"/>
    <x v="241"/>
  </r>
  <r>
    <x v="220"/>
    <n v="4"/>
    <n v="11"/>
    <x v="2"/>
    <n v="140314"/>
    <n v="94400"/>
    <x v="12"/>
    <n v="4"/>
    <n v="740"/>
    <x v="242"/>
  </r>
  <r>
    <x v="221"/>
    <n v="5"/>
    <n v="11"/>
    <x v="2"/>
    <n v="140314"/>
    <n v="94400"/>
    <x v="12"/>
    <n v="5"/>
    <n v="1"/>
    <x v="6"/>
  </r>
  <r>
    <x v="222"/>
    <n v="6"/>
    <n v="11"/>
    <x v="2"/>
    <n v="140314"/>
    <n v="94400"/>
    <x v="12"/>
    <n v="6"/>
    <n v="0"/>
    <x v="13"/>
  </r>
  <r>
    <x v="223"/>
    <n v="7"/>
    <n v="11"/>
    <x v="2"/>
    <n v="140314"/>
    <n v="95252"/>
    <x v="63"/>
    <n v="7"/>
    <n v="268"/>
    <x v="42"/>
  </r>
  <r>
    <x v="224"/>
    <n v="8"/>
    <n v="11"/>
    <x v="2"/>
    <n v="140314"/>
    <n v="95252"/>
    <x v="63"/>
    <n v="8"/>
    <n v="1"/>
    <x v="6"/>
  </r>
  <r>
    <x v="225"/>
    <n v="9"/>
    <n v="11"/>
    <x v="2"/>
    <n v="140314"/>
    <n v="95252"/>
    <x v="61"/>
    <n v="9"/>
    <n v="1"/>
    <x v="6"/>
  </r>
  <r>
    <x v="226"/>
    <n v="10"/>
    <n v="11"/>
    <x v="2"/>
    <n v="140314"/>
    <n v="95253"/>
    <x v="61"/>
    <n v="10"/>
    <n v="0"/>
    <x v="13"/>
  </r>
  <r>
    <x v="227"/>
    <n v="11"/>
    <n v="11"/>
    <x v="2"/>
    <n v="140314"/>
    <n v="95253"/>
    <x v="64"/>
    <n v="11"/>
    <n v="0"/>
    <x v="13"/>
  </r>
  <r>
    <x v="228"/>
    <n v="12"/>
    <n v="11"/>
    <x v="2"/>
    <n v="140314"/>
    <n v="95253"/>
    <x v="64"/>
    <n v="12"/>
    <n v="2122"/>
    <x v="101"/>
  </r>
  <r>
    <x v="229"/>
    <n v="1"/>
    <n v="12"/>
    <x v="0"/>
    <n v="140319"/>
    <n v="91547"/>
    <x v="65"/>
    <n v="1"/>
    <n v="350"/>
    <x v="226"/>
  </r>
  <r>
    <x v="230"/>
    <n v="2"/>
    <n v="12"/>
    <x v="0"/>
    <n v="140319"/>
    <n v="91547"/>
    <x v="65"/>
    <n v="2"/>
    <n v="828"/>
    <x v="183"/>
  </r>
  <r>
    <x v="231"/>
    <n v="3"/>
    <n v="12"/>
    <x v="0"/>
    <n v="140319"/>
    <n v="91547"/>
    <x v="66"/>
    <n v="3"/>
    <n v="1712"/>
    <x v="231"/>
  </r>
  <r>
    <x v="232"/>
    <n v="4"/>
    <n v="12"/>
    <x v="0"/>
    <n v="140319"/>
    <n v="91547"/>
    <x v="66"/>
    <n v="4"/>
    <n v="1700"/>
    <x v="243"/>
  </r>
  <r>
    <x v="233"/>
    <n v="5"/>
    <n v="12"/>
    <x v="0"/>
    <n v="140319"/>
    <n v="91548"/>
    <x v="64"/>
    <n v="5"/>
    <n v="0"/>
    <x v="13"/>
  </r>
  <r>
    <x v="234"/>
    <n v="6"/>
    <n v="12"/>
    <x v="0"/>
    <n v="140319"/>
    <n v="91548"/>
    <x v="64"/>
    <n v="6"/>
    <n v="2"/>
    <x v="7"/>
  </r>
  <r>
    <x v="235"/>
    <n v="7"/>
    <n v="12"/>
    <x v="0"/>
    <n v="140319"/>
    <n v="91548"/>
    <x v="67"/>
    <n v="7"/>
    <n v="1"/>
    <x v="6"/>
  </r>
  <r>
    <x v="236"/>
    <n v="8"/>
    <n v="12"/>
    <x v="0"/>
    <n v="140319"/>
    <n v="91548"/>
    <x v="67"/>
    <n v="8"/>
    <n v="2"/>
    <x v="7"/>
  </r>
  <r>
    <x v="237"/>
    <n v="9"/>
    <n v="12"/>
    <x v="0"/>
    <n v="140319"/>
    <n v="91656"/>
    <x v="38"/>
    <n v="9"/>
    <n v="9"/>
    <x v="3"/>
  </r>
  <r>
    <x v="238"/>
    <n v="10"/>
    <n v="12"/>
    <x v="0"/>
    <n v="140319"/>
    <n v="91656"/>
    <x v="38"/>
    <n v="10"/>
    <n v="1"/>
    <x v="6"/>
  </r>
  <r>
    <x v="239"/>
    <n v="11"/>
    <n v="12"/>
    <x v="0"/>
    <n v="140319"/>
    <n v="91656"/>
    <x v="63"/>
    <n v="11"/>
    <n v="8"/>
    <x v="3"/>
  </r>
  <r>
    <x v="240"/>
    <n v="12"/>
    <n v="12"/>
    <x v="0"/>
    <n v="140319"/>
    <n v="91656"/>
    <x v="63"/>
    <n v="12"/>
    <n v="2"/>
    <x v="7"/>
  </r>
  <r>
    <x v="241"/>
    <n v="13"/>
    <n v="12"/>
    <x v="0"/>
    <n v="140319"/>
    <n v="92015"/>
    <x v="68"/>
    <n v="13"/>
    <n v="5"/>
    <x v="8"/>
  </r>
  <r>
    <x v="242"/>
    <n v="14"/>
    <n v="12"/>
    <x v="0"/>
    <n v="140319"/>
    <n v="92015"/>
    <x v="68"/>
    <n v="14"/>
    <n v="4"/>
    <x v="2"/>
  </r>
  <r>
    <x v="243"/>
    <n v="15"/>
    <n v="12"/>
    <x v="0"/>
    <n v="140319"/>
    <n v="92015"/>
    <x v="69"/>
    <n v="15"/>
    <n v="444"/>
    <x v="244"/>
  </r>
  <r>
    <x v="244"/>
    <n v="16"/>
    <n v="12"/>
    <x v="0"/>
    <n v="140319"/>
    <n v="92015"/>
    <x v="69"/>
    <n v="16"/>
    <n v="494"/>
    <x v="157"/>
  </r>
  <r>
    <x v="229"/>
    <n v="1"/>
    <n v="12"/>
    <x v="1"/>
    <n v="140320"/>
    <n v="100502"/>
    <x v="65"/>
    <n v="1"/>
    <n v="631"/>
    <x v="245"/>
  </r>
  <r>
    <x v="230"/>
    <n v="2"/>
    <n v="12"/>
    <x v="1"/>
    <n v="140320"/>
    <n v="100503"/>
    <x v="65"/>
    <n v="2"/>
    <n v="966"/>
    <x v="188"/>
  </r>
  <r>
    <x v="231"/>
    <n v="3"/>
    <n v="12"/>
    <x v="1"/>
    <n v="140320"/>
    <n v="100503"/>
    <x v="66"/>
    <n v="3"/>
    <n v="2543"/>
    <x v="9"/>
  </r>
  <r>
    <x v="232"/>
    <n v="4"/>
    <n v="12"/>
    <x v="1"/>
    <n v="140320"/>
    <n v="100503"/>
    <x v="66"/>
    <n v="4"/>
    <n v="2752"/>
    <x v="9"/>
  </r>
  <r>
    <x v="233"/>
    <n v="5"/>
    <n v="12"/>
    <x v="1"/>
    <n v="140320"/>
    <n v="100852"/>
    <x v="64"/>
    <n v="5"/>
    <n v="0"/>
    <x v="13"/>
  </r>
  <r>
    <x v="234"/>
    <n v="6"/>
    <n v="12"/>
    <x v="1"/>
    <n v="140320"/>
    <n v="100852"/>
    <x v="64"/>
    <n v="6"/>
    <n v="1"/>
    <x v="6"/>
  </r>
  <r>
    <x v="235"/>
    <n v="7"/>
    <n v="12"/>
    <x v="1"/>
    <n v="140320"/>
    <n v="100852"/>
    <x v="67"/>
    <n v="7"/>
    <n v="0"/>
    <x v="13"/>
  </r>
  <r>
    <x v="236"/>
    <n v="8"/>
    <n v="12"/>
    <x v="1"/>
    <n v="140320"/>
    <n v="100852"/>
    <x v="67"/>
    <n v="8"/>
    <n v="1"/>
    <x v="6"/>
  </r>
  <r>
    <x v="237"/>
    <n v="9"/>
    <n v="12"/>
    <x v="1"/>
    <n v="140320"/>
    <n v="101449"/>
    <x v="38"/>
    <n v="9"/>
    <n v="4"/>
    <x v="20"/>
  </r>
  <r>
    <x v="238"/>
    <n v="10"/>
    <n v="12"/>
    <x v="1"/>
    <n v="140320"/>
    <n v="101449"/>
    <x v="38"/>
    <n v="10"/>
    <n v="1"/>
    <x v="6"/>
  </r>
  <r>
    <x v="239"/>
    <n v="11"/>
    <n v="12"/>
    <x v="1"/>
    <n v="140320"/>
    <n v="101449"/>
    <x v="63"/>
    <n v="11"/>
    <n v="1017"/>
    <x v="246"/>
  </r>
  <r>
    <x v="240"/>
    <n v="12"/>
    <n v="12"/>
    <x v="1"/>
    <n v="140320"/>
    <n v="101449"/>
    <x v="63"/>
    <n v="12"/>
    <n v="0"/>
    <x v="13"/>
  </r>
  <r>
    <x v="241"/>
    <n v="13"/>
    <n v="12"/>
    <x v="1"/>
    <n v="140320"/>
    <n v="95519"/>
    <x v="68"/>
    <n v="13"/>
    <n v="1"/>
    <x v="6"/>
  </r>
  <r>
    <x v="242"/>
    <n v="14"/>
    <n v="12"/>
    <x v="1"/>
    <n v="140320"/>
    <n v="95519"/>
    <x v="68"/>
    <n v="14"/>
    <n v="6"/>
    <x v="2"/>
  </r>
  <r>
    <x v="243"/>
    <n v="15"/>
    <n v="12"/>
    <x v="1"/>
    <n v="140320"/>
    <n v="95519"/>
    <x v="69"/>
    <n v="15"/>
    <n v="460"/>
    <x v="221"/>
  </r>
  <r>
    <x v="244"/>
    <n v="16"/>
    <n v="12"/>
    <x v="1"/>
    <n v="140320"/>
    <n v="95519"/>
    <x v="69"/>
    <n v="16"/>
    <n v="516"/>
    <x v="131"/>
  </r>
  <r>
    <x v="229"/>
    <n v="1"/>
    <n v="12"/>
    <x v="2"/>
    <n v="140321"/>
    <n v="145101"/>
    <x v="65"/>
    <n v="1"/>
    <n v="1198"/>
    <x v="49"/>
  </r>
  <r>
    <x v="230"/>
    <n v="2"/>
    <n v="12"/>
    <x v="2"/>
    <n v="140321"/>
    <n v="145101"/>
    <x v="65"/>
    <n v="2"/>
    <n v="867"/>
    <x v="183"/>
  </r>
  <r>
    <x v="231"/>
    <n v="3"/>
    <n v="12"/>
    <x v="2"/>
    <n v="140321"/>
    <n v="145558"/>
    <x v="66"/>
    <n v="3"/>
    <n v="2328"/>
    <x v="9"/>
  </r>
  <r>
    <x v="232"/>
    <n v="4"/>
    <n v="12"/>
    <x v="2"/>
    <n v="140321"/>
    <n v="145559"/>
    <x v="66"/>
    <n v="4"/>
    <n v="2666"/>
    <x v="9"/>
  </r>
  <r>
    <x v="233"/>
    <n v="5"/>
    <n v="12"/>
    <x v="2"/>
    <n v="140321"/>
    <n v="135232"/>
    <x v="64"/>
    <n v="5"/>
    <n v="3"/>
    <x v="2"/>
  </r>
  <r>
    <x v="234"/>
    <n v="6"/>
    <n v="12"/>
    <x v="2"/>
    <n v="140321"/>
    <n v="135232"/>
    <x v="64"/>
    <n v="6"/>
    <n v="1"/>
    <x v="6"/>
  </r>
  <r>
    <x v="235"/>
    <n v="7"/>
    <n v="12"/>
    <x v="2"/>
    <n v="140321"/>
    <n v="135124"/>
    <x v="67"/>
    <n v="7"/>
    <n v="28"/>
    <x v="174"/>
  </r>
  <r>
    <x v="236"/>
    <n v="8"/>
    <n v="12"/>
    <x v="2"/>
    <n v="140321"/>
    <n v="130810"/>
    <x v="67"/>
    <n v="8"/>
    <n v="9"/>
    <x v="88"/>
  </r>
  <r>
    <x v="237"/>
    <n v="9"/>
    <n v="12"/>
    <x v="2"/>
    <n v="140321"/>
    <n v="130810"/>
    <x v="38"/>
    <n v="9"/>
    <n v="151"/>
    <x v="247"/>
  </r>
  <r>
    <x v="238"/>
    <n v="10"/>
    <n v="12"/>
    <x v="2"/>
    <n v="140321"/>
    <n v="130810"/>
    <x v="38"/>
    <n v="10"/>
    <n v="1"/>
    <x v="6"/>
  </r>
  <r>
    <x v="239"/>
    <n v="11"/>
    <n v="12"/>
    <x v="2"/>
    <n v="140321"/>
    <n v="123229"/>
    <x v="63"/>
    <n v="11"/>
    <n v="2240"/>
    <x v="9"/>
  </r>
  <r>
    <x v="240"/>
    <n v="12"/>
    <n v="12"/>
    <x v="2"/>
    <n v="140321"/>
    <n v="123230"/>
    <x v="63"/>
    <n v="12"/>
    <n v="1"/>
    <x v="6"/>
  </r>
  <r>
    <x v="241"/>
    <n v="13"/>
    <n v="12"/>
    <x v="2"/>
    <n v="140321"/>
    <n v="123146"/>
    <x v="68"/>
    <n v="13"/>
    <n v="118"/>
    <x v="128"/>
  </r>
  <r>
    <x v="242"/>
    <n v="14"/>
    <n v="12"/>
    <x v="2"/>
    <n v="140321"/>
    <n v="123146"/>
    <x v="68"/>
    <n v="14"/>
    <n v="1"/>
    <x v="6"/>
  </r>
  <r>
    <x v="243"/>
    <n v="15"/>
    <n v="12"/>
    <x v="2"/>
    <n v="140321"/>
    <n v="114821"/>
    <x v="69"/>
    <n v="15"/>
    <n v="558"/>
    <x v="248"/>
  </r>
  <r>
    <x v="244"/>
    <n v="16"/>
    <n v="12"/>
    <x v="2"/>
    <n v="140321"/>
    <n v="114821"/>
    <x v="69"/>
    <n v="16"/>
    <n v="619"/>
    <x v="245"/>
  </r>
  <r>
    <x v="245"/>
    <n v="1"/>
    <n v="13"/>
    <x v="0"/>
    <n v="140322"/>
    <n v="133921"/>
    <x v="68"/>
    <n v="1"/>
    <n v="7"/>
    <x v="199"/>
  </r>
  <r>
    <x v="246"/>
    <n v="2"/>
    <n v="13"/>
    <x v="0"/>
    <n v="140322"/>
    <n v="132828"/>
    <x v="68"/>
    <n v="2"/>
    <n v="3"/>
    <x v="2"/>
  </r>
  <r>
    <x v="247"/>
    <n v="3"/>
    <n v="13"/>
    <x v="0"/>
    <n v="140322"/>
    <n v="132703"/>
    <x v="69"/>
    <n v="3"/>
    <n v="347"/>
    <x v="48"/>
  </r>
  <r>
    <x v="248"/>
    <n v="4"/>
    <n v="13"/>
    <x v="0"/>
    <n v="140322"/>
    <n v="132703"/>
    <x v="69"/>
    <n v="4"/>
    <n v="182"/>
    <x v="105"/>
  </r>
  <r>
    <x v="249"/>
    <n v="5"/>
    <n v="13"/>
    <x v="0"/>
    <n v="140322"/>
    <n v="133320"/>
    <x v="65"/>
    <n v="5"/>
    <n v="1175"/>
    <x v="249"/>
  </r>
  <r>
    <x v="250"/>
    <n v="6"/>
    <n v="13"/>
    <x v="0"/>
    <n v="140322"/>
    <n v="133411"/>
    <x v="65"/>
    <n v="6"/>
    <n v="833"/>
    <x v="125"/>
  </r>
  <r>
    <x v="251"/>
    <n v="7"/>
    <n v="13"/>
    <x v="0"/>
    <n v="140322"/>
    <n v="133320"/>
    <x v="65"/>
    <n v="7"/>
    <n v="6"/>
    <x v="89"/>
  </r>
  <r>
    <x v="252"/>
    <n v="8"/>
    <n v="13"/>
    <x v="0"/>
    <n v="140322"/>
    <n v="132704"/>
    <x v="70"/>
    <n v="8"/>
    <n v="3"/>
    <x v="2"/>
  </r>
  <r>
    <x v="253"/>
    <n v="9"/>
    <n v="13"/>
    <x v="0"/>
    <n v="140322"/>
    <n v="131840"/>
    <x v="70"/>
    <n v="9"/>
    <n v="0"/>
    <x v="13"/>
  </r>
  <r>
    <x v="254"/>
    <n v="10"/>
    <n v="13"/>
    <x v="0"/>
    <n v="140322"/>
    <n v="131840"/>
    <x v="70"/>
    <n v="10"/>
    <n v="22"/>
    <x v="172"/>
  </r>
  <r>
    <x v="255"/>
    <n v="11"/>
    <n v="13"/>
    <x v="0"/>
    <n v="140322"/>
    <n v="131705"/>
    <x v="71"/>
    <n v="11"/>
    <n v="4"/>
    <x v="20"/>
  </r>
  <r>
    <x v="256"/>
    <n v="12"/>
    <n v="13"/>
    <x v="0"/>
    <n v="140322"/>
    <n v="131705"/>
    <x v="72"/>
    <n v="12"/>
    <n v="626"/>
    <x v="245"/>
  </r>
  <r>
    <x v="257"/>
    <n v="13"/>
    <n v="13"/>
    <x v="0"/>
    <n v="140322"/>
    <n v="131518"/>
    <x v="72"/>
    <n v="13"/>
    <n v="449"/>
    <x v="145"/>
  </r>
  <r>
    <x v="258"/>
    <n v="14"/>
    <n v="13"/>
    <x v="0"/>
    <n v="140322"/>
    <n v="130818"/>
    <x v="73"/>
    <n v="14"/>
    <n v="1700"/>
    <x v="250"/>
  </r>
  <r>
    <x v="259"/>
    <n v="15"/>
    <n v="13"/>
    <x v="0"/>
    <n v="140322"/>
    <n v="130818"/>
    <x v="73"/>
    <n v="15"/>
    <n v="1"/>
    <x v="6"/>
  </r>
  <r>
    <x v="260"/>
    <n v="16"/>
    <n v="13"/>
    <x v="0"/>
    <n v="140322"/>
    <n v="130818"/>
    <x v="73"/>
    <n v="16"/>
    <n v="879"/>
    <x v="167"/>
  </r>
  <r>
    <x v="245"/>
    <n v="1"/>
    <n v="13"/>
    <x v="1"/>
    <n v="140323"/>
    <n v="143944"/>
    <x v="68"/>
    <n v="1"/>
    <n v="0"/>
    <x v="13"/>
  </r>
  <r>
    <x v="246"/>
    <n v="2"/>
    <n v="13"/>
    <x v="1"/>
    <n v="140323"/>
    <n v="143944"/>
    <x v="68"/>
    <n v="2"/>
    <n v="0"/>
    <x v="13"/>
  </r>
  <r>
    <x v="247"/>
    <n v="3"/>
    <n v="13"/>
    <x v="1"/>
    <n v="140323"/>
    <n v="143944"/>
    <x v="69"/>
    <n v="3"/>
    <n v="305"/>
    <x v="189"/>
  </r>
  <r>
    <x v="248"/>
    <n v="4"/>
    <n v="13"/>
    <x v="1"/>
    <n v="140323"/>
    <n v="143944"/>
    <x v="69"/>
    <n v="4"/>
    <n v="294"/>
    <x v="251"/>
  </r>
  <r>
    <x v="249"/>
    <n v="5"/>
    <n v="13"/>
    <x v="1"/>
    <n v="140323"/>
    <n v="144650"/>
    <x v="65"/>
    <n v="5"/>
    <n v="967"/>
    <x v="99"/>
  </r>
  <r>
    <x v="250"/>
    <n v="6"/>
    <n v="13"/>
    <x v="1"/>
    <n v="140323"/>
    <n v="144650"/>
    <x v="65"/>
    <n v="6"/>
    <n v="787"/>
    <x v="41"/>
  </r>
  <r>
    <x v="251"/>
    <n v="7"/>
    <n v="13"/>
    <x v="1"/>
    <n v="140323"/>
    <n v="144650"/>
    <x v="65"/>
    <n v="7"/>
    <n v="1"/>
    <x v="6"/>
  </r>
  <r>
    <x v="252"/>
    <n v="8"/>
    <n v="13"/>
    <x v="1"/>
    <n v="140323"/>
    <n v="144650"/>
    <x v="70"/>
    <n v="8"/>
    <n v="0"/>
    <x v="13"/>
  </r>
  <r>
    <x v="253"/>
    <n v="9"/>
    <n v="13"/>
    <x v="1"/>
    <n v="140323"/>
    <n v="151244"/>
    <x v="70"/>
    <n v="9"/>
    <n v="2"/>
    <x v="7"/>
  </r>
  <r>
    <x v="254"/>
    <n v="10"/>
    <n v="13"/>
    <x v="1"/>
    <n v="140323"/>
    <n v="145517"/>
    <x v="70"/>
    <n v="10"/>
    <n v="9"/>
    <x v="3"/>
  </r>
  <r>
    <x v="255"/>
    <n v="11"/>
    <n v="13"/>
    <x v="1"/>
    <n v="140323"/>
    <n v="145517"/>
    <x v="71"/>
    <n v="11"/>
    <n v="0"/>
    <x v="13"/>
  </r>
  <r>
    <x v="256"/>
    <n v="12"/>
    <n v="13"/>
    <x v="1"/>
    <n v="140323"/>
    <n v="145517"/>
    <x v="72"/>
    <n v="12"/>
    <n v="609"/>
    <x v="252"/>
  </r>
  <r>
    <x v="257"/>
    <n v="13"/>
    <n v="13"/>
    <x v="1"/>
    <n v="140323"/>
    <n v="150249"/>
    <x v="72"/>
    <n v="13"/>
    <n v="575"/>
    <x v="253"/>
  </r>
  <r>
    <x v="258"/>
    <n v="14"/>
    <n v="13"/>
    <x v="1"/>
    <n v="140323"/>
    <n v="150249"/>
    <x v="73"/>
    <n v="14"/>
    <n v="2043"/>
    <x v="72"/>
  </r>
  <r>
    <x v="259"/>
    <n v="15"/>
    <n v="13"/>
    <x v="1"/>
    <n v="140323"/>
    <n v="150249"/>
    <x v="73"/>
    <n v="15"/>
    <n v="1"/>
    <x v="6"/>
  </r>
  <r>
    <x v="260"/>
    <n v="16"/>
    <n v="13"/>
    <x v="1"/>
    <n v="140323"/>
    <n v="150249"/>
    <x v="73"/>
    <n v="16"/>
    <n v="2188"/>
    <x v="9"/>
  </r>
  <r>
    <x v="245"/>
    <n v="1"/>
    <n v="13"/>
    <x v="2"/>
    <n v="140324"/>
    <n v="132140"/>
    <x v="68"/>
    <n v="1"/>
    <n v="2"/>
    <x v="7"/>
  </r>
  <r>
    <x v="246"/>
    <n v="2"/>
    <n v="13"/>
    <x v="2"/>
    <n v="140324"/>
    <n v="132140"/>
    <x v="68"/>
    <n v="2"/>
    <n v="0"/>
    <x v="13"/>
  </r>
  <r>
    <x v="247"/>
    <n v="3"/>
    <n v="13"/>
    <x v="2"/>
    <n v="140324"/>
    <n v="132140"/>
    <x v="69"/>
    <n v="3"/>
    <n v="189"/>
    <x v="27"/>
  </r>
  <r>
    <x v="248"/>
    <n v="4"/>
    <n v="13"/>
    <x v="2"/>
    <n v="140324"/>
    <n v="132141"/>
    <x v="69"/>
    <n v="4"/>
    <n v="182"/>
    <x v="105"/>
  </r>
  <r>
    <x v="249"/>
    <n v="5"/>
    <n v="13"/>
    <x v="2"/>
    <n v="140324"/>
    <n v="132141"/>
    <x v="65"/>
    <n v="5"/>
    <n v="741"/>
    <x v="171"/>
  </r>
  <r>
    <x v="250"/>
    <n v="6"/>
    <n v="13"/>
    <x v="2"/>
    <n v="140324"/>
    <n v="132141"/>
    <x v="65"/>
    <n v="6"/>
    <n v="745"/>
    <x v="171"/>
  </r>
  <r>
    <x v="251"/>
    <n v="7"/>
    <n v="13"/>
    <x v="2"/>
    <n v="140324"/>
    <n v="132141"/>
    <x v="65"/>
    <n v="7"/>
    <n v="6"/>
    <x v="89"/>
  </r>
  <r>
    <x v="252"/>
    <n v="8"/>
    <n v="13"/>
    <x v="2"/>
    <n v="140324"/>
    <n v="132141"/>
    <x v="70"/>
    <n v="8"/>
    <n v="0"/>
    <x v="13"/>
  </r>
  <r>
    <x v="253"/>
    <n v="9"/>
    <n v="13"/>
    <x v="2"/>
    <n v="140324"/>
    <n v="132141"/>
    <x v="70"/>
    <n v="9"/>
    <n v="0"/>
    <x v="13"/>
  </r>
  <r>
    <x v="254"/>
    <n v="10"/>
    <n v="13"/>
    <x v="2"/>
    <n v="140324"/>
    <n v="132142"/>
    <x v="70"/>
    <n v="10"/>
    <n v="17"/>
    <x v="64"/>
  </r>
  <r>
    <x v="255"/>
    <n v="11"/>
    <n v="13"/>
    <x v="2"/>
    <n v="140324"/>
    <n v="132142"/>
    <x v="71"/>
    <n v="11"/>
    <n v="7"/>
    <x v="199"/>
  </r>
  <r>
    <x v="256"/>
    <n v="12"/>
    <n v="13"/>
    <x v="2"/>
    <n v="140324"/>
    <n v="132142"/>
    <x v="72"/>
    <n v="12"/>
    <n v="316"/>
    <x v="114"/>
  </r>
  <r>
    <x v="257"/>
    <n v="13"/>
    <n v="13"/>
    <x v="2"/>
    <n v="140324"/>
    <n v="132355"/>
    <x v="72"/>
    <n v="13"/>
    <n v="504"/>
    <x v="180"/>
  </r>
  <r>
    <x v="258"/>
    <n v="14"/>
    <n v="13"/>
    <x v="2"/>
    <n v="140324"/>
    <n v="132355"/>
    <x v="73"/>
    <n v="14"/>
    <n v="2283"/>
    <x v="86"/>
  </r>
  <r>
    <x v="259"/>
    <n v="15"/>
    <n v="13"/>
    <x v="2"/>
    <n v="140324"/>
    <n v="132355"/>
    <x v="73"/>
    <n v="15"/>
    <n v="540"/>
    <x v="219"/>
  </r>
  <r>
    <x v="260"/>
    <n v="16"/>
    <n v="13"/>
    <x v="2"/>
    <n v="140324"/>
    <n v="132355"/>
    <x v="73"/>
    <n v="16"/>
    <n v="1857"/>
    <x v="207"/>
  </r>
  <r>
    <x v="261"/>
    <n v="1"/>
    <n v="14"/>
    <x v="0"/>
    <n v="140409"/>
    <n v="101844"/>
    <x v="58"/>
    <n v="1"/>
    <n v="1837"/>
    <x v="254"/>
  </r>
  <r>
    <x v="262"/>
    <n v="2"/>
    <n v="14"/>
    <x v="0"/>
    <n v="140409"/>
    <n v="101844"/>
    <x v="58"/>
    <n v="2"/>
    <n v="1908"/>
    <x v="255"/>
  </r>
  <r>
    <x v="263"/>
    <n v="3"/>
    <n v="14"/>
    <x v="0"/>
    <n v="140409"/>
    <n v="101844"/>
    <x v="74"/>
    <n v="3"/>
    <n v="532"/>
    <x v="256"/>
  </r>
  <r>
    <x v="264"/>
    <n v="4"/>
    <n v="14"/>
    <x v="0"/>
    <n v="140409"/>
    <n v="101844"/>
    <x v="74"/>
    <n v="4"/>
    <n v="198"/>
    <x v="121"/>
  </r>
  <r>
    <x v="265"/>
    <n v="5"/>
    <n v="14"/>
    <x v="0"/>
    <n v="140409"/>
    <n v="101844"/>
    <x v="75"/>
    <n v="5"/>
    <n v="1629"/>
    <x v="250"/>
  </r>
  <r>
    <x v="266"/>
    <n v="6"/>
    <n v="14"/>
    <x v="0"/>
    <n v="140409"/>
    <n v="101845"/>
    <x v="75"/>
    <n v="6"/>
    <n v="799"/>
    <x v="112"/>
  </r>
  <r>
    <x v="267"/>
    <n v="7"/>
    <n v="14"/>
    <x v="0"/>
    <n v="140409"/>
    <n v="101845"/>
    <x v="76"/>
    <n v="7"/>
    <n v="3"/>
    <x v="2"/>
  </r>
  <r>
    <x v="268"/>
    <n v="8"/>
    <n v="14"/>
    <x v="0"/>
    <n v="140409"/>
    <n v="101845"/>
    <x v="76"/>
    <n v="8"/>
    <n v="3"/>
    <x v="2"/>
  </r>
  <r>
    <x v="269"/>
    <n v="9"/>
    <n v="14"/>
    <x v="0"/>
    <n v="140409"/>
    <n v="101845"/>
    <x v="72"/>
    <n v="9"/>
    <n v="1898"/>
    <x v="72"/>
  </r>
  <r>
    <x v="270"/>
    <n v="10"/>
    <n v="14"/>
    <x v="0"/>
    <n v="140409"/>
    <n v="101845"/>
    <x v="72"/>
    <n v="10"/>
    <n v="383"/>
    <x v="222"/>
  </r>
  <r>
    <x v="271"/>
    <n v="11"/>
    <n v="14"/>
    <x v="0"/>
    <n v="140409"/>
    <n v="101846"/>
    <x v="77"/>
    <n v="11"/>
    <n v="973"/>
    <x v="198"/>
  </r>
  <r>
    <x v="272"/>
    <n v="12"/>
    <n v="14"/>
    <x v="0"/>
    <n v="140409"/>
    <n v="101846"/>
    <x v="77"/>
    <n v="12"/>
    <n v="2125"/>
    <x v="30"/>
  </r>
  <r>
    <x v="273"/>
    <n v="13"/>
    <n v="14"/>
    <x v="0"/>
    <n v="140409"/>
    <n v="102043"/>
    <x v="78"/>
    <n v="13"/>
    <n v="0"/>
    <x v="13"/>
  </r>
  <r>
    <x v="274"/>
    <n v="14"/>
    <n v="14"/>
    <x v="0"/>
    <n v="140409"/>
    <n v="102043"/>
    <x v="78"/>
    <n v="14"/>
    <n v="6"/>
    <x v="20"/>
  </r>
  <r>
    <x v="275"/>
    <n v="15"/>
    <n v="14"/>
    <x v="0"/>
    <n v="140409"/>
    <n v="103300"/>
    <x v="79"/>
    <n v="15"/>
    <n v="38"/>
    <x v="5"/>
  </r>
  <r>
    <x v="276"/>
    <n v="16"/>
    <n v="14"/>
    <x v="0"/>
    <n v="140409"/>
    <n v="102043"/>
    <x v="79"/>
    <n v="16"/>
    <n v="208"/>
    <x v="257"/>
  </r>
  <r>
    <x v="261"/>
    <n v="1"/>
    <n v="14"/>
    <x v="1"/>
    <n v="140410"/>
    <n v="93938"/>
    <x v="58"/>
    <n v="1"/>
    <n v="2221"/>
    <x v="9"/>
  </r>
  <r>
    <x v="262"/>
    <n v="2"/>
    <n v="14"/>
    <x v="1"/>
    <n v="140410"/>
    <n v="93938"/>
    <x v="58"/>
    <n v="2"/>
    <n v="1988"/>
    <x v="187"/>
  </r>
  <r>
    <x v="263"/>
    <n v="3"/>
    <n v="14"/>
    <x v="1"/>
    <n v="140410"/>
    <n v="93939"/>
    <x v="74"/>
    <n v="3"/>
    <n v="535"/>
    <x v="220"/>
  </r>
  <r>
    <x v="264"/>
    <n v="4"/>
    <n v="14"/>
    <x v="1"/>
    <n v="140410"/>
    <n v="93939"/>
    <x v="74"/>
    <n v="4"/>
    <n v="1278"/>
    <x v="258"/>
  </r>
  <r>
    <x v="265"/>
    <n v="5"/>
    <n v="14"/>
    <x v="1"/>
    <n v="140410"/>
    <n v="93940"/>
    <x v="75"/>
    <n v="5"/>
    <n v="1385"/>
    <x v="259"/>
  </r>
  <r>
    <x v="266"/>
    <n v="6"/>
    <n v="14"/>
    <x v="1"/>
    <n v="140410"/>
    <n v="93940"/>
    <x v="75"/>
    <n v="6"/>
    <n v="305"/>
    <x v="189"/>
  </r>
  <r>
    <x v="267"/>
    <n v="7"/>
    <n v="14"/>
    <x v="1"/>
    <n v="140410"/>
    <n v="93940"/>
    <x v="76"/>
    <n v="7"/>
    <n v="0"/>
    <x v="13"/>
  </r>
  <r>
    <x v="268"/>
    <n v="8"/>
    <n v="14"/>
    <x v="1"/>
    <n v="140410"/>
    <n v="93940"/>
    <x v="76"/>
    <n v="8"/>
    <n v="0"/>
    <x v="13"/>
  </r>
  <r>
    <x v="269"/>
    <n v="9"/>
    <n v="14"/>
    <x v="1"/>
    <n v="140410"/>
    <n v="93941"/>
    <x v="72"/>
    <n v="9"/>
    <n v="1273"/>
    <x v="159"/>
  </r>
  <r>
    <x v="270"/>
    <n v="10"/>
    <n v="14"/>
    <x v="1"/>
    <n v="140410"/>
    <n v="93941"/>
    <x v="72"/>
    <n v="10"/>
    <n v="1804"/>
    <x v="206"/>
  </r>
  <r>
    <x v="271"/>
    <n v="11"/>
    <n v="14"/>
    <x v="1"/>
    <n v="140410"/>
    <n v="93941"/>
    <x v="77"/>
    <n v="11"/>
    <n v="391"/>
    <x v="133"/>
  </r>
  <r>
    <x v="272"/>
    <n v="12"/>
    <n v="14"/>
    <x v="1"/>
    <n v="140410"/>
    <n v="93941"/>
    <x v="77"/>
    <n v="12"/>
    <n v="2200"/>
    <x v="9"/>
  </r>
  <r>
    <x v="273"/>
    <n v="13"/>
    <n v="14"/>
    <x v="1"/>
    <n v="140410"/>
    <n v="94254"/>
    <x v="78"/>
    <n v="13"/>
    <n v="0"/>
    <x v="13"/>
  </r>
  <r>
    <x v="274"/>
    <n v="14"/>
    <n v="14"/>
    <x v="1"/>
    <n v="140410"/>
    <n v="94254"/>
    <x v="78"/>
    <n v="14"/>
    <n v="1"/>
    <x v="6"/>
  </r>
  <r>
    <x v="275"/>
    <n v="15"/>
    <n v="14"/>
    <x v="1"/>
    <n v="140410"/>
    <n v="94254"/>
    <x v="79"/>
    <n v="15"/>
    <n v="1"/>
    <x v="6"/>
  </r>
  <r>
    <x v="276"/>
    <n v="16"/>
    <n v="14"/>
    <x v="1"/>
    <n v="140410"/>
    <n v="94254"/>
    <x v="79"/>
    <n v="16"/>
    <n v="208"/>
    <x v="257"/>
  </r>
  <r>
    <x v="261"/>
    <n v="1"/>
    <n v="14"/>
    <x v="2"/>
    <n v="140411"/>
    <n v="101517"/>
    <x v="58"/>
    <n v="1"/>
    <n v="2281"/>
    <x v="9"/>
  </r>
  <r>
    <x v="262"/>
    <n v="2"/>
    <n v="14"/>
    <x v="2"/>
    <n v="140411"/>
    <n v="101517"/>
    <x v="58"/>
    <n v="2"/>
    <n v="2114"/>
    <x v="260"/>
  </r>
  <r>
    <x v="263"/>
    <n v="3"/>
    <n v="14"/>
    <x v="2"/>
    <n v="140411"/>
    <n v="101517"/>
    <x v="74"/>
    <n v="3"/>
    <n v="720"/>
    <x v="147"/>
  </r>
  <r>
    <x v="264"/>
    <n v="4"/>
    <n v="14"/>
    <x v="2"/>
    <n v="140411"/>
    <n v="101517"/>
    <x v="74"/>
    <n v="4"/>
    <n v="1884"/>
    <x v="261"/>
  </r>
  <r>
    <x v="265"/>
    <n v="5"/>
    <n v="14"/>
    <x v="2"/>
    <n v="140411"/>
    <n v="101518"/>
    <x v="75"/>
    <n v="5"/>
    <n v="1109"/>
    <x v="262"/>
  </r>
  <r>
    <x v="266"/>
    <n v="6"/>
    <n v="14"/>
    <x v="2"/>
    <n v="140411"/>
    <n v="101518"/>
    <x v="75"/>
    <n v="6"/>
    <n v="367"/>
    <x v="179"/>
  </r>
  <r>
    <x v="267"/>
    <n v="7"/>
    <n v="14"/>
    <x v="2"/>
    <n v="140411"/>
    <n v="102358"/>
    <x v="76"/>
    <n v="7"/>
    <n v="5"/>
    <x v="8"/>
  </r>
  <r>
    <x v="268"/>
    <n v="8"/>
    <n v="14"/>
    <x v="2"/>
    <n v="140411"/>
    <n v="102358"/>
    <x v="76"/>
    <n v="8"/>
    <n v="0"/>
    <x v="13"/>
  </r>
  <r>
    <x v="269"/>
    <n v="9"/>
    <n v="14"/>
    <x v="2"/>
    <n v="140411"/>
    <n v="102359"/>
    <x v="72"/>
    <n v="9"/>
    <n v="1143"/>
    <x v="263"/>
  </r>
  <r>
    <x v="270"/>
    <n v="10"/>
    <n v="14"/>
    <x v="2"/>
    <n v="140411"/>
    <n v="102359"/>
    <x v="72"/>
    <n v="10"/>
    <n v="1848"/>
    <x v="192"/>
  </r>
  <r>
    <x v="271"/>
    <n v="11"/>
    <n v="14"/>
    <x v="2"/>
    <n v="140411"/>
    <n v="102359"/>
    <x v="77"/>
    <n v="11"/>
    <n v="755"/>
    <x v="242"/>
  </r>
  <r>
    <x v="272"/>
    <n v="12"/>
    <n v="14"/>
    <x v="2"/>
    <n v="140411"/>
    <n v="102359"/>
    <x v="77"/>
    <n v="12"/>
    <n v="2202"/>
    <x v="9"/>
  </r>
  <r>
    <x v="273"/>
    <n v="13"/>
    <n v="14"/>
    <x v="2"/>
    <n v="140411"/>
    <n v="102949"/>
    <x v="78"/>
    <n v="13"/>
    <n v="1"/>
    <x v="6"/>
  </r>
  <r>
    <x v="274"/>
    <n v="14"/>
    <n v="14"/>
    <x v="2"/>
    <n v="140411"/>
    <n v="102949"/>
    <x v="78"/>
    <n v="14"/>
    <n v="2"/>
    <x v="7"/>
  </r>
  <r>
    <x v="275"/>
    <n v="15"/>
    <n v="14"/>
    <x v="2"/>
    <n v="140411"/>
    <n v="102949"/>
    <x v="79"/>
    <n v="15"/>
    <n v="376"/>
    <x v="75"/>
  </r>
  <r>
    <x v="276"/>
    <n v="16"/>
    <n v="14"/>
    <x v="2"/>
    <n v="140411"/>
    <n v="102949"/>
    <x v="79"/>
    <n v="16"/>
    <n v="422"/>
    <x v="133"/>
  </r>
  <r>
    <x v="277"/>
    <n v="1"/>
    <n v="15"/>
    <x v="0"/>
    <n v="140412"/>
    <n v="140830"/>
    <x v="79"/>
    <n v="1"/>
    <n v="1320"/>
    <x v="264"/>
  </r>
  <r>
    <x v="278"/>
    <n v="2"/>
    <n v="15"/>
    <x v="0"/>
    <n v="140412"/>
    <n v="140830"/>
    <x v="79"/>
    <n v="2"/>
    <n v="1521"/>
    <x v="190"/>
  </r>
  <r>
    <x v="279"/>
    <n v="3"/>
    <n v="15"/>
    <x v="0"/>
    <n v="140412"/>
    <n v="140830"/>
    <x v="77"/>
    <n v="3"/>
    <n v="854"/>
    <x v="265"/>
  </r>
  <r>
    <x v="280"/>
    <n v="4"/>
    <n v="15"/>
    <x v="0"/>
    <n v="140412"/>
    <n v="140831"/>
    <x v="77"/>
    <n v="4"/>
    <n v="1647"/>
    <x v="266"/>
  </r>
  <r>
    <x v="281"/>
    <n v="5"/>
    <n v="15"/>
    <x v="0"/>
    <n v="140412"/>
    <n v="140831"/>
    <x v="63"/>
    <n v="5"/>
    <n v="4"/>
    <x v="20"/>
  </r>
  <r>
    <x v="282"/>
    <n v="6"/>
    <n v="15"/>
    <x v="0"/>
    <n v="140412"/>
    <n v="140831"/>
    <x v="63"/>
    <n v="6"/>
    <n v="14"/>
    <x v="228"/>
  </r>
  <r>
    <x v="283"/>
    <n v="7"/>
    <n v="15"/>
    <x v="0"/>
    <n v="140412"/>
    <n v="140832"/>
    <x v="80"/>
    <n v="7"/>
    <n v="293"/>
    <x v="267"/>
  </r>
  <r>
    <x v="284"/>
    <n v="8"/>
    <n v="15"/>
    <x v="0"/>
    <n v="140412"/>
    <n v="140832"/>
    <x v="80"/>
    <n v="8"/>
    <n v="4"/>
    <x v="20"/>
  </r>
  <r>
    <x v="285"/>
    <n v="9"/>
    <n v="15"/>
    <x v="0"/>
    <n v="140412"/>
    <n v="141656"/>
    <x v="81"/>
    <n v="9"/>
    <n v="5"/>
    <x v="8"/>
  </r>
  <r>
    <x v="286"/>
    <n v="10"/>
    <n v="15"/>
    <x v="0"/>
    <n v="140412"/>
    <n v="141656"/>
    <x v="81"/>
    <n v="10"/>
    <n v="3"/>
    <x v="2"/>
  </r>
  <r>
    <x v="287"/>
    <n v="11"/>
    <n v="15"/>
    <x v="0"/>
    <n v="140412"/>
    <n v="141657"/>
    <x v="74"/>
    <n v="11"/>
    <n v="899"/>
    <x v="268"/>
  </r>
  <r>
    <x v="288"/>
    <n v="12"/>
    <n v="15"/>
    <x v="0"/>
    <n v="140412"/>
    <n v="141657"/>
    <x v="74"/>
    <n v="12"/>
    <n v="860"/>
    <x v="269"/>
  </r>
  <r>
    <x v="289"/>
    <n v="13"/>
    <n v="15"/>
    <x v="0"/>
    <n v="140412"/>
    <n v="143045"/>
    <x v="82"/>
    <n v="13"/>
    <n v="6"/>
    <x v="89"/>
  </r>
  <r>
    <x v="290"/>
    <n v="14"/>
    <n v="15"/>
    <x v="0"/>
    <n v="140412"/>
    <n v="143045"/>
    <x v="82"/>
    <n v="14"/>
    <n v="5"/>
    <x v="8"/>
  </r>
  <r>
    <x v="291"/>
    <n v="15"/>
    <n v="15"/>
    <x v="0"/>
    <n v="140412"/>
    <n v="143045"/>
    <x v="76"/>
    <n v="15"/>
    <n v="5"/>
    <x v="8"/>
  </r>
  <r>
    <x v="292"/>
    <n v="16"/>
    <n v="15"/>
    <x v="0"/>
    <n v="140412"/>
    <n v="143045"/>
    <x v="76"/>
    <n v="16"/>
    <n v="1"/>
    <x v="6"/>
  </r>
  <r>
    <x v="277"/>
    <n v="1"/>
    <n v="15"/>
    <x v="1"/>
    <n v="140413"/>
    <n v="115816"/>
    <x v="79"/>
    <n v="1"/>
    <n v="1228"/>
    <x v="270"/>
  </r>
  <r>
    <x v="278"/>
    <n v="2"/>
    <n v="15"/>
    <x v="1"/>
    <n v="140413"/>
    <n v="115816"/>
    <x v="79"/>
    <n v="2"/>
    <n v="1817"/>
    <x v="271"/>
  </r>
  <r>
    <x v="279"/>
    <n v="3"/>
    <n v="15"/>
    <x v="1"/>
    <n v="140413"/>
    <n v="120547"/>
    <x v="77"/>
    <n v="3"/>
    <n v="1519"/>
    <x v="272"/>
  </r>
  <r>
    <x v="280"/>
    <n v="4"/>
    <n v="15"/>
    <x v="1"/>
    <n v="140413"/>
    <n v="120548"/>
    <x v="77"/>
    <n v="4"/>
    <n v="2188"/>
    <x v="273"/>
  </r>
  <r>
    <x v="281"/>
    <n v="5"/>
    <n v="15"/>
    <x v="1"/>
    <n v="140413"/>
    <n v="115817"/>
    <x v="63"/>
    <n v="5"/>
    <n v="1"/>
    <x v="6"/>
  </r>
  <r>
    <x v="282"/>
    <n v="6"/>
    <n v="15"/>
    <x v="1"/>
    <n v="140413"/>
    <n v="115818"/>
    <x v="63"/>
    <n v="6"/>
    <n v="0"/>
    <x v="13"/>
  </r>
  <r>
    <x v="283"/>
    <n v="7"/>
    <n v="15"/>
    <x v="1"/>
    <n v="140413"/>
    <n v="120548"/>
    <x v="80"/>
    <n v="7"/>
    <n v="516"/>
    <x v="131"/>
  </r>
  <r>
    <x v="284"/>
    <n v="8"/>
    <n v="15"/>
    <x v="1"/>
    <n v="140413"/>
    <n v="120548"/>
    <x v="80"/>
    <n v="8"/>
    <n v="2"/>
    <x v="7"/>
  </r>
  <r>
    <x v="285"/>
    <n v="9"/>
    <n v="15"/>
    <x v="1"/>
    <n v="140413"/>
    <n v="122338"/>
    <x v="81"/>
    <n v="9"/>
    <n v="2"/>
    <x v="7"/>
  </r>
  <r>
    <x v="286"/>
    <n v="10"/>
    <n v="15"/>
    <x v="1"/>
    <n v="140413"/>
    <n v="122338"/>
    <x v="81"/>
    <n v="10"/>
    <n v="2"/>
    <x v="7"/>
  </r>
  <r>
    <x v="287"/>
    <n v="11"/>
    <n v="15"/>
    <x v="1"/>
    <n v="140413"/>
    <n v="122338"/>
    <x v="74"/>
    <n v="11"/>
    <n v="414"/>
    <x v="122"/>
  </r>
  <r>
    <x v="288"/>
    <n v="12"/>
    <n v="15"/>
    <x v="1"/>
    <n v="140413"/>
    <n v="122338"/>
    <x v="74"/>
    <n v="12"/>
    <n v="422"/>
    <x v="47"/>
  </r>
  <r>
    <x v="289"/>
    <n v="13"/>
    <n v="15"/>
    <x v="1"/>
    <n v="140413"/>
    <n v="121310"/>
    <x v="82"/>
    <n v="13"/>
    <n v="2"/>
    <x v="7"/>
  </r>
  <r>
    <x v="290"/>
    <n v="14"/>
    <n v="15"/>
    <x v="1"/>
    <n v="140413"/>
    <n v="121310"/>
    <x v="82"/>
    <n v="14"/>
    <n v="1"/>
    <x v="6"/>
  </r>
  <r>
    <x v="291"/>
    <n v="15"/>
    <n v="15"/>
    <x v="1"/>
    <n v="140413"/>
    <n v="121310"/>
    <x v="76"/>
    <n v="15"/>
    <n v="0"/>
    <x v="13"/>
  </r>
  <r>
    <x v="292"/>
    <n v="16"/>
    <n v="15"/>
    <x v="1"/>
    <n v="140413"/>
    <n v="121310"/>
    <x v="76"/>
    <n v="16"/>
    <n v="1"/>
    <x v="6"/>
  </r>
  <r>
    <x v="277"/>
    <n v="1"/>
    <n v="15"/>
    <x v="2"/>
    <n v="140414"/>
    <n v="102127"/>
    <x v="79"/>
    <n v="1"/>
    <n v="1516"/>
    <x v="44"/>
  </r>
  <r>
    <x v="278"/>
    <n v="2"/>
    <n v="15"/>
    <x v="2"/>
    <n v="140414"/>
    <n v="100930"/>
    <x v="79"/>
    <n v="2"/>
    <n v="1955"/>
    <x v="274"/>
  </r>
  <r>
    <x v="279"/>
    <n v="3"/>
    <n v="15"/>
    <x v="2"/>
    <n v="140414"/>
    <n v="100930"/>
    <x v="77"/>
    <n v="3"/>
    <n v="2169"/>
    <x v="275"/>
  </r>
  <r>
    <x v="280"/>
    <n v="4"/>
    <n v="15"/>
    <x v="2"/>
    <n v="140414"/>
    <n v="100930"/>
    <x v="77"/>
    <n v="4"/>
    <n v="2216"/>
    <x v="9"/>
  </r>
  <r>
    <x v="281"/>
    <n v="5"/>
    <n v="15"/>
    <x v="2"/>
    <n v="140414"/>
    <n v="100931"/>
    <x v="63"/>
    <n v="5"/>
    <n v="1"/>
    <x v="6"/>
  </r>
  <r>
    <x v="282"/>
    <n v="6"/>
    <n v="15"/>
    <x v="2"/>
    <n v="140414"/>
    <n v="100931"/>
    <x v="63"/>
    <n v="6"/>
    <n v="1"/>
    <x v="6"/>
  </r>
  <r>
    <x v="283"/>
    <n v="7"/>
    <n v="15"/>
    <x v="2"/>
    <n v="140414"/>
    <n v="100931"/>
    <x v="80"/>
    <n v="7"/>
    <n v="336"/>
    <x v="124"/>
  </r>
  <r>
    <x v="284"/>
    <n v="8"/>
    <n v="15"/>
    <x v="2"/>
    <n v="140414"/>
    <n v="100931"/>
    <x v="80"/>
    <n v="8"/>
    <n v="2"/>
    <x v="7"/>
  </r>
  <r>
    <x v="285"/>
    <n v="9"/>
    <n v="15"/>
    <x v="2"/>
    <n v="140414"/>
    <n v="102127"/>
    <x v="81"/>
    <n v="9"/>
    <n v="2"/>
    <x v="7"/>
  </r>
  <r>
    <x v="286"/>
    <n v="10"/>
    <n v="15"/>
    <x v="2"/>
    <n v="140414"/>
    <n v="102128"/>
    <x v="81"/>
    <n v="10"/>
    <n v="0"/>
    <x v="13"/>
  </r>
  <r>
    <x v="287"/>
    <n v="11"/>
    <n v="15"/>
    <x v="2"/>
    <n v="140414"/>
    <n v="102128"/>
    <x v="74"/>
    <n v="11"/>
    <n v="1099"/>
    <x v="103"/>
  </r>
  <r>
    <x v="288"/>
    <n v="12"/>
    <n v="15"/>
    <x v="2"/>
    <n v="140414"/>
    <n v="103426"/>
    <x v="74"/>
    <n v="12"/>
    <n v="296"/>
    <x v="189"/>
  </r>
  <r>
    <x v="289"/>
    <n v="13"/>
    <n v="15"/>
    <x v="2"/>
    <n v="140414"/>
    <n v="102342"/>
    <x v="82"/>
    <n v="13"/>
    <n v="539"/>
    <x v="276"/>
  </r>
  <r>
    <x v="290"/>
    <n v="14"/>
    <n v="15"/>
    <x v="2"/>
    <n v="140414"/>
    <n v="101559"/>
    <x v="82"/>
    <n v="14"/>
    <n v="213"/>
    <x v="229"/>
  </r>
  <r>
    <x v="291"/>
    <n v="15"/>
    <n v="15"/>
    <x v="2"/>
    <n v="140414"/>
    <n v="101559"/>
    <x v="76"/>
    <n v="15"/>
    <n v="2"/>
    <x v="7"/>
  </r>
  <r>
    <x v="292"/>
    <n v="16"/>
    <n v="15"/>
    <x v="2"/>
    <n v="140414"/>
    <n v="101559"/>
    <x v="76"/>
    <n v="16"/>
    <n v="1"/>
    <x v="6"/>
  </r>
  <r>
    <x v="293"/>
    <n v="1"/>
    <n v="16"/>
    <x v="0"/>
    <n v="140415"/>
    <n v="95923"/>
    <x v="72"/>
    <n v="1"/>
    <n v="573"/>
    <x v="277"/>
  </r>
  <r>
    <x v="294"/>
    <n v="2"/>
    <n v="16"/>
    <x v="0"/>
    <n v="140415"/>
    <n v="95923"/>
    <x v="72"/>
    <n v="2"/>
    <n v="5"/>
    <x v="8"/>
  </r>
  <r>
    <x v="295"/>
    <n v="3"/>
    <n v="16"/>
    <x v="0"/>
    <n v="140415"/>
    <n v="95809"/>
    <x v="83"/>
    <n v="3"/>
    <n v="49"/>
    <x v="278"/>
  </r>
  <r>
    <x v="296"/>
    <n v="4"/>
    <n v="16"/>
    <x v="0"/>
    <n v="140415"/>
    <n v="95810"/>
    <x v="83"/>
    <n v="4"/>
    <n v="286"/>
    <x v="233"/>
  </r>
  <r>
    <x v="297"/>
    <n v="5"/>
    <n v="16"/>
    <x v="0"/>
    <n v="140415"/>
    <n v="95810"/>
    <x v="83"/>
    <n v="5"/>
    <n v="22"/>
    <x v="172"/>
  </r>
  <r>
    <x v="298"/>
    <n v="6"/>
    <n v="16"/>
    <x v="0"/>
    <n v="140415"/>
    <n v="95810"/>
    <x v="82"/>
    <n v="6"/>
    <n v="380"/>
    <x v="109"/>
  </r>
  <r>
    <x v="299"/>
    <n v="7"/>
    <n v="16"/>
    <x v="0"/>
    <n v="140415"/>
    <n v="95811"/>
    <x v="82"/>
    <n v="7"/>
    <n v="0"/>
    <x v="13"/>
  </r>
  <r>
    <x v="300"/>
    <n v="8"/>
    <n v="16"/>
    <x v="0"/>
    <n v="140415"/>
    <n v="95811"/>
    <x v="82"/>
    <n v="8"/>
    <n v="5"/>
    <x v="8"/>
  </r>
  <r>
    <x v="301"/>
    <n v="9"/>
    <n v="16"/>
    <x v="0"/>
    <n v="140415"/>
    <n v="100714"/>
    <x v="84"/>
    <n v="9"/>
    <n v="1507"/>
    <x v="279"/>
  </r>
  <r>
    <x v="302"/>
    <n v="10"/>
    <n v="16"/>
    <x v="0"/>
    <n v="140415"/>
    <n v="100715"/>
    <x v="84"/>
    <n v="10"/>
    <n v="643"/>
    <x v="163"/>
  </r>
  <r>
    <x v="303"/>
    <n v="11"/>
    <n v="16"/>
    <x v="0"/>
    <n v="140415"/>
    <n v="100715"/>
    <x v="63"/>
    <n v="11"/>
    <n v="1"/>
    <x v="6"/>
  </r>
  <r>
    <x v="304"/>
    <n v="12"/>
    <n v="16"/>
    <x v="0"/>
    <n v="140415"/>
    <n v="102745"/>
    <x v="85"/>
    <n v="12"/>
    <n v="2"/>
    <x v="7"/>
  </r>
  <r>
    <x v="305"/>
    <n v="13"/>
    <n v="16"/>
    <x v="0"/>
    <n v="140415"/>
    <n v="101638"/>
    <x v="85"/>
    <n v="13"/>
    <n v="17"/>
    <x v="64"/>
  </r>
  <r>
    <x v="306"/>
    <n v="14"/>
    <n v="16"/>
    <x v="0"/>
    <n v="140415"/>
    <n v="101311"/>
    <x v="58"/>
    <n v="14"/>
    <n v="7"/>
    <x v="8"/>
  </r>
  <r>
    <x v="307"/>
    <n v="15"/>
    <n v="16"/>
    <x v="0"/>
    <n v="140415"/>
    <n v="101311"/>
    <x v="58"/>
    <n v="15"/>
    <n v="2"/>
    <x v="7"/>
  </r>
  <r>
    <x v="308"/>
    <n v="16"/>
    <n v="16"/>
    <x v="0"/>
    <n v="140415"/>
    <n v="100949"/>
    <x v="63"/>
    <n v="16"/>
    <n v="0"/>
    <x v="13"/>
  </r>
  <r>
    <x v="293"/>
    <n v="1"/>
    <n v="16"/>
    <x v="1"/>
    <n v="140416"/>
    <n v="91828"/>
    <x v="72"/>
    <n v="1"/>
    <n v="358"/>
    <x v="21"/>
  </r>
  <r>
    <x v="294"/>
    <n v="2"/>
    <n v="16"/>
    <x v="1"/>
    <n v="140416"/>
    <n v="91828"/>
    <x v="72"/>
    <n v="2"/>
    <n v="0"/>
    <x v="13"/>
  </r>
  <r>
    <x v="295"/>
    <n v="3"/>
    <n v="16"/>
    <x v="1"/>
    <n v="140416"/>
    <n v="92019"/>
    <x v="83"/>
    <n v="3"/>
    <n v="176"/>
    <x v="229"/>
  </r>
  <r>
    <x v="296"/>
    <n v="4"/>
    <n v="16"/>
    <x v="1"/>
    <n v="140416"/>
    <n v="92019"/>
    <x v="83"/>
    <n v="4"/>
    <n v="282"/>
    <x v="233"/>
  </r>
  <r>
    <x v="297"/>
    <n v="5"/>
    <n v="16"/>
    <x v="1"/>
    <n v="140416"/>
    <n v="91828"/>
    <x v="83"/>
    <n v="5"/>
    <n v="428"/>
    <x v="47"/>
  </r>
  <r>
    <x v="298"/>
    <n v="6"/>
    <n v="16"/>
    <x v="1"/>
    <n v="140416"/>
    <n v="91924"/>
    <x v="82"/>
    <n v="6"/>
    <n v="601"/>
    <x v="235"/>
  </r>
  <r>
    <x v="299"/>
    <n v="7"/>
    <n v="16"/>
    <x v="1"/>
    <n v="140416"/>
    <n v="92350"/>
    <x v="82"/>
    <n v="7"/>
    <n v="3"/>
    <x v="2"/>
  </r>
  <r>
    <x v="300"/>
    <n v="8"/>
    <n v="16"/>
    <x v="1"/>
    <n v="140416"/>
    <n v="92315"/>
    <x v="82"/>
    <n v="8"/>
    <n v="3"/>
    <x v="2"/>
  </r>
  <r>
    <x v="301"/>
    <n v="9"/>
    <n v="16"/>
    <x v="1"/>
    <n v="140416"/>
    <n v="93952"/>
    <x v="84"/>
    <n v="9"/>
    <n v="696"/>
    <x v="280"/>
  </r>
  <r>
    <x v="302"/>
    <n v="10"/>
    <n v="16"/>
    <x v="1"/>
    <n v="140416"/>
    <n v="93952"/>
    <x v="84"/>
    <n v="10"/>
    <n v="1000"/>
    <x v="281"/>
  </r>
  <r>
    <x v="303"/>
    <n v="11"/>
    <n v="16"/>
    <x v="1"/>
    <n v="140416"/>
    <n v="93800"/>
    <x v="63"/>
    <n v="11"/>
    <n v="0"/>
    <x v="13"/>
  </r>
  <r>
    <x v="304"/>
    <n v="12"/>
    <n v="16"/>
    <x v="1"/>
    <n v="140416"/>
    <n v="95426"/>
    <x v="85"/>
    <n v="12"/>
    <n v="0"/>
    <x v="13"/>
  </r>
  <r>
    <x v="305"/>
    <n v="13"/>
    <n v="16"/>
    <x v="1"/>
    <n v="140416"/>
    <n v="95330"/>
    <x v="85"/>
    <n v="13"/>
    <n v="3"/>
    <x v="2"/>
  </r>
  <r>
    <x v="306"/>
    <n v="14"/>
    <n v="16"/>
    <x v="1"/>
    <n v="140416"/>
    <n v="93229"/>
    <x v="58"/>
    <n v="14"/>
    <n v="2772"/>
    <x v="26"/>
  </r>
  <r>
    <x v="307"/>
    <n v="15"/>
    <n v="16"/>
    <x v="1"/>
    <n v="140416"/>
    <n v="93229"/>
    <x v="58"/>
    <n v="15"/>
    <n v="2"/>
    <x v="7"/>
  </r>
  <r>
    <x v="308"/>
    <n v="16"/>
    <n v="16"/>
    <x v="1"/>
    <n v="140416"/>
    <n v="93229"/>
    <x v="63"/>
    <n v="16"/>
    <n v="0"/>
    <x v="13"/>
  </r>
  <r>
    <x v="293"/>
    <n v="1"/>
    <n v="16"/>
    <x v="2"/>
    <n v="140417"/>
    <n v="85801"/>
    <x v="72"/>
    <n v="1"/>
    <n v="330"/>
    <x v="114"/>
  </r>
  <r>
    <x v="294"/>
    <n v="2"/>
    <n v="16"/>
    <x v="2"/>
    <n v="140417"/>
    <n v="85801"/>
    <x v="72"/>
    <n v="2"/>
    <n v="0"/>
    <x v="13"/>
  </r>
  <r>
    <x v="295"/>
    <n v="3"/>
    <n v="16"/>
    <x v="2"/>
    <n v="140417"/>
    <n v="85801"/>
    <x v="83"/>
    <n v="3"/>
    <n v="151"/>
    <x v="209"/>
  </r>
  <r>
    <x v="296"/>
    <n v="4"/>
    <n v="16"/>
    <x v="2"/>
    <n v="140417"/>
    <n v="85801"/>
    <x v="83"/>
    <n v="4"/>
    <n v="308"/>
    <x v="189"/>
  </r>
  <r>
    <x v="297"/>
    <n v="5"/>
    <n v="16"/>
    <x v="2"/>
    <n v="140417"/>
    <n v="85801"/>
    <x v="83"/>
    <n v="5"/>
    <n v="623"/>
    <x v="92"/>
  </r>
  <r>
    <x v="298"/>
    <n v="6"/>
    <n v="16"/>
    <x v="2"/>
    <n v="140417"/>
    <n v="85802"/>
    <x v="82"/>
    <n v="6"/>
    <n v="942"/>
    <x v="188"/>
  </r>
  <r>
    <x v="299"/>
    <n v="7"/>
    <n v="16"/>
    <x v="2"/>
    <n v="140417"/>
    <n v="85802"/>
    <x v="82"/>
    <n v="7"/>
    <n v="1"/>
    <x v="6"/>
  </r>
  <r>
    <x v="300"/>
    <n v="8"/>
    <n v="16"/>
    <x v="2"/>
    <n v="140417"/>
    <n v="85802"/>
    <x v="82"/>
    <n v="8"/>
    <n v="0"/>
    <x v="13"/>
  </r>
  <r>
    <x v="301"/>
    <n v="9"/>
    <n v="16"/>
    <x v="2"/>
    <n v="140417"/>
    <n v="85802"/>
    <x v="84"/>
    <n v="9"/>
    <n v="937"/>
    <x v="282"/>
  </r>
  <r>
    <x v="302"/>
    <n v="10"/>
    <n v="16"/>
    <x v="2"/>
    <n v="140417"/>
    <n v="85802"/>
    <x v="84"/>
    <n v="10"/>
    <n v="1705"/>
    <x v="283"/>
  </r>
  <r>
    <x v="303"/>
    <n v="11"/>
    <n v="16"/>
    <x v="2"/>
    <n v="140417"/>
    <n v="85802"/>
    <x v="63"/>
    <n v="11"/>
    <n v="0"/>
    <x v="13"/>
  </r>
  <r>
    <x v="304"/>
    <n v="12"/>
    <n v="16"/>
    <x v="2"/>
    <n v="140417"/>
    <n v="90326"/>
    <x v="85"/>
    <n v="12"/>
    <n v="0"/>
    <x v="13"/>
  </r>
  <r>
    <x v="305"/>
    <n v="13"/>
    <n v="16"/>
    <x v="2"/>
    <n v="140417"/>
    <n v="90310"/>
    <x v="85"/>
    <n v="13"/>
    <n v="51"/>
    <x v="110"/>
  </r>
  <r>
    <x v="306"/>
    <n v="14"/>
    <n v="16"/>
    <x v="2"/>
    <n v="140417"/>
    <n v="90127"/>
    <x v="58"/>
    <n v="14"/>
    <n v="2612"/>
    <x v="9"/>
  </r>
  <r>
    <x v="307"/>
    <n v="15"/>
    <n v="16"/>
    <x v="2"/>
    <n v="140417"/>
    <n v="90127"/>
    <x v="58"/>
    <n v="15"/>
    <n v="0"/>
    <x v="13"/>
  </r>
  <r>
    <x v="308"/>
    <n v="16"/>
    <n v="16"/>
    <x v="2"/>
    <n v="140417"/>
    <n v="90127"/>
    <x v="63"/>
    <n v="16"/>
    <n v="1"/>
    <x v="6"/>
  </r>
  <r>
    <x v="309"/>
    <m/>
    <m/>
    <x v="3"/>
    <m/>
    <m/>
    <x v="86"/>
    <m/>
    <m/>
    <x v="284"/>
  </r>
  <r>
    <x v="309"/>
    <m/>
    <m/>
    <x v="3"/>
    <m/>
    <m/>
    <x v="86"/>
    <m/>
    <m/>
    <x v="284"/>
  </r>
  <r>
    <x v="309"/>
    <m/>
    <m/>
    <x v="3"/>
    <m/>
    <m/>
    <x v="86"/>
    <m/>
    <m/>
    <x v="284"/>
  </r>
  <r>
    <x v="309"/>
    <m/>
    <m/>
    <x v="3"/>
    <m/>
    <m/>
    <x v="86"/>
    <m/>
    <m/>
    <x v="284"/>
  </r>
  <r>
    <x v="309"/>
    <m/>
    <m/>
    <x v="3"/>
    <m/>
    <m/>
    <x v="86"/>
    <m/>
    <m/>
    <x v="284"/>
  </r>
  <r>
    <x v="309"/>
    <m/>
    <m/>
    <x v="3"/>
    <m/>
    <m/>
    <x v="86"/>
    <m/>
    <m/>
    <x v="284"/>
  </r>
  <r>
    <x v="309"/>
    <m/>
    <m/>
    <x v="3"/>
    <m/>
    <m/>
    <x v="86"/>
    <m/>
    <m/>
    <x v="284"/>
  </r>
  <r>
    <x v="309"/>
    <m/>
    <m/>
    <x v="3"/>
    <m/>
    <m/>
    <x v="86"/>
    <m/>
    <m/>
    <x v="284"/>
  </r>
  <r>
    <x v="309"/>
    <m/>
    <m/>
    <x v="3"/>
    <m/>
    <m/>
    <x v="86"/>
    <m/>
    <m/>
    <x v="284"/>
  </r>
  <r>
    <x v="309"/>
    <m/>
    <m/>
    <x v="3"/>
    <m/>
    <m/>
    <x v="86"/>
    <m/>
    <m/>
    <x v="284"/>
  </r>
  <r>
    <x v="309"/>
    <m/>
    <m/>
    <x v="3"/>
    <m/>
    <m/>
    <x v="86"/>
    <m/>
    <m/>
    <x v="284"/>
  </r>
  <r>
    <x v="309"/>
    <m/>
    <m/>
    <x v="3"/>
    <m/>
    <m/>
    <x v="86"/>
    <m/>
    <m/>
    <x v="284"/>
  </r>
  <r>
    <x v="309"/>
    <m/>
    <m/>
    <x v="3"/>
    <m/>
    <m/>
    <x v="86"/>
    <m/>
    <m/>
    <x v="284"/>
  </r>
</pivotCacheRecords>
</file>

<file path=xl/pivotCache/pivotCacheRecords2.xml><?xml version="1.0" encoding="utf-8"?>
<pivotCacheRecords xmlns="http://schemas.openxmlformats.org/spreadsheetml/2006/main" xmlns:r="http://schemas.openxmlformats.org/officeDocument/2006/relationships" count="406">
  <r>
    <x v="0"/>
    <x v="0"/>
    <n v="6452"/>
    <n v="1464"/>
    <n v="2044"/>
    <n v="464"/>
    <n v="2237"/>
    <n v="500"/>
    <n v="2171"/>
    <n v="500"/>
  </r>
  <r>
    <x v="0"/>
    <x v="1"/>
    <n v="5467"/>
    <n v="1242"/>
    <n v="2071"/>
    <n v="440"/>
    <n v="1223"/>
    <n v="302"/>
    <n v="2173"/>
    <n v="500"/>
  </r>
  <r>
    <x v="1"/>
    <x v="2"/>
    <n v="25"/>
    <n v="24"/>
    <n v="3"/>
    <n v="3"/>
    <n v="2"/>
    <n v="2"/>
    <n v="20"/>
    <n v="19"/>
  </r>
  <r>
    <x v="1"/>
    <x v="3"/>
    <n v="35"/>
    <n v="33"/>
    <n v="8"/>
    <n v="8"/>
    <n v="3"/>
    <n v="3"/>
    <n v="24"/>
    <n v="22"/>
  </r>
  <r>
    <x v="2"/>
    <x v="4"/>
    <n v="1098"/>
    <n v="383"/>
    <n v="38"/>
    <n v="34"/>
    <n v="300"/>
    <n v="128"/>
    <n v="760"/>
    <n v="221"/>
  </r>
  <r>
    <x v="2"/>
    <x v="5"/>
    <n v="2332"/>
    <n v="622"/>
    <n v="35"/>
    <n v="32"/>
    <n v="303"/>
    <n v="128"/>
    <n v="1994"/>
    <n v="462"/>
  </r>
  <r>
    <x v="3"/>
    <x v="6"/>
    <n v="2"/>
    <n v="2"/>
    <n v="1"/>
    <n v="1"/>
    <n v="0"/>
    <n v="0"/>
    <n v="1"/>
    <n v="1"/>
  </r>
  <r>
    <x v="3"/>
    <x v="7"/>
    <n v="3"/>
    <n v="3"/>
    <n v="2"/>
    <n v="2"/>
    <n v="0"/>
    <n v="0"/>
    <n v="1"/>
    <n v="1"/>
  </r>
  <r>
    <x v="4"/>
    <x v="8"/>
    <n v="25"/>
    <n v="25"/>
    <n v="5"/>
    <n v="5"/>
    <n v="5"/>
    <n v="5"/>
    <n v="15"/>
    <n v="15"/>
  </r>
  <r>
    <x v="4"/>
    <x v="9"/>
    <n v="397"/>
    <n v="154"/>
    <n v="5"/>
    <n v="5"/>
    <n v="4"/>
    <n v="3"/>
    <n v="388"/>
    <n v="146"/>
  </r>
  <r>
    <x v="5"/>
    <x v="10"/>
    <n v="6483"/>
    <n v="1500"/>
    <n v="2160"/>
    <n v="500"/>
    <n v="2165"/>
    <n v="500"/>
    <n v="2158"/>
    <n v="500"/>
  </r>
  <r>
    <x v="5"/>
    <x v="11"/>
    <n v="5569"/>
    <n v="1312"/>
    <n v="1230"/>
    <n v="312"/>
    <n v="2174"/>
    <n v="500"/>
    <n v="2165"/>
    <n v="500"/>
  </r>
  <r>
    <x v="6"/>
    <x v="12"/>
    <n v="11"/>
    <n v="11"/>
    <n v="4"/>
    <n v="4"/>
    <n v="5"/>
    <n v="5"/>
    <n v="2"/>
    <n v="2"/>
  </r>
  <r>
    <x v="6"/>
    <x v="13"/>
    <n v="2506"/>
    <n v="631"/>
    <n v="5"/>
    <n v="5"/>
    <n v="363"/>
    <n v="142"/>
    <n v="2138"/>
    <n v="484"/>
  </r>
  <r>
    <x v="7"/>
    <x v="14"/>
    <n v="6502"/>
    <n v="1500"/>
    <n v="2171"/>
    <n v="500"/>
    <n v="2167"/>
    <n v="500"/>
    <n v="2164"/>
    <n v="500"/>
  </r>
  <r>
    <x v="7"/>
    <x v="15"/>
    <n v="4690"/>
    <n v="1137"/>
    <n v="359"/>
    <n v="137"/>
    <n v="2173"/>
    <n v="500"/>
    <n v="2158"/>
    <n v="500"/>
  </r>
  <r>
    <x v="8"/>
    <x v="16"/>
    <n v="7105"/>
    <n v="1500"/>
    <n v="2294"/>
    <n v="500"/>
    <n v="2435"/>
    <n v="500"/>
    <n v="2376"/>
    <n v="500"/>
  </r>
  <r>
    <x v="8"/>
    <x v="17"/>
    <n v="4367"/>
    <n v="1015"/>
    <n v="15"/>
    <n v="15"/>
    <n v="2174"/>
    <n v="500"/>
    <n v="2178"/>
    <n v="500"/>
  </r>
  <r>
    <x v="9"/>
    <x v="18"/>
    <n v="6126"/>
    <n v="1388"/>
    <n v="1636"/>
    <n v="388"/>
    <n v="2256"/>
    <n v="500"/>
    <n v="2234"/>
    <n v="500"/>
  </r>
  <r>
    <x v="9"/>
    <x v="19"/>
    <n v="4583"/>
    <n v="1118"/>
    <n v="942"/>
    <n v="258"/>
    <n v="2098"/>
    <n v="486"/>
    <n v="1543"/>
    <n v="374"/>
  </r>
  <r>
    <x v="10"/>
    <x v="20"/>
    <n v="803"/>
    <n v="302"/>
    <n v="5"/>
    <n v="5"/>
    <n v="186"/>
    <n v="107"/>
    <n v="612"/>
    <n v="190"/>
  </r>
  <r>
    <x v="10"/>
    <x v="21"/>
    <n v="12"/>
    <n v="12"/>
    <n v="4"/>
    <n v="4"/>
    <n v="3"/>
    <n v="3"/>
    <n v="5"/>
    <n v="5"/>
  </r>
  <r>
    <x v="11"/>
    <x v="22"/>
    <n v="1689"/>
    <n v="545"/>
    <n v="364"/>
    <n v="142"/>
    <n v="738"/>
    <n v="216"/>
    <n v="587"/>
    <n v="187"/>
  </r>
  <r>
    <x v="11"/>
    <x v="23"/>
    <n v="2702"/>
    <n v="742"/>
    <n v="1383"/>
    <n v="341"/>
    <n v="1013"/>
    <n v="270"/>
    <n v="306"/>
    <n v="131"/>
  </r>
  <r>
    <x v="12"/>
    <x v="24"/>
    <n v="4945"/>
    <n v="1176"/>
    <n v="1314"/>
    <n v="327"/>
    <n v="1913"/>
    <n v="442"/>
    <n v="1718"/>
    <n v="407"/>
  </r>
  <r>
    <x v="12"/>
    <x v="25"/>
    <n v="4216"/>
    <n v="1034"/>
    <n v="1487"/>
    <n v="360"/>
    <n v="1463"/>
    <n v="355"/>
    <n v="1266"/>
    <n v="319"/>
  </r>
  <r>
    <x v="12"/>
    <x v="26"/>
    <n v="4"/>
    <n v="4"/>
    <n v="3"/>
    <n v="3"/>
    <n v="0"/>
    <n v="0"/>
    <n v="1"/>
    <n v="1"/>
  </r>
  <r>
    <x v="13"/>
    <x v="27"/>
    <n v="10"/>
    <n v="10"/>
    <n v="10"/>
    <n v="10"/>
    <n v="0"/>
    <n v="0"/>
    <n v="0"/>
    <n v="0"/>
  </r>
  <r>
    <x v="13"/>
    <x v="28"/>
    <n v="2055"/>
    <n v="574"/>
    <n v="42"/>
    <n v="40"/>
    <n v="710"/>
    <n v="209"/>
    <n v="1303"/>
    <n v="325"/>
  </r>
  <r>
    <x v="14"/>
    <x v="29"/>
    <n v="2912"/>
    <n v="772"/>
    <n v="174"/>
    <n v="103"/>
    <n v="819"/>
    <n v="228"/>
    <n v="1919"/>
    <n v="441"/>
  </r>
  <r>
    <x v="14"/>
    <x v="30"/>
    <n v="1199"/>
    <n v="443"/>
    <n v="199"/>
    <n v="107"/>
    <n v="432"/>
    <n v="153"/>
    <n v="568"/>
    <n v="183"/>
  </r>
  <r>
    <x v="15"/>
    <x v="31"/>
    <n v="2712"/>
    <n v="735"/>
    <n v="593"/>
    <n v="184"/>
    <n v="1032"/>
    <n v="270"/>
    <n v="1087"/>
    <n v="281"/>
  </r>
  <r>
    <x v="15"/>
    <x v="32"/>
    <n v="9"/>
    <n v="9"/>
    <n v="8"/>
    <n v="8"/>
    <n v="0"/>
    <n v="0"/>
    <n v="1"/>
    <n v="1"/>
  </r>
  <r>
    <x v="15"/>
    <x v="33"/>
    <n v="-9"/>
    <n v="-9"/>
    <n v="-9"/>
    <n v="-9"/>
    <n v="-9"/>
    <n v="-9"/>
    <n v="-9"/>
    <n v="-9"/>
  </r>
  <r>
    <x v="16"/>
    <x v="34"/>
    <n v="2061"/>
    <n v="611"/>
    <n v="261"/>
    <n v="120"/>
    <n v="1155"/>
    <n v="295"/>
    <n v="645"/>
    <n v="196"/>
  </r>
  <r>
    <x v="17"/>
    <x v="35"/>
    <n v="5037"/>
    <n v="1174"/>
    <n v="1645"/>
    <n v="388"/>
    <n v="1830"/>
    <n v="420"/>
    <n v="1562"/>
    <n v="366"/>
  </r>
  <r>
    <x v="18"/>
    <x v="36"/>
    <n v="4456"/>
    <n v="994"/>
    <n v="1568"/>
    <n v="348"/>
    <n v="1475"/>
    <n v="334"/>
    <n v="1413"/>
    <n v="312"/>
  </r>
  <r>
    <x v="18"/>
    <x v="37"/>
    <n v="3280"/>
    <n v="833"/>
    <n v="742"/>
    <n v="210"/>
    <n v="1382"/>
    <n v="334"/>
    <n v="1156"/>
    <n v="289"/>
  </r>
  <r>
    <x v="18"/>
    <x v="38"/>
    <n v="5491"/>
    <n v="1244"/>
    <n v="1464"/>
    <n v="340"/>
    <n v="1994"/>
    <n v="445"/>
    <n v="2033"/>
    <n v="459"/>
  </r>
  <r>
    <x v="19"/>
    <x v="39"/>
    <n v="1854"/>
    <n v="550"/>
    <n v="476"/>
    <n v="154"/>
    <n v="610"/>
    <n v="183"/>
    <n v="768"/>
    <n v="213"/>
  </r>
  <r>
    <x v="19"/>
    <x v="40"/>
    <n v="3772"/>
    <n v="940"/>
    <n v="1633"/>
    <n v="388"/>
    <n v="1040"/>
    <n v="266"/>
    <n v="1099"/>
    <n v="286"/>
  </r>
  <r>
    <x v="20"/>
    <x v="41"/>
    <n v="963"/>
    <n v="275"/>
    <n v="18"/>
    <n v="17"/>
    <n v="0"/>
    <n v="0"/>
    <n v="945"/>
    <n v="258"/>
  </r>
  <r>
    <x v="20"/>
    <x v="42"/>
    <n v="2366"/>
    <n v="677"/>
    <n v="280"/>
    <n v="124"/>
    <n v="467"/>
    <n v="161"/>
    <n v="1619"/>
    <n v="392"/>
  </r>
  <r>
    <x v="20"/>
    <x v="43"/>
    <n v="2791"/>
    <n v="762"/>
    <n v="1006"/>
    <n v="266"/>
    <n v="678"/>
    <n v="205"/>
    <n v="1107"/>
    <n v="291"/>
  </r>
  <r>
    <x v="21"/>
    <x v="44"/>
    <n v="1716"/>
    <n v="540"/>
    <n v="138"/>
    <n v="91"/>
    <n v="378"/>
    <n v="143"/>
    <n v="1200"/>
    <n v="306"/>
  </r>
  <r>
    <x v="21"/>
    <x v="45"/>
    <n v="6202"/>
    <n v="1434"/>
    <n v="1887"/>
    <n v="444"/>
    <n v="2162"/>
    <n v="497"/>
    <n v="2153"/>
    <n v="493"/>
  </r>
  <r>
    <x v="21"/>
    <x v="46"/>
    <n v="5011"/>
    <n v="1207"/>
    <n v="1168"/>
    <n v="303"/>
    <n v="1675"/>
    <n v="404"/>
    <n v="2168"/>
    <n v="500"/>
  </r>
  <r>
    <x v="22"/>
    <x v="47"/>
    <n v="5320"/>
    <n v="1269"/>
    <n v="1826"/>
    <n v="432"/>
    <n v="1379"/>
    <n v="346"/>
    <n v="2115"/>
    <n v="491"/>
  </r>
  <r>
    <x v="23"/>
    <x v="48"/>
    <n v="1730"/>
    <n v="489"/>
    <n v="9"/>
    <n v="9"/>
    <n v="774"/>
    <n v="223"/>
    <n v="947"/>
    <n v="257"/>
  </r>
  <r>
    <x v="23"/>
    <x v="49"/>
    <n v="11"/>
    <n v="11"/>
    <n v="9"/>
    <n v="9"/>
    <n v="1"/>
    <n v="1"/>
    <n v="1"/>
    <n v="1"/>
  </r>
  <r>
    <x v="23"/>
    <x v="50"/>
    <n v="9"/>
    <n v="9"/>
    <n v="5"/>
    <n v="5"/>
    <n v="3"/>
    <n v="3"/>
    <n v="1"/>
    <n v="1"/>
  </r>
  <r>
    <x v="24"/>
    <x v="51"/>
    <n v="55"/>
    <n v="47"/>
    <n v="9"/>
    <n v="9"/>
    <n v="1"/>
    <n v="1"/>
    <n v="45"/>
    <n v="37"/>
  </r>
  <r>
    <x v="24"/>
    <x v="52"/>
    <n v="11"/>
    <n v="11"/>
    <n v="6"/>
    <n v="6"/>
    <n v="4"/>
    <n v="4"/>
    <n v="1"/>
    <n v="1"/>
  </r>
  <r>
    <x v="22"/>
    <x v="53"/>
    <n v="5791"/>
    <n v="1285"/>
    <n v="1605"/>
    <n v="362"/>
    <n v="2091"/>
    <n v="456"/>
    <n v="2095"/>
    <n v="467"/>
  </r>
  <r>
    <x v="25"/>
    <x v="54"/>
    <n v="1743"/>
    <n v="503"/>
    <n v="65"/>
    <n v="56"/>
    <n v="704"/>
    <n v="201"/>
    <n v="974"/>
    <n v="246"/>
  </r>
  <r>
    <x v="25"/>
    <x v="55"/>
    <n v="1"/>
    <n v="1"/>
    <n v="0"/>
    <n v="0"/>
    <n v="1"/>
    <n v="1"/>
    <n v="0"/>
    <n v="0"/>
  </r>
  <r>
    <x v="18"/>
    <x v="56"/>
    <n v="2980"/>
    <n v="793"/>
    <n v="646"/>
    <n v="196"/>
    <n v="1240"/>
    <n v="312"/>
    <n v="1094"/>
    <n v="285"/>
  </r>
  <r>
    <x v="18"/>
    <x v="57"/>
    <n v="2072"/>
    <n v="608"/>
    <n v="638"/>
    <n v="191"/>
    <n v="792"/>
    <n v="222"/>
    <n v="642"/>
    <n v="195"/>
  </r>
  <r>
    <x v="19"/>
    <x v="58"/>
    <n v="23"/>
    <n v="22"/>
    <n v="16"/>
    <n v="15"/>
    <n v="5"/>
    <n v="5"/>
    <n v="2"/>
    <n v="2"/>
  </r>
  <r>
    <x v="19"/>
    <x v="59"/>
    <n v="753"/>
    <n v="354"/>
    <n v="246"/>
    <n v="116"/>
    <n v="274"/>
    <n v="122"/>
    <n v="233"/>
    <n v="116"/>
  </r>
  <r>
    <x v="26"/>
    <x v="60"/>
    <n v="6"/>
    <n v="6"/>
    <n v="5"/>
    <n v="5"/>
    <n v="0"/>
    <n v="0"/>
    <n v="1"/>
    <n v="1"/>
  </r>
  <r>
    <x v="26"/>
    <x v="61"/>
    <n v="3265"/>
    <n v="844"/>
    <n v="182"/>
    <n v="102"/>
    <n v="1306"/>
    <n v="325"/>
    <n v="1777"/>
    <n v="417"/>
  </r>
  <r>
    <x v="26"/>
    <x v="62"/>
    <n v="3"/>
    <n v="3"/>
    <n v="1"/>
    <n v="1"/>
    <n v="1"/>
    <n v="1"/>
    <n v="1"/>
    <n v="1"/>
  </r>
  <r>
    <x v="27"/>
    <x v="63"/>
    <n v="1670"/>
    <n v="536"/>
    <n v="978"/>
    <n v="261"/>
    <n v="387"/>
    <n v="145"/>
    <n v="305"/>
    <n v="130"/>
  </r>
  <r>
    <x v="27"/>
    <x v="64"/>
    <n v="353"/>
    <n v="188"/>
    <n v="24"/>
    <n v="22"/>
    <n v="45"/>
    <n v="43"/>
    <n v="284"/>
    <n v="123"/>
  </r>
  <r>
    <x v="28"/>
    <x v="65"/>
    <n v="10"/>
    <n v="9"/>
    <n v="9"/>
    <n v="8"/>
    <n v="0"/>
    <n v="0"/>
    <n v="1"/>
    <n v="1"/>
  </r>
  <r>
    <x v="28"/>
    <x v="66"/>
    <n v="5"/>
    <n v="4"/>
    <n v="3"/>
    <n v="2"/>
    <n v="2"/>
    <n v="2"/>
    <n v="0"/>
    <n v="0"/>
  </r>
  <r>
    <x v="29"/>
    <x v="67"/>
    <n v="10"/>
    <n v="8"/>
    <n v="8"/>
    <n v="6"/>
    <n v="1"/>
    <n v="1"/>
    <n v="1"/>
    <n v="1"/>
  </r>
  <r>
    <x v="29"/>
    <x v="68"/>
    <n v="7"/>
    <n v="7"/>
    <n v="4"/>
    <n v="4"/>
    <n v="1"/>
    <n v="1"/>
    <n v="2"/>
    <n v="2"/>
  </r>
  <r>
    <x v="24"/>
    <x v="69"/>
    <n v="4426"/>
    <n v="1077"/>
    <n v="1212"/>
    <n v="308"/>
    <n v="1289"/>
    <n v="323"/>
    <n v="1925"/>
    <n v="446"/>
  </r>
  <r>
    <x v="24"/>
    <x v="70"/>
    <n v="0"/>
    <n v="0"/>
    <n v="0"/>
    <n v="0"/>
    <n v="0"/>
    <n v="0"/>
    <n v="0"/>
    <n v="0"/>
  </r>
  <r>
    <x v="24"/>
    <x v="71"/>
    <n v="2404"/>
    <n v="688"/>
    <n v="317"/>
    <n v="133"/>
    <n v="780"/>
    <n v="224"/>
    <n v="1307"/>
    <n v="331"/>
  </r>
  <r>
    <x v="14"/>
    <x v="72"/>
    <n v="401"/>
    <n v="157"/>
    <n v="6"/>
    <n v="6"/>
    <n v="6"/>
    <n v="6"/>
    <n v="389"/>
    <n v="145"/>
  </r>
  <r>
    <x v="14"/>
    <x v="73"/>
    <n v="4768"/>
    <n v="1128"/>
    <n v="908"/>
    <n v="246"/>
    <n v="1605"/>
    <n v="382"/>
    <n v="2255"/>
    <n v="500"/>
  </r>
  <r>
    <x v="14"/>
    <x v="74"/>
    <n v="965"/>
    <n v="389"/>
    <n v="237"/>
    <n v="115"/>
    <n v="314"/>
    <n v="128"/>
    <n v="414"/>
    <n v="146"/>
  </r>
  <r>
    <x v="30"/>
    <x v="75"/>
    <n v="125"/>
    <n v="88"/>
    <n v="12"/>
    <n v="10"/>
    <n v="9"/>
    <n v="9"/>
    <n v="104"/>
    <n v="69"/>
  </r>
  <r>
    <x v="30"/>
    <x v="76"/>
    <n v="5390"/>
    <n v="1226"/>
    <n v="1337"/>
    <n v="319"/>
    <n v="1777"/>
    <n v="407"/>
    <n v="2276"/>
    <n v="500"/>
  </r>
  <r>
    <x v="31"/>
    <x v="77"/>
    <n v="812"/>
    <n v="368"/>
    <n v="274"/>
    <n v="124"/>
    <n v="205"/>
    <n v="109"/>
    <n v="333"/>
    <n v="135"/>
  </r>
  <r>
    <x v="31"/>
    <x v="78"/>
    <n v="1382"/>
    <n v="481"/>
    <n v="194"/>
    <n v="106"/>
    <n v="410"/>
    <n v="150"/>
    <n v="778"/>
    <n v="225"/>
  </r>
  <r>
    <x v="31"/>
    <x v="79"/>
    <n v="8"/>
    <n v="8"/>
    <n v="5"/>
    <n v="5"/>
    <n v="1"/>
    <n v="1"/>
    <n v="2"/>
    <n v="2"/>
  </r>
  <r>
    <x v="32"/>
    <x v="80"/>
    <n v="5"/>
    <n v="5"/>
    <n v="5"/>
    <n v="5"/>
    <n v="0"/>
    <n v="0"/>
    <n v="0"/>
    <n v="0"/>
  </r>
  <r>
    <x v="32"/>
    <x v="81"/>
    <n v="5"/>
    <n v="5"/>
    <n v="4"/>
    <n v="4"/>
    <n v="1"/>
    <n v="1"/>
    <n v="0"/>
    <n v="0"/>
  </r>
  <r>
    <x v="33"/>
    <x v="82"/>
    <n v="485"/>
    <n v="171"/>
    <n v="4"/>
    <n v="4"/>
    <n v="2"/>
    <n v="2"/>
    <n v="479"/>
    <n v="165"/>
  </r>
  <r>
    <x v="33"/>
    <x v="83"/>
    <n v="0"/>
    <n v="0"/>
    <n v="0"/>
    <n v="0"/>
    <n v="0"/>
    <n v="0"/>
    <n v="0"/>
    <n v="0"/>
  </r>
  <r>
    <x v="28"/>
    <x v="84"/>
    <n v="85"/>
    <n v="70"/>
    <n v="4"/>
    <n v="4"/>
    <n v="4"/>
    <n v="4"/>
    <n v="77"/>
    <n v="62"/>
  </r>
  <r>
    <x v="28"/>
    <x v="85"/>
    <n v="503"/>
    <n v="175"/>
    <n v="3"/>
    <n v="3"/>
    <n v="2"/>
    <n v="2"/>
    <n v="498"/>
    <n v="170"/>
  </r>
  <r>
    <x v="16"/>
    <x v="86"/>
    <n v="14"/>
    <n v="13"/>
    <n v="9"/>
    <n v="9"/>
    <n v="2"/>
    <n v="2"/>
    <n v="3"/>
    <n v="2"/>
  </r>
  <r>
    <x v="16"/>
    <x v="87"/>
    <n v="4"/>
    <n v="4"/>
    <n v="2"/>
    <n v="2"/>
    <n v="0"/>
    <n v="0"/>
    <n v="2"/>
    <n v="2"/>
  </r>
  <r>
    <x v="32"/>
    <x v="88"/>
    <n v="5983"/>
    <n v="1370"/>
    <n v="1554"/>
    <n v="370"/>
    <n v="2216"/>
    <n v="500"/>
    <n v="2213"/>
    <n v="500"/>
  </r>
  <r>
    <x v="17"/>
    <x v="89"/>
    <n v="5"/>
    <n v="5"/>
    <n v="4"/>
    <n v="4"/>
    <n v="1"/>
    <n v="1"/>
    <n v="0"/>
    <n v="0"/>
  </r>
  <r>
    <x v="34"/>
    <x v="90"/>
    <n v="3719"/>
    <n v="945"/>
    <n v="300"/>
    <n v="128"/>
    <n v="1712"/>
    <n v="409"/>
    <n v="1707"/>
    <n v="408"/>
  </r>
  <r>
    <x v="34"/>
    <x v="91"/>
    <n v="3"/>
    <n v="3"/>
    <n v="2"/>
    <n v="2"/>
    <n v="1"/>
    <n v="1"/>
    <n v="0"/>
    <n v="0"/>
  </r>
  <r>
    <x v="27"/>
    <x v="92"/>
    <n v="583"/>
    <n v="309"/>
    <n v="107"/>
    <n v="76"/>
    <n v="278"/>
    <n v="124"/>
    <n v="198"/>
    <n v="110"/>
  </r>
  <r>
    <x v="27"/>
    <x v="93"/>
    <n v="1301"/>
    <n v="460"/>
    <n v="170"/>
    <n v="103"/>
    <n v="715"/>
    <n v="209"/>
    <n v="416"/>
    <n v="149"/>
  </r>
  <r>
    <x v="14"/>
    <x v="94"/>
    <n v="6"/>
    <n v="6"/>
    <n v="2"/>
    <n v="2"/>
    <n v="3"/>
    <n v="3"/>
    <n v="1"/>
    <n v="1"/>
  </r>
  <r>
    <x v="14"/>
    <x v="95"/>
    <n v="4"/>
    <n v="3"/>
    <n v="3"/>
    <n v="2"/>
    <n v="1"/>
    <n v="1"/>
    <n v="0"/>
    <n v="0"/>
  </r>
  <r>
    <x v="29"/>
    <x v="96"/>
    <n v="4"/>
    <n v="4"/>
    <n v="2"/>
    <n v="2"/>
    <n v="1"/>
    <n v="1"/>
    <n v="1"/>
    <n v="1"/>
  </r>
  <r>
    <x v="29"/>
    <x v="97"/>
    <n v="4"/>
    <n v="4"/>
    <n v="2"/>
    <n v="2"/>
    <n v="2"/>
    <n v="2"/>
    <n v="0"/>
    <n v="0"/>
  </r>
  <r>
    <x v="29"/>
    <x v="98"/>
    <n v="1"/>
    <n v="1"/>
    <n v="1"/>
    <n v="1"/>
    <n v="0"/>
    <n v="0"/>
    <n v="0"/>
    <n v="0"/>
  </r>
  <r>
    <x v="17"/>
    <x v="99"/>
    <n v="5368"/>
    <n v="1202"/>
    <n v="1722"/>
    <n v="398"/>
    <n v="1838"/>
    <n v="408"/>
    <n v="1808"/>
    <n v="396"/>
  </r>
  <r>
    <x v="17"/>
    <x v="100"/>
    <n v="4024"/>
    <n v="985"/>
    <n v="1805"/>
    <n v="420"/>
    <n v="1215"/>
    <n v="304"/>
    <n v="1004"/>
    <n v="261"/>
  </r>
  <r>
    <x v="33"/>
    <x v="101"/>
    <n v="4341"/>
    <n v="1042"/>
    <n v="1249"/>
    <n v="311"/>
    <n v="1421"/>
    <n v="341"/>
    <n v="1671"/>
    <n v="390"/>
  </r>
  <r>
    <x v="33"/>
    <x v="102"/>
    <n v="3470"/>
    <n v="873"/>
    <n v="1006"/>
    <n v="261"/>
    <n v="1350"/>
    <n v="328"/>
    <n v="1114"/>
    <n v="284"/>
  </r>
  <r>
    <x v="33"/>
    <x v="103"/>
    <n v="8"/>
    <n v="7"/>
    <n v="4"/>
    <n v="4"/>
    <n v="0"/>
    <n v="0"/>
    <n v="4"/>
    <n v="3"/>
  </r>
  <r>
    <x v="19"/>
    <x v="104"/>
    <n v="9"/>
    <n v="9"/>
    <n v="4"/>
    <n v="4"/>
    <n v="1"/>
    <n v="1"/>
    <n v="4"/>
    <n v="4"/>
  </r>
  <r>
    <x v="19"/>
    <x v="105"/>
    <n v="228"/>
    <n v="150"/>
    <n v="19"/>
    <n v="18"/>
    <n v="34"/>
    <n v="31"/>
    <n v="175"/>
    <n v="101"/>
  </r>
  <r>
    <x v="32"/>
    <x v="106"/>
    <n v="47"/>
    <n v="43"/>
    <n v="5"/>
    <n v="5"/>
    <n v="1"/>
    <n v="1"/>
    <n v="41"/>
    <n v="37"/>
  </r>
  <r>
    <x v="32"/>
    <x v="107"/>
    <n v="6"/>
    <n v="6"/>
    <n v="4"/>
    <n v="4"/>
    <n v="1"/>
    <n v="1"/>
    <n v="1"/>
    <n v="1"/>
  </r>
  <r>
    <x v="33"/>
    <x v="108"/>
    <n v="5083"/>
    <n v="1201"/>
    <n v="1133"/>
    <n v="290"/>
    <n v="1917"/>
    <n v="441"/>
    <n v="2033"/>
    <n v="470"/>
  </r>
  <r>
    <x v="33"/>
    <x v="109"/>
    <n v="1882"/>
    <n v="579"/>
    <n v="436"/>
    <n v="155"/>
    <n v="716"/>
    <n v="211"/>
    <n v="730"/>
    <n v="213"/>
  </r>
  <r>
    <x v="33"/>
    <x v="110"/>
    <n v="5063"/>
    <n v="1177"/>
    <n v="1634"/>
    <n v="385"/>
    <n v="1604"/>
    <n v="376"/>
    <n v="1825"/>
    <n v="416"/>
  </r>
  <r>
    <x v="35"/>
    <x v="111"/>
    <n v="5718"/>
    <n v="1342"/>
    <n v="1461"/>
    <n v="358"/>
    <n v="2168"/>
    <n v="500"/>
    <n v="2089"/>
    <n v="484"/>
  </r>
  <r>
    <x v="35"/>
    <x v="112"/>
    <n v="6584"/>
    <n v="1500"/>
    <n v="2192"/>
    <n v="500"/>
    <n v="2203"/>
    <n v="500"/>
    <n v="2189"/>
    <n v="500"/>
  </r>
  <r>
    <x v="36"/>
    <x v="113"/>
    <n v="7"/>
    <n v="7"/>
    <n v="4"/>
    <n v="4"/>
    <n v="2"/>
    <n v="2"/>
    <n v="1"/>
    <n v="1"/>
  </r>
  <r>
    <x v="36"/>
    <x v="114"/>
    <n v="1600"/>
    <n v="524"/>
    <n v="409"/>
    <n v="150"/>
    <n v="680"/>
    <n v="204"/>
    <n v="511"/>
    <n v="170"/>
  </r>
  <r>
    <x v="37"/>
    <x v="115"/>
    <n v="6419"/>
    <n v="1488"/>
    <n v="2097"/>
    <n v="488"/>
    <n v="2154"/>
    <n v="500"/>
    <n v="2168"/>
    <n v="500"/>
  </r>
  <r>
    <x v="37"/>
    <x v="116"/>
    <n v="6852"/>
    <n v="1500"/>
    <n v="2218"/>
    <n v="500"/>
    <n v="2262"/>
    <n v="500"/>
    <n v="2372"/>
    <n v="500"/>
  </r>
  <r>
    <x v="38"/>
    <x v="117"/>
    <n v="6537"/>
    <n v="1464"/>
    <n v="2029"/>
    <n v="464"/>
    <n v="2228"/>
    <n v="500"/>
    <n v="2280"/>
    <n v="500"/>
  </r>
  <r>
    <x v="38"/>
    <x v="118"/>
    <n v="4916"/>
    <n v="1124"/>
    <n v="283"/>
    <n v="124"/>
    <n v="2275"/>
    <n v="500"/>
    <n v="2358"/>
    <n v="500"/>
  </r>
  <r>
    <x v="39"/>
    <x v="119"/>
    <n v="1142"/>
    <n v="435"/>
    <n v="150"/>
    <n v="98"/>
    <n v="792"/>
    <n v="228"/>
    <n v="200"/>
    <n v="109"/>
  </r>
  <r>
    <x v="39"/>
    <x v="120"/>
    <n v="320"/>
    <n v="186"/>
    <n v="6"/>
    <n v="6"/>
    <n v="78"/>
    <n v="63"/>
    <n v="236"/>
    <n v="117"/>
  </r>
  <r>
    <x v="40"/>
    <x v="121"/>
    <n v="5877"/>
    <n v="1376"/>
    <n v="1543"/>
    <n v="376"/>
    <n v="2165"/>
    <n v="500"/>
    <n v="2169"/>
    <n v="500"/>
  </r>
  <r>
    <x v="40"/>
    <x v="122"/>
    <n v="782"/>
    <n v="317"/>
    <n v="32"/>
    <n v="31"/>
    <n v="275"/>
    <n v="122"/>
    <n v="475"/>
    <n v="164"/>
  </r>
  <r>
    <x v="41"/>
    <x v="123"/>
    <n v="1926"/>
    <n v="548"/>
    <n v="38"/>
    <n v="38"/>
    <n v="366"/>
    <n v="140"/>
    <n v="1522"/>
    <n v="370"/>
  </r>
  <r>
    <x v="41"/>
    <x v="124"/>
    <n v="5686"/>
    <n v="1321"/>
    <n v="1284"/>
    <n v="322"/>
    <n v="2194"/>
    <n v="499"/>
    <n v="2208"/>
    <n v="500"/>
  </r>
  <r>
    <x v="42"/>
    <x v="125"/>
    <n v="3962"/>
    <n v="992"/>
    <n v="1216"/>
    <n v="310"/>
    <n v="1217"/>
    <n v="310"/>
    <n v="1529"/>
    <n v="372"/>
  </r>
  <r>
    <x v="42"/>
    <x v="126"/>
    <n v="1004"/>
    <n v="403"/>
    <n v="176"/>
    <n v="103"/>
    <n v="338"/>
    <n v="135"/>
    <n v="490"/>
    <n v="165"/>
  </r>
  <r>
    <x v="43"/>
    <x v="127"/>
    <n v="4"/>
    <n v="4"/>
    <n v="4"/>
    <n v="4"/>
    <n v="0"/>
    <n v="0"/>
    <n v="0"/>
    <n v="0"/>
  </r>
  <r>
    <x v="43"/>
    <x v="128"/>
    <n v="3"/>
    <n v="3"/>
    <n v="2"/>
    <n v="2"/>
    <n v="1"/>
    <n v="1"/>
    <n v="0"/>
    <n v="0"/>
  </r>
  <r>
    <x v="44"/>
    <x v="129"/>
    <n v="184"/>
    <n v="109"/>
    <n v="9"/>
    <n v="8"/>
    <n v="0"/>
    <n v="0"/>
    <n v="175"/>
    <n v="101"/>
  </r>
  <r>
    <x v="44"/>
    <x v="130"/>
    <n v="6"/>
    <n v="5"/>
    <n v="3"/>
    <n v="3"/>
    <n v="1"/>
    <n v="1"/>
    <n v="2"/>
    <n v="1"/>
  </r>
  <r>
    <x v="45"/>
    <x v="131"/>
    <n v="1735"/>
    <n v="552"/>
    <n v="360"/>
    <n v="140"/>
    <n v="417"/>
    <n v="152"/>
    <n v="958"/>
    <n v="260"/>
  </r>
  <r>
    <x v="45"/>
    <x v="132"/>
    <n v="1781"/>
    <n v="558"/>
    <n v="482"/>
    <n v="162"/>
    <n v="145"/>
    <n v="96"/>
    <n v="1154"/>
    <n v="300"/>
  </r>
  <r>
    <x v="46"/>
    <x v="133"/>
    <n v="5173"/>
    <n v="1216"/>
    <n v="1585"/>
    <n v="382"/>
    <n v="1360"/>
    <n v="334"/>
    <n v="2228"/>
    <n v="500"/>
  </r>
  <r>
    <x v="46"/>
    <x v="134"/>
    <n v="2171"/>
    <n v="638"/>
    <n v="592"/>
    <n v="185"/>
    <n v="860"/>
    <n v="241"/>
    <n v="719"/>
    <n v="212"/>
  </r>
  <r>
    <x v="47"/>
    <x v="135"/>
    <n v="5"/>
    <n v="5"/>
    <n v="3"/>
    <n v="3"/>
    <n v="1"/>
    <n v="1"/>
    <n v="1"/>
    <n v="1"/>
  </r>
  <r>
    <x v="47"/>
    <x v="136"/>
    <n v="111"/>
    <n v="91"/>
    <n v="21"/>
    <n v="20"/>
    <n v="6"/>
    <n v="6"/>
    <n v="84"/>
    <n v="65"/>
  </r>
  <r>
    <x v="48"/>
    <x v="137"/>
    <n v="1644"/>
    <n v="531"/>
    <n v="196"/>
    <n v="106"/>
    <n v="812"/>
    <n v="229"/>
    <n v="636"/>
    <n v="196"/>
  </r>
  <r>
    <x v="49"/>
    <x v="138"/>
    <n v="6609"/>
    <n v="1442"/>
    <n v="2022"/>
    <n v="456"/>
    <n v="2174"/>
    <n v="486"/>
    <n v="2413"/>
    <n v="500"/>
  </r>
  <r>
    <x v="49"/>
    <x v="139"/>
    <n v="279"/>
    <n v="163"/>
    <n v="20"/>
    <n v="20"/>
    <n v="28"/>
    <n v="28"/>
    <n v="231"/>
    <n v="115"/>
  </r>
  <r>
    <x v="50"/>
    <x v="140"/>
    <n v="3"/>
    <n v="3"/>
    <n v="1"/>
    <n v="1"/>
    <n v="2"/>
    <n v="2"/>
    <n v="0"/>
    <n v="0"/>
  </r>
  <r>
    <x v="50"/>
    <x v="141"/>
    <n v="6583"/>
    <n v="1443"/>
    <n v="1970"/>
    <n v="443"/>
    <n v="2304"/>
    <n v="500"/>
    <n v="2309"/>
    <n v="500"/>
  </r>
  <r>
    <x v="51"/>
    <x v="142"/>
    <n v="6481"/>
    <n v="1500"/>
    <n v="2158"/>
    <n v="500"/>
    <n v="2163"/>
    <n v="500"/>
    <n v="2160"/>
    <n v="500"/>
  </r>
  <r>
    <x v="51"/>
    <x v="143"/>
    <n v="6167"/>
    <n v="1425"/>
    <n v="1804"/>
    <n v="425"/>
    <n v="2187"/>
    <n v="500"/>
    <n v="2176"/>
    <n v="500"/>
  </r>
  <r>
    <x v="52"/>
    <x v="144"/>
    <n v="3372"/>
    <n v="872"/>
    <n v="831"/>
    <n v="231"/>
    <n v="1169"/>
    <n v="300"/>
    <n v="1372"/>
    <n v="341"/>
  </r>
  <r>
    <x v="52"/>
    <x v="145"/>
    <n v="1642"/>
    <n v="531"/>
    <n v="368"/>
    <n v="141"/>
    <n v="391"/>
    <n v="147"/>
    <n v="883"/>
    <n v="243"/>
  </r>
  <r>
    <x v="53"/>
    <x v="146"/>
    <n v="2883"/>
    <n v="777"/>
    <n v="502"/>
    <n v="166"/>
    <n v="807"/>
    <n v="230"/>
    <n v="1574"/>
    <n v="381"/>
  </r>
  <r>
    <x v="53"/>
    <x v="147"/>
    <n v="3503"/>
    <n v="816"/>
    <n v="64"/>
    <n v="53"/>
    <n v="1243"/>
    <n v="298"/>
    <n v="2196"/>
    <n v="465"/>
  </r>
  <r>
    <x v="54"/>
    <x v="148"/>
    <n v="4686"/>
    <n v="1126"/>
    <n v="1084"/>
    <n v="284"/>
    <n v="1892"/>
    <n v="442"/>
    <n v="1672"/>
    <n v="400"/>
  </r>
  <r>
    <x v="54"/>
    <x v="149"/>
    <n v="4125"/>
    <n v="1000"/>
    <n v="965"/>
    <n v="255"/>
    <n v="1489"/>
    <n v="356"/>
    <n v="1671"/>
    <n v="389"/>
  </r>
  <r>
    <x v="55"/>
    <x v="150"/>
    <n v="497"/>
    <n v="252"/>
    <n v="21"/>
    <n v="20"/>
    <n v="204"/>
    <n v="110"/>
    <n v="272"/>
    <n v="122"/>
  </r>
  <r>
    <x v="55"/>
    <x v="151"/>
    <n v="947"/>
    <n v="396"/>
    <n v="303"/>
    <n v="129"/>
    <n v="369"/>
    <n v="143"/>
    <n v="275"/>
    <n v="124"/>
  </r>
  <r>
    <x v="56"/>
    <x v="152"/>
    <n v="3554"/>
    <n v="887"/>
    <n v="1083"/>
    <n v="279"/>
    <n v="1030"/>
    <n v="263"/>
    <n v="1441"/>
    <n v="345"/>
  </r>
  <r>
    <x v="56"/>
    <x v="153"/>
    <n v="1222"/>
    <n v="441"/>
    <n v="326"/>
    <n v="130"/>
    <n v="403"/>
    <n v="147"/>
    <n v="493"/>
    <n v="164"/>
  </r>
  <r>
    <x v="57"/>
    <x v="154"/>
    <n v="142"/>
    <n v="102"/>
    <n v="100"/>
    <n v="70"/>
    <n v="8"/>
    <n v="7"/>
    <n v="34"/>
    <n v="25"/>
  </r>
  <r>
    <x v="33"/>
    <x v="155"/>
    <n v="5309"/>
    <n v="1246"/>
    <n v="1655"/>
    <n v="393"/>
    <n v="1767"/>
    <n v="415"/>
    <n v="1887"/>
    <n v="438"/>
  </r>
  <r>
    <x v="33"/>
    <x v="156"/>
    <n v="190"/>
    <n v="116"/>
    <n v="8"/>
    <n v="8"/>
    <n v="2"/>
    <n v="2"/>
    <n v="180"/>
    <n v="106"/>
  </r>
  <r>
    <x v="33"/>
    <x v="157"/>
    <n v="5027"/>
    <n v="1180"/>
    <n v="1994"/>
    <n v="453"/>
    <n v="1705"/>
    <n v="396"/>
    <n v="1328"/>
    <n v="331"/>
  </r>
  <r>
    <x v="58"/>
    <x v="158"/>
    <n v="6508"/>
    <n v="1500"/>
    <n v="2180"/>
    <n v="500"/>
    <n v="2164"/>
    <n v="500"/>
    <n v="2164"/>
    <n v="500"/>
  </r>
  <r>
    <x v="59"/>
    <x v="159"/>
    <n v="5543"/>
    <n v="1291"/>
    <n v="1910"/>
    <n v="441"/>
    <n v="2208"/>
    <n v="500"/>
    <n v="1425"/>
    <n v="350"/>
  </r>
  <r>
    <x v="59"/>
    <x v="160"/>
    <n v="3488"/>
    <n v="899"/>
    <n v="1586"/>
    <n v="385"/>
    <n v="1179"/>
    <n v="302"/>
    <n v="723"/>
    <n v="212"/>
  </r>
  <r>
    <x v="50"/>
    <x v="161"/>
    <n v="6694"/>
    <n v="1500"/>
    <n v="2181"/>
    <n v="500"/>
    <n v="2231"/>
    <n v="500"/>
    <n v="2282"/>
    <n v="500"/>
  </r>
  <r>
    <x v="8"/>
    <x v="162"/>
    <n v="7544"/>
    <n v="1500"/>
    <n v="2448"/>
    <n v="500"/>
    <n v="2472"/>
    <n v="500"/>
    <n v="2624"/>
    <n v="500"/>
  </r>
  <r>
    <x v="8"/>
    <x v="163"/>
    <n v="16"/>
    <n v="15"/>
    <n v="11"/>
    <n v="10"/>
    <n v="1"/>
    <n v="1"/>
    <n v="4"/>
    <n v="4"/>
  </r>
  <r>
    <x v="7"/>
    <x v="164"/>
    <n v="5183"/>
    <n v="1222"/>
    <n v="823"/>
    <n v="222"/>
    <n v="2183"/>
    <n v="500"/>
    <n v="2177"/>
    <n v="500"/>
  </r>
  <r>
    <x v="7"/>
    <x v="165"/>
    <n v="6486"/>
    <n v="1500"/>
    <n v="2165"/>
    <n v="500"/>
    <n v="2162"/>
    <n v="500"/>
    <n v="2159"/>
    <n v="500"/>
  </r>
  <r>
    <x v="5"/>
    <x v="166"/>
    <n v="1235"/>
    <n v="323"/>
    <n v="4"/>
    <n v="4"/>
    <n v="7"/>
    <n v="7"/>
    <n v="1224"/>
    <n v="312"/>
  </r>
  <r>
    <x v="5"/>
    <x v="167"/>
    <n v="3964"/>
    <n v="934"/>
    <n v="24"/>
    <n v="23"/>
    <n v="1756"/>
    <n v="411"/>
    <n v="2184"/>
    <n v="500"/>
  </r>
  <r>
    <x v="60"/>
    <x v="168"/>
    <n v="6125"/>
    <n v="1415"/>
    <n v="1875"/>
    <n v="435"/>
    <n v="2077"/>
    <n v="480"/>
    <n v="2173"/>
    <n v="500"/>
  </r>
  <r>
    <x v="60"/>
    <x v="169"/>
    <n v="6425"/>
    <n v="1451"/>
    <n v="2214"/>
    <n v="500"/>
    <n v="1985"/>
    <n v="454"/>
    <n v="2226"/>
    <n v="497"/>
  </r>
  <r>
    <x v="10"/>
    <x v="170"/>
    <n v="13"/>
    <n v="13"/>
    <n v="11"/>
    <n v="11"/>
    <n v="1"/>
    <n v="1"/>
    <n v="1"/>
    <n v="1"/>
  </r>
  <r>
    <x v="45"/>
    <x v="171"/>
    <n v="1050"/>
    <n v="413"/>
    <n v="138"/>
    <n v="92"/>
    <n v="412"/>
    <n v="151"/>
    <n v="500"/>
    <n v="170"/>
  </r>
  <r>
    <x v="44"/>
    <x v="172"/>
    <n v="2251"/>
    <n v="649"/>
    <n v="712"/>
    <n v="208"/>
    <n v="883"/>
    <n v="242"/>
    <n v="656"/>
    <n v="199"/>
  </r>
  <r>
    <x v="41"/>
    <x v="173"/>
    <n v="3382"/>
    <n v="866"/>
    <n v="843"/>
    <n v="232"/>
    <n v="951"/>
    <n v="255"/>
    <n v="1588"/>
    <n v="379"/>
  </r>
  <r>
    <x v="61"/>
    <x v="174"/>
    <n v="451"/>
    <n v="224"/>
    <n v="142"/>
    <n v="92"/>
    <n v="3"/>
    <n v="3"/>
    <n v="306"/>
    <n v="129"/>
  </r>
  <r>
    <x v="61"/>
    <x v="175"/>
    <n v="6"/>
    <n v="6"/>
    <n v="6"/>
    <n v="6"/>
    <n v="0"/>
    <n v="0"/>
    <n v="0"/>
    <n v="0"/>
  </r>
  <r>
    <x v="61"/>
    <x v="176"/>
    <n v="13"/>
    <n v="13"/>
    <n v="7"/>
    <n v="7"/>
    <n v="3"/>
    <n v="3"/>
    <n v="3"/>
    <n v="3"/>
  </r>
  <r>
    <x v="61"/>
    <x v="177"/>
    <n v="4892"/>
    <n v="1185"/>
    <n v="1068"/>
    <n v="281"/>
    <n v="1676"/>
    <n v="404"/>
    <n v="2148"/>
    <n v="500"/>
  </r>
  <r>
    <x v="52"/>
    <x v="178"/>
    <n v="1144"/>
    <n v="436"/>
    <n v="454"/>
    <n v="158"/>
    <n v="363"/>
    <n v="143"/>
    <n v="327"/>
    <n v="135"/>
  </r>
  <r>
    <x v="52"/>
    <x v="179"/>
    <n v="1200"/>
    <n v="442"/>
    <n v="139"/>
    <n v="91"/>
    <n v="534"/>
    <n v="175"/>
    <n v="527"/>
    <n v="176"/>
  </r>
  <r>
    <x v="52"/>
    <x v="180"/>
    <n v="923"/>
    <n v="394"/>
    <n v="246"/>
    <n v="120"/>
    <n v="413"/>
    <n v="152"/>
    <n v="264"/>
    <n v="122"/>
  </r>
  <r>
    <x v="52"/>
    <x v="181"/>
    <n v="7"/>
    <n v="7"/>
    <n v="5"/>
    <n v="5"/>
    <n v="0"/>
    <n v="0"/>
    <n v="2"/>
    <n v="2"/>
  </r>
  <r>
    <x v="4"/>
    <x v="182"/>
    <n v="3459"/>
    <n v="884"/>
    <n v="447"/>
    <n v="159"/>
    <n v="794"/>
    <n v="225"/>
    <n v="2218"/>
    <n v="500"/>
  </r>
  <r>
    <x v="4"/>
    <x v="183"/>
    <n v="305"/>
    <n v="137"/>
    <n v="5"/>
    <n v="5"/>
    <n v="4"/>
    <n v="4"/>
    <n v="296"/>
    <n v="128"/>
  </r>
  <r>
    <x v="4"/>
    <x v="184"/>
    <n v="10"/>
    <n v="9"/>
    <n v="4"/>
    <n v="3"/>
    <n v="0"/>
    <n v="0"/>
    <n v="6"/>
    <n v="6"/>
  </r>
  <r>
    <x v="12"/>
    <x v="185"/>
    <n v="393"/>
    <n v="153"/>
    <n v="11"/>
    <n v="9"/>
    <n v="0"/>
    <n v="0"/>
    <n v="382"/>
    <n v="144"/>
  </r>
  <r>
    <x v="12"/>
    <x v="186"/>
    <n v="7"/>
    <n v="7"/>
    <n v="3"/>
    <n v="3"/>
    <n v="0"/>
    <n v="0"/>
    <n v="4"/>
    <n v="4"/>
  </r>
  <r>
    <x v="12"/>
    <x v="187"/>
    <n v="1870"/>
    <n v="443"/>
    <n v="2"/>
    <n v="2"/>
    <n v="17"/>
    <n v="17"/>
    <n v="1851"/>
    <n v="424"/>
  </r>
  <r>
    <x v="15"/>
    <x v="188"/>
    <n v="2526"/>
    <n v="620"/>
    <n v="13"/>
    <n v="11"/>
    <n v="463"/>
    <n v="159"/>
    <n v="2050"/>
    <n v="450"/>
  </r>
  <r>
    <x v="15"/>
    <x v="189"/>
    <n v="1236"/>
    <n v="321"/>
    <n v="13"/>
    <n v="9"/>
    <n v="8"/>
    <n v="8"/>
    <n v="1215"/>
    <n v="304"/>
  </r>
  <r>
    <x v="15"/>
    <x v="190"/>
    <n v="5451"/>
    <n v="1270"/>
    <n v="1600"/>
    <n v="381"/>
    <n v="1617"/>
    <n v="389"/>
    <n v="2234"/>
    <n v="500"/>
  </r>
  <r>
    <x v="50"/>
    <x v="191"/>
    <n v="2"/>
    <n v="2"/>
    <n v="2"/>
    <n v="2"/>
    <n v="0"/>
    <n v="0"/>
    <n v="0"/>
    <n v="0"/>
  </r>
  <r>
    <x v="50"/>
    <x v="192"/>
    <n v="7"/>
    <n v="5"/>
    <n v="0"/>
    <n v="0"/>
    <n v="5"/>
    <n v="3"/>
    <n v="2"/>
    <n v="2"/>
  </r>
  <r>
    <x v="50"/>
    <x v="193"/>
    <n v="171"/>
    <n v="111"/>
    <n v="7"/>
    <n v="7"/>
    <n v="1"/>
    <n v="1"/>
    <n v="163"/>
    <n v="103"/>
  </r>
  <r>
    <x v="5"/>
    <x v="194"/>
    <n v="6804"/>
    <n v="1500"/>
    <n v="2252"/>
    <n v="500"/>
    <n v="2290"/>
    <n v="500"/>
    <n v="2262"/>
    <n v="500"/>
  </r>
  <r>
    <x v="5"/>
    <x v="195"/>
    <n v="6526"/>
    <n v="1500"/>
    <n v="2172"/>
    <n v="500"/>
    <n v="2170"/>
    <n v="500"/>
    <n v="2184"/>
    <n v="500"/>
  </r>
  <r>
    <x v="3"/>
    <x v="196"/>
    <n v="1"/>
    <n v="1"/>
    <n v="1"/>
    <n v="1"/>
    <n v="0"/>
    <n v="0"/>
    <n v="0"/>
    <n v="0"/>
  </r>
  <r>
    <x v="3"/>
    <x v="197"/>
    <n v="0"/>
    <n v="0"/>
    <n v="0"/>
    <n v="0"/>
    <n v="0"/>
    <n v="0"/>
    <n v="0"/>
    <n v="0"/>
  </r>
  <r>
    <x v="3"/>
    <x v="198"/>
    <n v="0"/>
    <n v="0"/>
    <n v="0"/>
    <n v="0"/>
    <n v="0"/>
    <n v="0"/>
    <n v="0"/>
    <n v="0"/>
  </r>
  <r>
    <x v="2"/>
    <x v="199"/>
    <n v="1135"/>
    <n v="432"/>
    <n v="674"/>
    <n v="203"/>
    <n v="181"/>
    <n v="104"/>
    <n v="280"/>
    <n v="125"/>
  </r>
  <r>
    <x v="2"/>
    <x v="200"/>
    <n v="1865"/>
    <n v="574"/>
    <n v="351"/>
    <n v="138"/>
    <n v="839"/>
    <n v="235"/>
    <n v="675"/>
    <n v="201"/>
  </r>
  <r>
    <x v="2"/>
    <x v="201"/>
    <n v="4352"/>
    <n v="1071"/>
    <n v="1186"/>
    <n v="303"/>
    <n v="1422"/>
    <n v="351"/>
    <n v="1744"/>
    <n v="417"/>
  </r>
  <r>
    <x v="5"/>
    <x v="202"/>
    <n v="6556"/>
    <n v="1500"/>
    <n v="2186"/>
    <n v="500"/>
    <n v="2174"/>
    <n v="500"/>
    <n v="2196"/>
    <n v="500"/>
  </r>
  <r>
    <x v="7"/>
    <x v="203"/>
    <n v="2413"/>
    <n v="625"/>
    <n v="7"/>
    <n v="7"/>
    <n v="247"/>
    <n v="118"/>
    <n v="2159"/>
    <n v="500"/>
  </r>
  <r>
    <x v="7"/>
    <x v="204"/>
    <n v="6109"/>
    <n v="1421"/>
    <n v="1770"/>
    <n v="421"/>
    <n v="2165"/>
    <n v="500"/>
    <n v="2174"/>
    <n v="500"/>
  </r>
  <r>
    <x v="38"/>
    <x v="205"/>
    <n v="12"/>
    <n v="12"/>
    <n v="8"/>
    <n v="8"/>
    <n v="3"/>
    <n v="3"/>
    <n v="1"/>
    <n v="1"/>
  </r>
  <r>
    <x v="38"/>
    <x v="206"/>
    <n v="1636"/>
    <n v="408"/>
    <n v="13"/>
    <n v="13"/>
    <n v="4"/>
    <n v="4"/>
    <n v="1619"/>
    <n v="391"/>
  </r>
  <r>
    <x v="38"/>
    <x v="207"/>
    <n v="6"/>
    <n v="6"/>
    <n v="4"/>
    <n v="4"/>
    <n v="2"/>
    <n v="2"/>
    <n v="0"/>
    <n v="0"/>
  </r>
  <r>
    <x v="8"/>
    <x v="208"/>
    <n v="2382"/>
    <n v="518"/>
    <n v="19"/>
    <n v="17"/>
    <n v="1"/>
    <n v="1"/>
    <n v="2362"/>
    <n v="500"/>
  </r>
  <r>
    <x v="8"/>
    <x v="209"/>
    <n v="1187"/>
    <n v="286"/>
    <n v="4"/>
    <n v="4"/>
    <n v="1"/>
    <n v="1"/>
    <n v="1182"/>
    <n v="281"/>
  </r>
  <r>
    <x v="8"/>
    <x v="210"/>
    <n v="11"/>
    <n v="10"/>
    <n v="5"/>
    <n v="5"/>
    <n v="0"/>
    <n v="0"/>
    <n v="6"/>
    <n v="5"/>
  </r>
  <r>
    <x v="0"/>
    <x v="211"/>
    <n v="3127"/>
    <n v="814"/>
    <n v="327"/>
    <n v="125"/>
    <n v="631"/>
    <n v="189"/>
    <n v="2169"/>
    <n v="500"/>
  </r>
  <r>
    <x v="0"/>
    <x v="212"/>
    <n v="6235"/>
    <n v="1405"/>
    <n v="2098"/>
    <n v="465"/>
    <n v="1936"/>
    <n v="440"/>
    <n v="2201"/>
    <n v="500"/>
  </r>
  <r>
    <x v="0"/>
    <x v="213"/>
    <n v="5789"/>
    <n v="1352"/>
    <n v="1762"/>
    <n v="415"/>
    <n v="1859"/>
    <n v="437"/>
    <n v="2168"/>
    <n v="500"/>
  </r>
  <r>
    <x v="6"/>
    <x v="214"/>
    <n v="2406"/>
    <n v="621"/>
    <n v="13"/>
    <n v="13"/>
    <n v="193"/>
    <n v="108"/>
    <n v="2200"/>
    <n v="500"/>
  </r>
  <r>
    <x v="6"/>
    <x v="215"/>
    <n v="557"/>
    <n v="184"/>
    <n v="7"/>
    <n v="7"/>
    <n v="2"/>
    <n v="2"/>
    <n v="548"/>
    <n v="175"/>
  </r>
  <r>
    <x v="6"/>
    <x v="216"/>
    <n v="649"/>
    <n v="206"/>
    <n v="8"/>
    <n v="8"/>
    <n v="1"/>
    <n v="1"/>
    <n v="640"/>
    <n v="197"/>
  </r>
  <r>
    <x v="62"/>
    <x v="217"/>
    <n v="5"/>
    <n v="5"/>
    <n v="3"/>
    <n v="3"/>
    <n v="0"/>
    <n v="0"/>
    <n v="2"/>
    <n v="2"/>
  </r>
  <r>
    <x v="62"/>
    <x v="218"/>
    <n v="2"/>
    <n v="2"/>
    <n v="2"/>
    <n v="2"/>
    <n v="0"/>
    <n v="0"/>
    <n v="0"/>
    <n v="0"/>
  </r>
  <r>
    <x v="62"/>
    <x v="219"/>
    <n v="1285"/>
    <n v="453"/>
    <n v="344"/>
    <n v="132"/>
    <n v="190"/>
    <n v="104"/>
    <n v="751"/>
    <n v="217"/>
  </r>
  <r>
    <x v="12"/>
    <x v="220"/>
    <n v="771"/>
    <n v="243"/>
    <n v="18"/>
    <n v="18"/>
    <n v="13"/>
    <n v="11"/>
    <n v="740"/>
    <n v="214"/>
  </r>
  <r>
    <x v="12"/>
    <x v="221"/>
    <n v="5"/>
    <n v="5"/>
    <n v="3"/>
    <n v="3"/>
    <n v="1"/>
    <n v="1"/>
    <n v="1"/>
    <n v="1"/>
  </r>
  <r>
    <x v="12"/>
    <x v="222"/>
    <n v="6"/>
    <n v="6"/>
    <n v="5"/>
    <n v="5"/>
    <n v="1"/>
    <n v="1"/>
    <n v="0"/>
    <n v="0"/>
  </r>
  <r>
    <x v="63"/>
    <x v="223"/>
    <n v="540"/>
    <n v="298"/>
    <n v="105"/>
    <n v="76"/>
    <n v="167"/>
    <n v="102"/>
    <n v="268"/>
    <n v="120"/>
  </r>
  <r>
    <x v="63"/>
    <x v="224"/>
    <n v="2"/>
    <n v="2"/>
    <n v="1"/>
    <n v="1"/>
    <n v="0"/>
    <n v="0"/>
    <n v="1"/>
    <n v="1"/>
  </r>
  <r>
    <x v="61"/>
    <x v="225"/>
    <n v="1"/>
    <n v="1"/>
    <n v="0"/>
    <n v="0"/>
    <n v="0"/>
    <n v="0"/>
    <n v="1"/>
    <n v="1"/>
  </r>
  <r>
    <x v="61"/>
    <x v="226"/>
    <n v="2"/>
    <n v="2"/>
    <n v="2"/>
    <n v="2"/>
    <n v="0"/>
    <n v="0"/>
    <n v="0"/>
    <n v="0"/>
  </r>
  <r>
    <x v="64"/>
    <x v="227"/>
    <n v="3"/>
    <n v="3"/>
    <n v="2"/>
    <n v="2"/>
    <n v="1"/>
    <n v="1"/>
    <n v="0"/>
    <n v="0"/>
  </r>
  <r>
    <x v="64"/>
    <x v="228"/>
    <n v="3448"/>
    <n v="861"/>
    <n v="1064"/>
    <n v="276"/>
    <n v="262"/>
    <n v="118"/>
    <n v="2122"/>
    <n v="467"/>
  </r>
  <r>
    <x v="65"/>
    <x v="229"/>
    <n v="2179"/>
    <n v="625"/>
    <n v="350"/>
    <n v="138"/>
    <n v="631"/>
    <n v="192"/>
    <n v="1198"/>
    <n v="295"/>
  </r>
  <r>
    <x v="65"/>
    <x v="230"/>
    <n v="2661"/>
    <n v="715"/>
    <n v="828"/>
    <n v="230"/>
    <n v="966"/>
    <n v="255"/>
    <n v="867"/>
    <n v="230"/>
  </r>
  <r>
    <x v="66"/>
    <x v="231"/>
    <n v="6583"/>
    <n v="1351"/>
    <n v="1712"/>
    <n v="351"/>
    <n v="2543"/>
    <n v="500"/>
    <n v="2328"/>
    <n v="500"/>
  </r>
  <r>
    <x v="66"/>
    <x v="232"/>
    <n v="7118"/>
    <n v="1371"/>
    <n v="1700"/>
    <n v="371"/>
    <n v="2752"/>
    <n v="500"/>
    <n v="2666"/>
    <n v="500"/>
  </r>
  <r>
    <x v="64"/>
    <x v="233"/>
    <n v="3"/>
    <n v="3"/>
    <n v="0"/>
    <n v="0"/>
    <n v="0"/>
    <n v="0"/>
    <n v="3"/>
    <n v="3"/>
  </r>
  <r>
    <x v="64"/>
    <x v="234"/>
    <n v="4"/>
    <n v="4"/>
    <n v="2"/>
    <n v="2"/>
    <n v="1"/>
    <n v="1"/>
    <n v="1"/>
    <n v="1"/>
  </r>
  <r>
    <x v="63"/>
    <x v="235"/>
    <n v="29"/>
    <n v="29"/>
    <n v="1"/>
    <n v="1"/>
    <n v="0"/>
    <n v="0"/>
    <n v="28"/>
    <n v="28"/>
  </r>
  <r>
    <x v="63"/>
    <x v="236"/>
    <n v="12"/>
    <n v="12"/>
    <n v="2"/>
    <n v="2"/>
    <n v="1"/>
    <n v="1"/>
    <n v="9"/>
    <n v="9"/>
  </r>
  <r>
    <x v="38"/>
    <x v="237"/>
    <n v="164"/>
    <n v="111"/>
    <n v="9"/>
    <n v="8"/>
    <n v="4"/>
    <n v="4"/>
    <n v="151"/>
    <n v="99"/>
  </r>
  <r>
    <x v="38"/>
    <x v="238"/>
    <n v="3"/>
    <n v="3"/>
    <n v="1"/>
    <n v="1"/>
    <n v="1"/>
    <n v="1"/>
    <n v="1"/>
    <n v="1"/>
  </r>
  <r>
    <x v="67"/>
    <x v="239"/>
    <n v="3265"/>
    <n v="777"/>
    <n v="8"/>
    <n v="8"/>
    <n v="1017"/>
    <n v="269"/>
    <n v="2240"/>
    <n v="500"/>
  </r>
  <r>
    <x v="67"/>
    <x v="240"/>
    <n v="3"/>
    <n v="3"/>
    <n v="2"/>
    <n v="2"/>
    <n v="0"/>
    <n v="0"/>
    <n v="1"/>
    <n v="1"/>
  </r>
  <r>
    <x v="68"/>
    <x v="241"/>
    <n v="124"/>
    <n v="82"/>
    <n v="5"/>
    <n v="5"/>
    <n v="1"/>
    <n v="1"/>
    <n v="118"/>
    <n v="76"/>
  </r>
  <r>
    <x v="68"/>
    <x v="242"/>
    <n v="11"/>
    <n v="7"/>
    <n v="4"/>
    <n v="3"/>
    <n v="6"/>
    <n v="3"/>
    <n v="1"/>
    <n v="1"/>
  </r>
  <r>
    <x v="69"/>
    <x v="243"/>
    <n v="1462"/>
    <n v="495"/>
    <n v="444"/>
    <n v="156"/>
    <n v="460"/>
    <n v="159"/>
    <n v="558"/>
    <n v="180"/>
  </r>
  <r>
    <x v="69"/>
    <x v="244"/>
    <n v="1629"/>
    <n v="526"/>
    <n v="494"/>
    <n v="164"/>
    <n v="516"/>
    <n v="170"/>
    <n v="619"/>
    <n v="192"/>
  </r>
  <r>
    <x v="68"/>
    <x v="245"/>
    <n v="9"/>
    <n v="9"/>
    <n v="7"/>
    <n v="7"/>
    <n v="0"/>
    <n v="0"/>
    <n v="2"/>
    <n v="2"/>
  </r>
  <r>
    <x v="68"/>
    <x v="246"/>
    <n v="3"/>
    <n v="3"/>
    <n v="3"/>
    <n v="3"/>
    <n v="0"/>
    <n v="0"/>
    <n v="0"/>
    <n v="0"/>
  </r>
  <r>
    <x v="69"/>
    <x v="247"/>
    <n v="841"/>
    <n v="375"/>
    <n v="347"/>
    <n v="139"/>
    <n v="305"/>
    <n v="129"/>
    <n v="189"/>
    <n v="107"/>
  </r>
  <r>
    <x v="69"/>
    <x v="248"/>
    <n v="658"/>
    <n v="330"/>
    <n v="182"/>
    <n v="102"/>
    <n v="294"/>
    <n v="126"/>
    <n v="182"/>
    <n v="102"/>
  </r>
  <r>
    <x v="65"/>
    <x v="249"/>
    <n v="2883"/>
    <n v="768"/>
    <n v="1175"/>
    <n v="299"/>
    <n v="967"/>
    <n v="257"/>
    <n v="741"/>
    <n v="212"/>
  </r>
  <r>
    <x v="65"/>
    <x v="250"/>
    <n v="2365"/>
    <n v="655"/>
    <n v="833"/>
    <n v="225"/>
    <n v="787"/>
    <n v="218"/>
    <n v="745"/>
    <n v="212"/>
  </r>
  <r>
    <x v="65"/>
    <x v="251"/>
    <n v="13"/>
    <n v="13"/>
    <n v="6"/>
    <n v="6"/>
    <n v="1"/>
    <n v="1"/>
    <n v="6"/>
    <n v="6"/>
  </r>
  <r>
    <x v="70"/>
    <x v="252"/>
    <n v="3"/>
    <n v="3"/>
    <n v="3"/>
    <n v="3"/>
    <n v="0"/>
    <n v="0"/>
    <n v="0"/>
    <n v="0"/>
  </r>
  <r>
    <x v="70"/>
    <x v="253"/>
    <n v="2"/>
    <n v="2"/>
    <n v="0"/>
    <n v="0"/>
    <n v="2"/>
    <n v="2"/>
    <n v="0"/>
    <n v="0"/>
  </r>
  <r>
    <x v="70"/>
    <x v="254"/>
    <n v="48"/>
    <n v="45"/>
    <n v="22"/>
    <n v="20"/>
    <n v="9"/>
    <n v="8"/>
    <n v="17"/>
    <n v="17"/>
  </r>
  <r>
    <x v="71"/>
    <x v="255"/>
    <n v="11"/>
    <n v="11"/>
    <n v="4"/>
    <n v="4"/>
    <n v="0"/>
    <n v="0"/>
    <n v="7"/>
    <n v="7"/>
  </r>
  <r>
    <x v="72"/>
    <x v="256"/>
    <n v="1551"/>
    <n v="510"/>
    <n v="626"/>
    <n v="192"/>
    <n v="609"/>
    <n v="188"/>
    <n v="316"/>
    <n v="130"/>
  </r>
  <r>
    <x v="72"/>
    <x v="257"/>
    <n v="1528"/>
    <n v="500"/>
    <n v="449"/>
    <n v="155"/>
    <n v="575"/>
    <n v="179"/>
    <n v="504"/>
    <n v="166"/>
  </r>
  <r>
    <x v="73"/>
    <x v="258"/>
    <n v="6026"/>
    <n v="1322"/>
    <n v="1700"/>
    <n v="384"/>
    <n v="2043"/>
    <n v="445"/>
    <n v="2283"/>
    <n v="493"/>
  </r>
  <r>
    <x v="73"/>
    <x v="259"/>
    <n v="542"/>
    <n v="177"/>
    <n v="1"/>
    <n v="1"/>
    <n v="1"/>
    <n v="1"/>
    <n v="540"/>
    <n v="175"/>
  </r>
  <r>
    <x v="73"/>
    <x v="260"/>
    <n v="4924"/>
    <n v="1176"/>
    <n v="879"/>
    <n v="241"/>
    <n v="2188"/>
    <n v="500"/>
    <n v="1857"/>
    <n v="435"/>
  </r>
  <r>
    <x v="58"/>
    <x v="261"/>
    <n v="6339"/>
    <n v="1433"/>
    <n v="1837"/>
    <n v="433"/>
    <n v="2221"/>
    <n v="500"/>
    <n v="2281"/>
    <n v="500"/>
  </r>
  <r>
    <x v="58"/>
    <x v="262"/>
    <n v="6010"/>
    <n v="1404"/>
    <n v="1908"/>
    <n v="449"/>
    <n v="1988"/>
    <n v="465"/>
    <n v="2114"/>
    <n v="490"/>
  </r>
  <r>
    <x v="74"/>
    <x v="263"/>
    <n v="1787"/>
    <n v="561"/>
    <n v="532"/>
    <n v="174"/>
    <n v="535"/>
    <n v="176"/>
    <n v="720"/>
    <n v="211"/>
  </r>
  <r>
    <x v="74"/>
    <x v="264"/>
    <n v="3360"/>
    <n v="856"/>
    <n v="198"/>
    <n v="109"/>
    <n v="1278"/>
    <n v="321"/>
    <n v="1884"/>
    <n v="426"/>
  </r>
  <r>
    <x v="75"/>
    <x v="265"/>
    <n v="4123"/>
    <n v="993"/>
    <n v="1629"/>
    <n v="384"/>
    <n v="1385"/>
    <n v="332"/>
    <n v="1109"/>
    <n v="277"/>
  </r>
  <r>
    <x v="75"/>
    <x v="266"/>
    <n v="1471"/>
    <n v="494"/>
    <n v="799"/>
    <n v="224"/>
    <n v="305"/>
    <n v="129"/>
    <n v="367"/>
    <n v="141"/>
  </r>
  <r>
    <x v="76"/>
    <x v="267"/>
    <n v="8"/>
    <n v="8"/>
    <n v="3"/>
    <n v="3"/>
    <n v="0"/>
    <n v="0"/>
    <n v="5"/>
    <n v="5"/>
  </r>
  <r>
    <x v="76"/>
    <x v="268"/>
    <n v="3"/>
    <n v="3"/>
    <n v="3"/>
    <n v="3"/>
    <n v="0"/>
    <n v="0"/>
    <n v="0"/>
    <n v="0"/>
  </r>
  <r>
    <x v="72"/>
    <x v="269"/>
    <n v="4314"/>
    <n v="1060"/>
    <n v="1898"/>
    <n v="445"/>
    <n v="1273"/>
    <n v="322"/>
    <n v="1143"/>
    <n v="293"/>
  </r>
  <r>
    <x v="72"/>
    <x v="270"/>
    <n v="4035"/>
    <n v="955"/>
    <n v="383"/>
    <n v="144"/>
    <n v="1804"/>
    <n v="411"/>
    <n v="1848"/>
    <n v="400"/>
  </r>
  <r>
    <x v="77"/>
    <x v="271"/>
    <n v="2119"/>
    <n v="625"/>
    <n v="973"/>
    <n v="263"/>
    <n v="391"/>
    <n v="148"/>
    <n v="755"/>
    <n v="214"/>
  </r>
  <r>
    <x v="77"/>
    <x v="272"/>
    <n v="6527"/>
    <n v="1484"/>
    <n v="2125"/>
    <n v="484"/>
    <n v="2200"/>
    <n v="500"/>
    <n v="2202"/>
    <n v="500"/>
  </r>
  <r>
    <x v="78"/>
    <x v="273"/>
    <n v="1"/>
    <n v="1"/>
    <n v="0"/>
    <n v="0"/>
    <n v="0"/>
    <n v="0"/>
    <n v="1"/>
    <n v="1"/>
  </r>
  <r>
    <x v="78"/>
    <x v="274"/>
    <n v="9"/>
    <n v="7"/>
    <n v="6"/>
    <n v="4"/>
    <n v="1"/>
    <n v="1"/>
    <n v="2"/>
    <n v="2"/>
  </r>
  <r>
    <x v="79"/>
    <x v="275"/>
    <n v="415"/>
    <n v="176"/>
    <n v="38"/>
    <n v="32"/>
    <n v="1"/>
    <n v="1"/>
    <n v="376"/>
    <n v="143"/>
  </r>
  <r>
    <x v="79"/>
    <x v="276"/>
    <n v="838"/>
    <n v="358"/>
    <n v="208"/>
    <n v="105"/>
    <n v="208"/>
    <n v="105"/>
    <n v="422"/>
    <n v="148"/>
  </r>
  <r>
    <x v="79"/>
    <x v="277"/>
    <n v="4064"/>
    <n v="965"/>
    <n v="1320"/>
    <n v="313"/>
    <n v="1228"/>
    <n v="297"/>
    <n v="1516"/>
    <n v="355"/>
  </r>
  <r>
    <x v="79"/>
    <x v="278"/>
    <n v="5293"/>
    <n v="1222"/>
    <n v="1521"/>
    <n v="356"/>
    <n v="1817"/>
    <n v="419"/>
    <n v="1955"/>
    <n v="447"/>
  </r>
  <r>
    <x v="77"/>
    <x v="279"/>
    <n v="4542"/>
    <n v="1097"/>
    <n v="854"/>
    <n v="233"/>
    <n v="1519"/>
    <n v="369"/>
    <n v="2169"/>
    <n v="495"/>
  </r>
  <r>
    <x v="77"/>
    <x v="280"/>
    <n v="6051"/>
    <n v="1377"/>
    <n v="1647"/>
    <n v="383"/>
    <n v="2188"/>
    <n v="494"/>
    <n v="2216"/>
    <n v="500"/>
  </r>
  <r>
    <x v="63"/>
    <x v="281"/>
    <n v="6"/>
    <n v="6"/>
    <n v="4"/>
    <n v="4"/>
    <n v="1"/>
    <n v="1"/>
    <n v="1"/>
    <n v="1"/>
  </r>
  <r>
    <x v="63"/>
    <x v="282"/>
    <n v="15"/>
    <n v="14"/>
    <n v="14"/>
    <n v="13"/>
    <n v="0"/>
    <n v="0"/>
    <n v="1"/>
    <n v="1"/>
  </r>
  <r>
    <x v="80"/>
    <x v="283"/>
    <n v="1145"/>
    <n v="432"/>
    <n v="293"/>
    <n v="127"/>
    <n v="516"/>
    <n v="170"/>
    <n v="336"/>
    <n v="135"/>
  </r>
  <r>
    <x v="80"/>
    <x v="284"/>
    <n v="8"/>
    <n v="8"/>
    <n v="4"/>
    <n v="4"/>
    <n v="2"/>
    <n v="2"/>
    <n v="2"/>
    <n v="2"/>
  </r>
  <r>
    <x v="81"/>
    <x v="285"/>
    <n v="9"/>
    <n v="9"/>
    <n v="5"/>
    <n v="5"/>
    <n v="2"/>
    <n v="2"/>
    <n v="2"/>
    <n v="2"/>
  </r>
  <r>
    <x v="81"/>
    <x v="286"/>
    <n v="5"/>
    <n v="5"/>
    <n v="3"/>
    <n v="3"/>
    <n v="2"/>
    <n v="2"/>
    <n v="0"/>
    <n v="0"/>
  </r>
  <r>
    <x v="74"/>
    <x v="287"/>
    <n v="2412"/>
    <n v="683"/>
    <n v="899"/>
    <n v="248"/>
    <n v="414"/>
    <n v="150"/>
    <n v="1099"/>
    <n v="285"/>
  </r>
  <r>
    <x v="74"/>
    <x v="288"/>
    <n v="1578"/>
    <n v="521"/>
    <n v="860"/>
    <n v="239"/>
    <n v="422"/>
    <n v="153"/>
    <n v="296"/>
    <n v="129"/>
  </r>
  <r>
    <x v="82"/>
    <x v="289"/>
    <n v="547"/>
    <n v="181"/>
    <n v="6"/>
    <n v="6"/>
    <n v="2"/>
    <n v="2"/>
    <n v="539"/>
    <n v="173"/>
  </r>
  <r>
    <x v="82"/>
    <x v="290"/>
    <n v="219"/>
    <n v="110"/>
    <n v="5"/>
    <n v="5"/>
    <n v="1"/>
    <n v="1"/>
    <n v="213"/>
    <n v="104"/>
  </r>
  <r>
    <x v="76"/>
    <x v="291"/>
    <n v="7"/>
    <n v="7"/>
    <n v="5"/>
    <n v="5"/>
    <n v="0"/>
    <n v="0"/>
    <n v="2"/>
    <n v="2"/>
  </r>
  <r>
    <x v="76"/>
    <x v="292"/>
    <n v="3"/>
    <n v="3"/>
    <n v="1"/>
    <n v="1"/>
    <n v="1"/>
    <n v="1"/>
    <n v="1"/>
    <n v="1"/>
  </r>
  <r>
    <x v="72"/>
    <x v="293"/>
    <n v="1261"/>
    <n v="448"/>
    <n v="573"/>
    <n v="181"/>
    <n v="358"/>
    <n v="137"/>
    <n v="330"/>
    <n v="130"/>
  </r>
  <r>
    <x v="72"/>
    <x v="294"/>
    <n v="5"/>
    <n v="5"/>
    <n v="5"/>
    <n v="5"/>
    <n v="0"/>
    <n v="0"/>
    <n v="0"/>
    <n v="0"/>
  </r>
  <r>
    <x v="83"/>
    <x v="295"/>
    <n v="376"/>
    <n v="245"/>
    <n v="49"/>
    <n v="49"/>
    <n v="176"/>
    <n v="104"/>
    <n v="151"/>
    <n v="92"/>
  </r>
  <r>
    <x v="83"/>
    <x v="296"/>
    <n v="876"/>
    <n v="379"/>
    <n v="286"/>
    <n v="125"/>
    <n v="282"/>
    <n v="125"/>
    <n v="308"/>
    <n v="129"/>
  </r>
  <r>
    <x v="83"/>
    <x v="297"/>
    <n v="1073"/>
    <n v="364"/>
    <n v="22"/>
    <n v="20"/>
    <n v="428"/>
    <n v="153"/>
    <n v="623"/>
    <n v="191"/>
  </r>
  <r>
    <x v="82"/>
    <x v="298"/>
    <n v="1923"/>
    <n v="589"/>
    <n v="380"/>
    <n v="145"/>
    <n v="601"/>
    <n v="189"/>
    <n v="942"/>
    <n v="255"/>
  </r>
  <r>
    <x v="82"/>
    <x v="299"/>
    <n v="4"/>
    <n v="4"/>
    <n v="0"/>
    <n v="0"/>
    <n v="3"/>
    <n v="3"/>
    <n v="1"/>
    <n v="1"/>
  </r>
  <r>
    <x v="82"/>
    <x v="300"/>
    <n v="8"/>
    <n v="8"/>
    <n v="5"/>
    <n v="5"/>
    <n v="3"/>
    <n v="3"/>
    <n v="0"/>
    <n v="0"/>
  </r>
  <r>
    <x v="84"/>
    <x v="301"/>
    <n v="3140"/>
    <n v="824"/>
    <n v="1507"/>
    <n v="365"/>
    <n v="696"/>
    <n v="206"/>
    <n v="937"/>
    <n v="253"/>
  </r>
  <r>
    <x v="84"/>
    <x v="302"/>
    <n v="3348"/>
    <n v="852"/>
    <n v="643"/>
    <n v="185"/>
    <n v="1000"/>
    <n v="265"/>
    <n v="1705"/>
    <n v="402"/>
  </r>
  <r>
    <x v="63"/>
    <x v="303"/>
    <n v="1"/>
    <n v="1"/>
    <n v="1"/>
    <n v="1"/>
    <n v="0"/>
    <n v="0"/>
    <n v="0"/>
    <n v="0"/>
  </r>
  <r>
    <x v="85"/>
    <x v="304"/>
    <n v="2"/>
    <n v="2"/>
    <n v="2"/>
    <n v="2"/>
    <n v="0"/>
    <n v="0"/>
    <n v="0"/>
    <n v="0"/>
  </r>
  <r>
    <x v="85"/>
    <x v="305"/>
    <n v="71"/>
    <n v="63"/>
    <n v="17"/>
    <n v="17"/>
    <n v="3"/>
    <n v="3"/>
    <n v="51"/>
    <n v="43"/>
  </r>
  <r>
    <x v="58"/>
    <x v="306"/>
    <n v="5391"/>
    <n v="991"/>
    <n v="7"/>
    <n v="5"/>
    <n v="2772"/>
    <n v="486"/>
    <n v="2612"/>
    <n v="500"/>
  </r>
  <r>
    <x v="58"/>
    <x v="307"/>
    <n v="4"/>
    <n v="4"/>
    <n v="2"/>
    <n v="2"/>
    <n v="2"/>
    <n v="2"/>
    <n v="0"/>
    <n v="0"/>
  </r>
  <r>
    <x v="63"/>
    <x v="308"/>
    <n v="1"/>
    <n v="1"/>
    <n v="0"/>
    <n v="0"/>
    <n v="0"/>
    <n v="0"/>
    <n v="1"/>
    <n v="1"/>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r>
    <x v="86"/>
    <x v="309"/>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L4:M92" firstHeaderRow="1" firstDataRow="1" firstDataCol="1"/>
  <pivotFields count="10">
    <pivotField axis="axisRow" showAll="0" sortType="ascending">
      <items count="88">
        <item n="129S1/SvImJ" x="43"/>
        <item x="3"/>
        <item x="2"/>
        <item x="39"/>
        <item x="83"/>
        <item x="81"/>
        <item x="78"/>
        <item x="85"/>
        <item x="62"/>
        <item x="7"/>
        <item x="5"/>
        <item x="65"/>
        <item x="64"/>
        <item x="56"/>
        <item x="66"/>
        <item x="82"/>
        <item x="68"/>
        <item x="76"/>
        <item x="71"/>
        <item x="26"/>
        <item x="31"/>
        <item x="27"/>
        <item x="28"/>
        <item x="50"/>
        <item x="34"/>
        <item x="29"/>
        <item x="17"/>
        <item x="33"/>
        <item x="24"/>
        <item x="21"/>
        <item x="14"/>
        <item x="20"/>
        <item x="19"/>
        <item x="23"/>
        <item x="32"/>
        <item x="72"/>
        <item x="16"/>
        <item x="30"/>
        <item x="18"/>
        <item x="25"/>
        <item x="13"/>
        <item x="22"/>
        <item x="80"/>
        <item x="63"/>
        <item x="70"/>
        <item x="73"/>
        <item x="67"/>
        <item x="74"/>
        <item x="4"/>
        <item x="10"/>
        <item x="9"/>
        <item x="12"/>
        <item x="46"/>
        <item x="35"/>
        <item x="79"/>
        <item x="45"/>
        <item x="38"/>
        <item x="59"/>
        <item x="61"/>
        <item x="77"/>
        <item x="75"/>
        <item x="1"/>
        <item x="15"/>
        <item x="49"/>
        <item x="8"/>
        <item x="58"/>
        <item x="54"/>
        <item x="60"/>
        <item x="11"/>
        <item x="69"/>
        <item x="44"/>
        <item x="47"/>
        <item x="37"/>
        <item x="0"/>
        <item x="51"/>
        <item x="84"/>
        <item x="40"/>
        <item x="42"/>
        <item x="55"/>
        <item x="36"/>
        <item x="48"/>
        <item x="52"/>
        <item x="53"/>
        <item x="6"/>
        <item x="41"/>
        <item x="57"/>
        <item x="86"/>
        <item t="default"/>
      </items>
    </pivotField>
    <pivotField showAll="0">
      <items count="31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309"/>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t="default"/>
      </items>
    </pivotField>
    <pivotField dataField="1" showAll="0"/>
    <pivotField showAll="0"/>
    <pivotField showAll="0"/>
    <pivotField showAll="0"/>
    <pivotField showAll="0"/>
    <pivotField showAll="0"/>
    <pivotField showAll="0"/>
    <pivotField showAll="0"/>
  </pivotFields>
  <rowFields count="1">
    <field x="0"/>
  </rowFields>
  <rowItems count="8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t="grand">
      <x/>
    </i>
  </rowItems>
  <colItems count="1">
    <i/>
  </colItems>
  <dataFields count="1">
    <dataField name="Count of Active"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2" cacheId="0" dataOnRows="1"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
  <location ref="A4:A92" firstHeaderRow="1" firstDataRow="1" firstDataCol="1"/>
  <pivotFields count="10">
    <pivotField showAll="0">
      <items count="31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t="default"/>
      </items>
    </pivotField>
    <pivotField showAll="0"/>
    <pivotField showAll="0"/>
    <pivotField showAll="0">
      <items count="5">
        <item x="0"/>
        <item x="1"/>
        <item x="2"/>
        <item x="3"/>
        <item t="default"/>
      </items>
    </pivotField>
    <pivotField showAll="0"/>
    <pivotField showAll="0"/>
    <pivotField axis="axisRow" showAll="0" sortType="ascending">
      <items count="88">
        <item n="129S1/SvImJ" x="43"/>
        <item x="3"/>
        <item x="2"/>
        <item x="39"/>
        <item x="83"/>
        <item x="81"/>
        <item x="78"/>
        <item x="85"/>
        <item x="62"/>
        <item x="7"/>
        <item x="5"/>
        <item x="65"/>
        <item x="64"/>
        <item x="56"/>
        <item x="66"/>
        <item x="82"/>
        <item x="68"/>
        <item x="76"/>
        <item x="71"/>
        <item x="26"/>
        <item x="31"/>
        <item x="27"/>
        <item x="28"/>
        <item x="50"/>
        <item x="34"/>
        <item x="29"/>
        <item x="17"/>
        <item x="33"/>
        <item x="24"/>
        <item x="21"/>
        <item x="14"/>
        <item x="20"/>
        <item x="19"/>
        <item x="23"/>
        <item x="32"/>
        <item x="72"/>
        <item x="16"/>
        <item x="30"/>
        <item x="18"/>
        <item x="25"/>
        <item x="13"/>
        <item x="22"/>
        <item x="80"/>
        <item x="63"/>
        <item x="70"/>
        <item x="73"/>
        <item x="67"/>
        <item x="74"/>
        <item x="4"/>
        <item x="10"/>
        <item x="9"/>
        <item x="12"/>
        <item x="46"/>
        <item x="35"/>
        <item x="79"/>
        <item x="45"/>
        <item x="38"/>
        <item x="59"/>
        <item x="61"/>
        <item x="77"/>
        <item x="75"/>
        <item x="1"/>
        <item x="15"/>
        <item x="49"/>
        <item x="8"/>
        <item x="58"/>
        <item x="54"/>
        <item x="60"/>
        <item x="11"/>
        <item x="69"/>
        <item x="44"/>
        <item x="47"/>
        <item x="37"/>
        <item x="0"/>
        <item x="51"/>
        <item x="84"/>
        <item x="40"/>
        <item x="42"/>
        <item x="55"/>
        <item x="36"/>
        <item x="48"/>
        <item x="52"/>
        <item x="53"/>
        <item x="6"/>
        <item x="41"/>
        <item x="57"/>
        <item x="86"/>
        <item t="default"/>
      </items>
    </pivotField>
    <pivotField showAll="0"/>
    <pivotField showAll="0"/>
    <pivotField showAll="0" defaultSubtotal="0">
      <items count="285">
        <item x="13"/>
        <item x="6"/>
        <item x="7"/>
        <item x="2"/>
        <item x="20"/>
        <item x="8"/>
        <item x="89"/>
        <item x="199"/>
        <item x="3"/>
        <item x="88"/>
        <item x="37"/>
        <item x="208"/>
        <item x="228"/>
        <item x="18"/>
        <item x="64"/>
        <item x="138"/>
        <item x="14"/>
        <item x="172"/>
        <item x="15"/>
        <item x="205"/>
        <item x="202"/>
        <item x="174"/>
        <item x="140"/>
        <item x="5"/>
        <item x="4"/>
        <item x="100"/>
        <item x="158"/>
        <item x="38"/>
        <item x="110"/>
        <item x="278"/>
        <item x="181"/>
        <item x="91"/>
        <item x="130"/>
        <item x="155"/>
        <item x="177"/>
        <item x="123"/>
        <item x="195"/>
        <item x="128"/>
        <item x="67"/>
        <item x="209"/>
        <item x="166"/>
        <item x="153"/>
        <item x="247"/>
        <item x="143"/>
        <item x="105"/>
        <item x="39"/>
        <item x="229"/>
        <item x="257"/>
        <item x="119"/>
        <item x="27"/>
        <item x="237"/>
        <item x="121"/>
        <item x="191"/>
        <item x="118"/>
        <item x="93"/>
        <item x="156"/>
        <item x="232"/>
        <item x="42"/>
        <item x="57"/>
        <item x="98"/>
        <item x="115"/>
        <item x="65"/>
        <item x="233"/>
        <item x="251"/>
        <item x="267"/>
        <item x="12"/>
        <item x="189"/>
        <item x="114"/>
        <item x="34"/>
        <item x="239"/>
        <item x="108"/>
        <item x="124"/>
        <item x="21"/>
        <item x="226"/>
        <item x="48"/>
        <item x="161"/>
        <item x="179"/>
        <item x="24"/>
        <item x="75"/>
        <item x="222"/>
        <item x="109"/>
        <item x="19"/>
        <item x="182"/>
        <item x="133"/>
        <item x="122"/>
        <item x="214"/>
        <item x="165"/>
        <item x="47"/>
        <item x="63"/>
        <item x="145"/>
        <item x="244"/>
        <item x="218"/>
        <item x="221"/>
        <item x="73"/>
        <item x="162"/>
        <item x="157"/>
        <item x="126"/>
        <item x="180"/>
        <item x="131"/>
        <item x="276"/>
        <item x="256"/>
        <item x="219"/>
        <item x="220"/>
        <item x="253"/>
        <item x="248"/>
        <item x="277"/>
        <item x="55"/>
        <item x="40"/>
        <item x="163"/>
        <item x="33"/>
        <item x="252"/>
        <item x="235"/>
        <item x="32"/>
        <item x="92"/>
        <item x="245"/>
        <item x="104"/>
        <item x="58"/>
        <item x="238"/>
        <item x="216"/>
        <item x="96"/>
        <item x="225"/>
        <item x="154"/>
        <item x="74"/>
        <item x="280"/>
        <item x="210"/>
        <item x="45"/>
        <item x="61"/>
        <item x="147"/>
        <item x="171"/>
        <item x="81"/>
        <item x="242"/>
        <item x="28"/>
        <item x="241"/>
        <item x="41"/>
        <item x="16"/>
        <item x="97"/>
        <item x="94"/>
        <item x="112"/>
        <item x="125"/>
        <item x="46"/>
        <item x="173"/>
        <item x="183"/>
        <item x="178"/>
        <item x="211"/>
        <item x="265"/>
        <item x="230"/>
        <item x="269"/>
        <item x="167"/>
        <item x="215"/>
        <item x="185"/>
        <item x="102"/>
        <item x="268"/>
        <item x="282"/>
        <item x="188"/>
        <item x="99"/>
        <item x="23"/>
        <item x="169"/>
        <item x="106"/>
        <item x="198"/>
        <item x="281"/>
        <item x="66"/>
        <item x="246"/>
        <item x="29"/>
        <item x="240"/>
        <item x="262"/>
        <item x="194"/>
        <item x="56"/>
        <item x="142"/>
        <item x="103"/>
        <item x="82"/>
        <item x="79"/>
        <item x="144"/>
        <item x="84"/>
        <item x="263"/>
        <item x="49"/>
        <item x="270"/>
        <item x="184"/>
        <item x="249"/>
        <item x="170"/>
        <item x="11"/>
        <item x="69"/>
        <item x="135"/>
        <item x="85"/>
        <item x="107"/>
        <item x="160"/>
        <item x="137"/>
        <item x="10"/>
        <item x="264"/>
        <item x="52"/>
        <item x="258"/>
        <item x="159"/>
        <item x="111"/>
        <item x="53"/>
        <item x="35"/>
        <item x="139"/>
        <item x="117"/>
        <item x="259"/>
        <item x="71"/>
        <item x="62"/>
        <item x="25"/>
        <item x="201"/>
        <item x="78"/>
        <item x="60"/>
        <item x="204"/>
        <item x="231"/>
        <item x="44"/>
        <item x="190"/>
        <item x="151"/>
        <item x="36"/>
        <item x="90"/>
        <item x="279"/>
        <item x="59"/>
        <item x="272"/>
        <item x="127"/>
        <item x="243"/>
        <item x="168"/>
        <item x="31"/>
        <item x="148"/>
        <item x="217"/>
        <item x="186"/>
        <item x="120"/>
        <item x="266"/>
        <item x="250"/>
        <item x="146"/>
        <item x="22"/>
        <item x="193"/>
        <item x="141"/>
        <item x="234"/>
        <item x="83"/>
        <item x="196"/>
        <item x="136"/>
        <item x="134"/>
        <item x="192"/>
        <item x="283"/>
        <item x="77"/>
        <item x="51"/>
        <item x="132"/>
        <item x="129"/>
        <item x="206"/>
        <item x="200"/>
        <item x="150"/>
        <item x="113"/>
        <item x="271"/>
        <item x="50"/>
        <item x="227"/>
        <item x="223"/>
        <item x="176"/>
        <item x="261"/>
        <item x="70"/>
        <item x="254"/>
        <item x="207"/>
        <item x="236"/>
        <item x="203"/>
        <item x="1"/>
        <item x="54"/>
        <item x="43"/>
        <item x="175"/>
        <item x="68"/>
        <item x="72"/>
        <item x="116"/>
        <item x="274"/>
        <item x="255"/>
        <item x="224"/>
        <item x="197"/>
        <item x="213"/>
        <item x="95"/>
        <item x="80"/>
        <item x="17"/>
        <item x="0"/>
        <item x="187"/>
        <item x="101"/>
        <item x="149"/>
        <item x="212"/>
        <item x="30"/>
        <item x="26"/>
        <item x="152"/>
        <item x="260"/>
        <item x="87"/>
        <item x="86"/>
        <item x="273"/>
        <item x="275"/>
        <item x="76"/>
        <item x="164"/>
        <item x="9"/>
        <item x="284"/>
      </items>
    </pivotField>
  </pivotFields>
  <rowFields count="1">
    <field x="6"/>
  </rowFields>
  <rowItems count="8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
  <location ref="A3:A33" firstHeaderRow="1" firstDataRow="1" firstDataCol="1"/>
  <pivotFields count="10">
    <pivotField axis="axisRow" showAll="0">
      <items count="88">
        <item h="1" x="43"/>
        <item x="3"/>
        <item x="2"/>
        <item x="39"/>
        <item x="7"/>
        <item x="5"/>
        <item x="56"/>
        <item h="1" x="26"/>
        <item h="1" x="31"/>
        <item h="1" x="27"/>
        <item h="1" x="28"/>
        <item h="1" x="50"/>
        <item h="1" x="34"/>
        <item h="1" x="29"/>
        <item h="1" x="17"/>
        <item h="1" x="33"/>
        <item h="1" x="24"/>
        <item h="1" x="21"/>
        <item h="1" x="14"/>
        <item h="1" x="20"/>
        <item h="1" x="19"/>
        <item h="1" x="23"/>
        <item h="1" x="32"/>
        <item h="1" x="16"/>
        <item h="1" x="30"/>
        <item h="1" x="18"/>
        <item h="1" x="25"/>
        <item h="1" x="13"/>
        <item h="1" x="22"/>
        <item x="4"/>
        <item h="1" x="10"/>
        <item h="1" x="9"/>
        <item x="12"/>
        <item x="46"/>
        <item x="35"/>
        <item h="1" x="45"/>
        <item x="38"/>
        <item x="59"/>
        <item x="61"/>
        <item h="1" x="1"/>
        <item x="15"/>
        <item h="1" x="49"/>
        <item x="8"/>
        <item x="58"/>
        <item h="1" x="54"/>
        <item h="1" x="60"/>
        <item x="11"/>
        <item x="44"/>
        <item h="1" x="47"/>
        <item x="37"/>
        <item x="0"/>
        <item x="51"/>
        <item x="40"/>
        <item x="42"/>
        <item x="55"/>
        <item x="36"/>
        <item h="1" x="48"/>
        <item x="52"/>
        <item x="53"/>
        <item x="6"/>
        <item x="41"/>
        <item h="1" x="57"/>
        <item h="1" x="86"/>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t="default"/>
      </items>
    </pivotField>
    <pivotField showAll="0"/>
    <pivotField showAll="0"/>
    <pivotField showAll="0"/>
    <pivotField showAll="0"/>
    <pivotField showAll="0"/>
    <pivotField showAll="0"/>
    <pivotField showAll="0"/>
    <pivotField showAll="0"/>
    <pivotField showAll="0"/>
  </pivotFields>
  <rowFields count="1">
    <field x="0"/>
  </rowFields>
  <rowItems count="30">
    <i>
      <x v="1"/>
    </i>
    <i>
      <x v="2"/>
    </i>
    <i>
      <x v="3"/>
    </i>
    <i>
      <x v="4"/>
    </i>
    <i>
      <x v="5"/>
    </i>
    <i>
      <x v="6"/>
    </i>
    <i>
      <x v="29"/>
    </i>
    <i>
      <x v="32"/>
    </i>
    <i>
      <x v="33"/>
    </i>
    <i>
      <x v="34"/>
    </i>
    <i>
      <x v="36"/>
    </i>
    <i>
      <x v="37"/>
    </i>
    <i>
      <x v="38"/>
    </i>
    <i>
      <x v="40"/>
    </i>
    <i>
      <x v="42"/>
    </i>
    <i>
      <x v="43"/>
    </i>
    <i>
      <x v="46"/>
    </i>
    <i>
      <x v="47"/>
    </i>
    <i>
      <x v="49"/>
    </i>
    <i>
      <x v="50"/>
    </i>
    <i>
      <x v="51"/>
    </i>
    <i>
      <x v="52"/>
    </i>
    <i>
      <x v="53"/>
    </i>
    <i>
      <x v="54"/>
    </i>
    <i>
      <x v="55"/>
    </i>
    <i>
      <x v="57"/>
    </i>
    <i>
      <x v="58"/>
    </i>
    <i>
      <x v="59"/>
    </i>
    <i>
      <x v="6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jaxmice.jax.org/strain/001976.html" TargetMode="External"/><Relationship Id="rId1" Type="http://schemas.openxmlformats.org/officeDocument/2006/relationships/hyperlink" Target="http://www.ncbi.nlm.nih.gov/pubmed/807855%3E1975%3C/A%3E)see%20Trait%20ID%2013032%20from%20BXD%20Published%20Phenotypes).%20%3CLI%3EBXD31%20and%2032%20are%20usually%20considered%20part%20of%20this%20same%20epoch%20but%20were%20not%20part%20of%20the%20same%20original%20cross,%20and%20their%20first%20use%20in%20a%20publication%20did%20not%20occur%20until%201983%20(Brownstein,%20%3CA%20HRE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I1048576"/>
  <sheetViews>
    <sheetView zoomScale="70" zoomScaleNormal="70" workbookViewId="0">
      <pane ySplit="1" topLeftCell="A296" activePane="bottomLeft" state="frozen"/>
      <selection activeCell="I633" sqref="I633"/>
      <selection pane="bottomLeft" activeCell="E325" sqref="E325"/>
    </sheetView>
  </sheetViews>
  <sheetFormatPr defaultRowHeight="15" x14ac:dyDescent="0.25"/>
  <cols>
    <col min="4" max="4" width="13.7109375" customWidth="1"/>
    <col min="5" max="5" width="11.5703125" bestFit="1" customWidth="1"/>
    <col min="6" max="6" width="10.85546875" customWidth="1"/>
    <col min="7" max="7" width="10" customWidth="1"/>
    <col min="8" max="8" width="20.5703125" bestFit="1" customWidth="1"/>
    <col min="9" max="9" width="9.7109375" bestFit="1" customWidth="1"/>
    <col min="10" max="10" width="9.140625" customWidth="1"/>
    <col min="11" max="11" width="10.140625" customWidth="1"/>
    <col min="12" max="12" width="9.7109375" bestFit="1" customWidth="1"/>
    <col min="14" max="14" width="15.28515625" bestFit="1" customWidth="1"/>
    <col min="15" max="15" width="10.28515625" customWidth="1"/>
    <col min="16" max="16" width="10.85546875" customWidth="1"/>
    <col min="17" max="17" width="11" style="58" customWidth="1"/>
    <col min="18" max="19" width="10.7109375" style="58" bestFit="1" customWidth="1"/>
    <col min="20" max="20" width="11.28515625" style="58" bestFit="1" customWidth="1"/>
    <col min="21" max="21" width="13.42578125" style="58" customWidth="1"/>
    <col min="22" max="22" width="10.7109375" style="58" bestFit="1" customWidth="1"/>
    <col min="23" max="23" width="11" style="58" customWidth="1"/>
    <col min="24" max="24" width="9.140625" style="58"/>
    <col min="25" max="25" width="9.7109375" style="58" customWidth="1"/>
    <col min="26" max="26" width="9.140625" style="58"/>
    <col min="27" max="27" width="10.28515625" style="58" bestFit="1" customWidth="1"/>
    <col min="28" max="29" width="9.140625" style="58"/>
  </cols>
  <sheetData>
    <row r="1" spans="1:33" x14ac:dyDescent="0.25">
      <c r="A1" t="s">
        <v>43</v>
      </c>
      <c r="B1" t="s">
        <v>44</v>
      </c>
      <c r="C1" t="s">
        <v>109</v>
      </c>
      <c r="D1" t="s">
        <v>30</v>
      </c>
      <c r="E1" t="s">
        <v>12</v>
      </c>
      <c r="F1" t="s">
        <v>26</v>
      </c>
      <c r="G1" t="s">
        <v>37</v>
      </c>
      <c r="H1" t="s">
        <v>66</v>
      </c>
      <c r="I1" s="21">
        <v>0.85</v>
      </c>
      <c r="J1" s="21">
        <v>0.95</v>
      </c>
      <c r="Q1" t="s">
        <v>30</v>
      </c>
      <c r="R1" t="s">
        <v>45</v>
      </c>
      <c r="S1" t="s">
        <v>12</v>
      </c>
      <c r="T1" t="s">
        <v>13</v>
      </c>
      <c r="U1" t="s">
        <v>10</v>
      </c>
      <c r="V1" s="58" t="s">
        <v>99</v>
      </c>
      <c r="W1" s="58" t="s">
        <v>38</v>
      </c>
      <c r="X1" s="58" t="s">
        <v>115</v>
      </c>
      <c r="Y1" s="58" t="s">
        <v>26</v>
      </c>
      <c r="Z1" s="58" t="s">
        <v>37</v>
      </c>
      <c r="AA1" s="60" t="s">
        <v>82</v>
      </c>
      <c r="AB1" s="60"/>
      <c r="AC1" s="60"/>
      <c r="AD1" s="60"/>
      <c r="AE1" s="60"/>
      <c r="AF1" s="60"/>
      <c r="AG1" s="60"/>
    </row>
    <row r="2" spans="1:33" x14ac:dyDescent="0.25">
      <c r="A2">
        <v>1</v>
      </c>
      <c r="B2">
        <v>1</v>
      </c>
      <c r="C2">
        <v>1</v>
      </c>
      <c r="D2" t="s">
        <v>187</v>
      </c>
      <c r="E2" s="1">
        <v>41247</v>
      </c>
      <c r="F2" s="2">
        <v>87</v>
      </c>
      <c r="G2">
        <v>99</v>
      </c>
      <c r="H2" s="6">
        <v>26.1</v>
      </c>
      <c r="I2" s="7">
        <f>H2*0.85</f>
        <v>22.185000000000002</v>
      </c>
      <c r="J2" s="7">
        <f>H2*0.95</f>
        <v>24.795000000000002</v>
      </c>
      <c r="Q2" t="s">
        <v>187</v>
      </c>
      <c r="R2" t="s">
        <v>46</v>
      </c>
      <c r="S2" s="1">
        <v>41247</v>
      </c>
      <c r="T2" s="1">
        <v>41317</v>
      </c>
      <c r="U2" t="s">
        <v>11</v>
      </c>
      <c r="V2" s="1">
        <v>41334</v>
      </c>
      <c r="W2" s="1">
        <v>41346</v>
      </c>
      <c r="X2" s="3" t="s">
        <v>14</v>
      </c>
      <c r="Y2" s="58">
        <f t="shared" ref="Y2:Y40" si="0">V2-S2</f>
        <v>87</v>
      </c>
      <c r="Z2" s="58">
        <f t="shared" ref="Z2:Z13" si="1">W2-S2</f>
        <v>99</v>
      </c>
      <c r="AD2" s="58"/>
      <c r="AE2" s="58"/>
      <c r="AF2" s="58"/>
      <c r="AG2" s="58"/>
    </row>
    <row r="3" spans="1:33" x14ac:dyDescent="0.25">
      <c r="A3">
        <v>2</v>
      </c>
      <c r="B3">
        <v>2</v>
      </c>
      <c r="C3" s="22">
        <v>1</v>
      </c>
      <c r="D3" t="s">
        <v>187</v>
      </c>
      <c r="E3" s="1">
        <v>41247</v>
      </c>
      <c r="F3" s="2">
        <v>87</v>
      </c>
      <c r="G3">
        <v>99</v>
      </c>
      <c r="H3" s="6">
        <v>29.2</v>
      </c>
      <c r="I3" s="7">
        <f t="shared" ref="I3:I37" si="2">H3*0.85</f>
        <v>24.82</v>
      </c>
      <c r="J3" s="7">
        <f t="shared" ref="J3:J25" si="3">H3*0.95</f>
        <v>27.74</v>
      </c>
      <c r="L3" t="s">
        <v>412</v>
      </c>
      <c r="Q3" t="s">
        <v>0</v>
      </c>
      <c r="R3" t="s">
        <v>46</v>
      </c>
      <c r="S3" s="1">
        <v>41233</v>
      </c>
      <c r="T3" s="1">
        <v>41317</v>
      </c>
      <c r="U3" t="s">
        <v>11</v>
      </c>
      <c r="V3" s="1">
        <v>41334</v>
      </c>
      <c r="W3" s="1">
        <v>41346</v>
      </c>
      <c r="X3" s="3" t="s">
        <v>15</v>
      </c>
      <c r="Y3" s="58">
        <f t="shared" si="0"/>
        <v>101</v>
      </c>
      <c r="Z3" s="58">
        <f t="shared" si="1"/>
        <v>113</v>
      </c>
      <c r="AD3" s="58"/>
      <c r="AE3" s="58"/>
      <c r="AF3" s="58"/>
      <c r="AG3" s="58"/>
    </row>
    <row r="4" spans="1:33" x14ac:dyDescent="0.25">
      <c r="A4">
        <v>3</v>
      </c>
      <c r="B4">
        <v>3</v>
      </c>
      <c r="C4" s="22">
        <v>1</v>
      </c>
      <c r="D4" t="s">
        <v>0</v>
      </c>
      <c r="E4" s="1">
        <v>41233</v>
      </c>
      <c r="F4">
        <v>101</v>
      </c>
      <c r="G4">
        <v>113</v>
      </c>
      <c r="H4" s="6">
        <v>21.8</v>
      </c>
      <c r="I4" s="7">
        <f t="shared" si="2"/>
        <v>18.53</v>
      </c>
      <c r="J4" s="7">
        <f t="shared" si="3"/>
        <v>20.71</v>
      </c>
      <c r="L4" t="s">
        <v>413</v>
      </c>
      <c r="Q4" t="s">
        <v>1</v>
      </c>
      <c r="R4" t="s">
        <v>46</v>
      </c>
      <c r="S4" s="1">
        <v>41282</v>
      </c>
      <c r="T4" s="1">
        <v>41317</v>
      </c>
      <c r="U4" t="s">
        <v>11</v>
      </c>
      <c r="V4" s="1">
        <v>41338</v>
      </c>
      <c r="W4" s="1">
        <v>41352</v>
      </c>
      <c r="X4" s="3" t="s">
        <v>20</v>
      </c>
      <c r="Y4" s="58">
        <f t="shared" si="0"/>
        <v>56</v>
      </c>
      <c r="Z4" s="58">
        <f t="shared" si="1"/>
        <v>70</v>
      </c>
      <c r="AD4" s="58"/>
      <c r="AE4" s="58"/>
      <c r="AF4" s="58"/>
      <c r="AG4" s="58"/>
    </row>
    <row r="5" spans="1:33" x14ac:dyDescent="0.25">
      <c r="A5">
        <v>4</v>
      </c>
      <c r="B5">
        <v>4</v>
      </c>
      <c r="C5" s="22">
        <v>1</v>
      </c>
      <c r="D5" t="s">
        <v>0</v>
      </c>
      <c r="E5" s="1">
        <v>41233</v>
      </c>
      <c r="F5">
        <v>101</v>
      </c>
      <c r="G5">
        <v>113</v>
      </c>
      <c r="H5" s="6">
        <v>22.3</v>
      </c>
      <c r="I5" s="7">
        <f t="shared" si="2"/>
        <v>18.955000000000002</v>
      </c>
      <c r="J5" s="7">
        <f t="shared" si="3"/>
        <v>21.184999999999999</v>
      </c>
      <c r="L5" t="s">
        <v>414</v>
      </c>
      <c r="Q5" t="s">
        <v>2</v>
      </c>
      <c r="R5" t="s">
        <v>46</v>
      </c>
      <c r="S5" s="1">
        <v>41247</v>
      </c>
      <c r="T5" s="1">
        <v>41317</v>
      </c>
      <c r="U5" t="s">
        <v>11</v>
      </c>
      <c r="V5" s="1">
        <v>41334</v>
      </c>
      <c r="W5" s="1">
        <v>41346</v>
      </c>
      <c r="X5" s="3" t="s">
        <v>16</v>
      </c>
      <c r="Y5" s="58">
        <f t="shared" si="0"/>
        <v>87</v>
      </c>
      <c r="Z5" s="58">
        <f t="shared" si="1"/>
        <v>99</v>
      </c>
      <c r="AD5" s="58"/>
      <c r="AE5" s="58"/>
      <c r="AF5" s="58"/>
      <c r="AG5" s="58"/>
    </row>
    <row r="6" spans="1:33" x14ac:dyDescent="0.25">
      <c r="A6">
        <v>5</v>
      </c>
      <c r="B6">
        <v>5</v>
      </c>
      <c r="C6" s="22">
        <v>1</v>
      </c>
      <c r="D6" t="s">
        <v>2</v>
      </c>
      <c r="E6" s="1">
        <v>41247</v>
      </c>
      <c r="F6">
        <v>87</v>
      </c>
      <c r="G6">
        <v>99</v>
      </c>
      <c r="H6" s="6">
        <v>24</v>
      </c>
      <c r="I6" s="7">
        <f t="shared" si="2"/>
        <v>20.399999999999999</v>
      </c>
      <c r="J6" s="7">
        <f t="shared" si="3"/>
        <v>22.799999999999997</v>
      </c>
      <c r="Q6" t="s">
        <v>3</v>
      </c>
      <c r="R6" t="s">
        <v>46</v>
      </c>
      <c r="S6" s="1">
        <v>41261</v>
      </c>
      <c r="T6" s="1">
        <v>41331</v>
      </c>
      <c r="U6" t="s">
        <v>11</v>
      </c>
      <c r="V6" s="1">
        <v>41338</v>
      </c>
      <c r="W6" s="1">
        <v>41352</v>
      </c>
      <c r="X6" s="3" t="s">
        <v>21</v>
      </c>
      <c r="Y6" s="58">
        <f t="shared" si="0"/>
        <v>77</v>
      </c>
      <c r="Z6" s="58">
        <f t="shared" si="1"/>
        <v>91</v>
      </c>
      <c r="AD6" s="58"/>
      <c r="AE6" s="58"/>
      <c r="AF6" s="58"/>
      <c r="AG6" s="58"/>
    </row>
    <row r="7" spans="1:33" x14ac:dyDescent="0.25">
      <c r="A7">
        <v>6</v>
      </c>
      <c r="B7">
        <v>6</v>
      </c>
      <c r="C7" s="22">
        <v>1</v>
      </c>
      <c r="D7" t="s">
        <v>2</v>
      </c>
      <c r="E7" s="1">
        <v>41247</v>
      </c>
      <c r="F7">
        <v>87</v>
      </c>
      <c r="G7">
        <v>99</v>
      </c>
      <c r="H7" s="6">
        <v>20.3</v>
      </c>
      <c r="I7" s="7">
        <f t="shared" si="2"/>
        <v>17.254999999999999</v>
      </c>
      <c r="J7" s="7">
        <f t="shared" si="3"/>
        <v>19.285</v>
      </c>
      <c r="L7" t="s">
        <v>415</v>
      </c>
      <c r="Q7" t="s">
        <v>4</v>
      </c>
      <c r="R7" t="s">
        <v>46</v>
      </c>
      <c r="S7" s="1">
        <v>41233</v>
      </c>
      <c r="T7" s="1">
        <v>41317</v>
      </c>
      <c r="U7" s="1">
        <v>41333</v>
      </c>
      <c r="V7" s="1">
        <v>41334</v>
      </c>
      <c r="W7" s="1">
        <v>41346</v>
      </c>
      <c r="X7" s="3" t="s">
        <v>17</v>
      </c>
      <c r="Y7" s="58">
        <f t="shared" si="0"/>
        <v>101</v>
      </c>
      <c r="Z7" s="58">
        <f t="shared" si="1"/>
        <v>113</v>
      </c>
      <c r="AD7" s="58"/>
      <c r="AE7" s="58"/>
      <c r="AF7" s="58"/>
      <c r="AG7" s="58"/>
    </row>
    <row r="8" spans="1:33" x14ac:dyDescent="0.25">
      <c r="A8">
        <v>7</v>
      </c>
      <c r="B8">
        <v>7</v>
      </c>
      <c r="C8" s="22">
        <v>1</v>
      </c>
      <c r="D8" t="s">
        <v>4</v>
      </c>
      <c r="E8" s="1">
        <v>41233</v>
      </c>
      <c r="F8">
        <v>101</v>
      </c>
      <c r="G8">
        <v>113</v>
      </c>
      <c r="H8" s="6">
        <v>24.9</v>
      </c>
      <c r="I8" s="7">
        <f t="shared" si="2"/>
        <v>21.164999999999999</v>
      </c>
      <c r="J8" s="7">
        <f t="shared" si="3"/>
        <v>23.654999999999998</v>
      </c>
      <c r="L8" t="s">
        <v>416</v>
      </c>
      <c r="Q8" t="s">
        <v>5</v>
      </c>
      <c r="R8" t="s">
        <v>46</v>
      </c>
      <c r="S8" s="1">
        <v>41247</v>
      </c>
      <c r="T8" s="1">
        <v>41317</v>
      </c>
      <c r="U8" s="1">
        <v>41333</v>
      </c>
      <c r="V8" s="1">
        <v>41334</v>
      </c>
      <c r="W8" s="1">
        <v>41346</v>
      </c>
      <c r="X8" s="3" t="s">
        <v>19</v>
      </c>
      <c r="Y8" s="58">
        <f t="shared" si="0"/>
        <v>87</v>
      </c>
      <c r="Z8" s="58">
        <f t="shared" si="1"/>
        <v>99</v>
      </c>
      <c r="AD8" s="58"/>
      <c r="AE8" s="58"/>
      <c r="AF8" s="58"/>
      <c r="AG8" s="58"/>
    </row>
    <row r="9" spans="1:33" x14ac:dyDescent="0.25">
      <c r="A9">
        <v>8</v>
      </c>
      <c r="B9">
        <v>8</v>
      </c>
      <c r="C9" s="22">
        <v>1</v>
      </c>
      <c r="D9" t="s">
        <v>4</v>
      </c>
      <c r="E9" s="1">
        <v>41233</v>
      </c>
      <c r="F9">
        <v>101</v>
      </c>
      <c r="G9">
        <v>113</v>
      </c>
      <c r="H9" s="6">
        <v>25.9</v>
      </c>
      <c r="I9" s="7">
        <f t="shared" si="2"/>
        <v>22.014999999999997</v>
      </c>
      <c r="J9" s="7">
        <f t="shared" si="3"/>
        <v>24.604999999999997</v>
      </c>
      <c r="L9" t="s">
        <v>417</v>
      </c>
      <c r="Q9" t="s">
        <v>6</v>
      </c>
      <c r="R9" t="s">
        <v>46</v>
      </c>
      <c r="S9" s="1">
        <v>41247</v>
      </c>
      <c r="T9" s="1">
        <v>41317</v>
      </c>
      <c r="U9" s="1">
        <v>41333</v>
      </c>
      <c r="V9" s="1">
        <v>41338</v>
      </c>
      <c r="W9" s="1">
        <v>41352</v>
      </c>
      <c r="X9" s="3" t="s">
        <v>22</v>
      </c>
      <c r="Y9" s="58">
        <f t="shared" si="0"/>
        <v>91</v>
      </c>
      <c r="Z9" s="58">
        <f t="shared" si="1"/>
        <v>105</v>
      </c>
      <c r="AD9" s="58"/>
      <c r="AE9" s="58"/>
      <c r="AF9" s="58"/>
      <c r="AG9" s="58"/>
    </row>
    <row r="10" spans="1:33" x14ac:dyDescent="0.25">
      <c r="A10">
        <v>9</v>
      </c>
      <c r="B10">
        <v>9</v>
      </c>
      <c r="C10" s="22">
        <v>1</v>
      </c>
      <c r="D10" t="s">
        <v>8</v>
      </c>
      <c r="E10" s="1">
        <v>41233</v>
      </c>
      <c r="F10">
        <v>101</v>
      </c>
      <c r="G10">
        <v>113</v>
      </c>
      <c r="H10" s="6">
        <v>26.3</v>
      </c>
      <c r="I10" s="7">
        <f t="shared" si="2"/>
        <v>22.355</v>
      </c>
      <c r="J10" s="7">
        <f t="shared" si="3"/>
        <v>24.984999999999999</v>
      </c>
      <c r="L10" t="s">
        <v>418</v>
      </c>
      <c r="Q10" t="s">
        <v>7</v>
      </c>
      <c r="R10" t="s">
        <v>46</v>
      </c>
      <c r="S10" s="1">
        <v>41254</v>
      </c>
      <c r="T10" s="1">
        <v>41317</v>
      </c>
      <c r="U10" s="1">
        <v>41333</v>
      </c>
      <c r="V10" s="1">
        <v>41338</v>
      </c>
      <c r="W10" s="1">
        <v>41352</v>
      </c>
      <c r="X10" s="3" t="s">
        <v>23</v>
      </c>
      <c r="Y10" s="58">
        <f t="shared" si="0"/>
        <v>84</v>
      </c>
      <c r="Z10" s="58">
        <f t="shared" si="1"/>
        <v>98</v>
      </c>
      <c r="AD10" s="58"/>
      <c r="AE10" s="58"/>
      <c r="AF10" s="58"/>
      <c r="AG10" s="58"/>
    </row>
    <row r="11" spans="1:33" x14ac:dyDescent="0.25">
      <c r="A11">
        <v>10</v>
      </c>
      <c r="B11">
        <v>10</v>
      </c>
      <c r="C11" s="22">
        <v>1</v>
      </c>
      <c r="D11" t="s">
        <v>8</v>
      </c>
      <c r="E11" s="1">
        <v>41233</v>
      </c>
      <c r="F11">
        <v>101</v>
      </c>
      <c r="G11">
        <v>113</v>
      </c>
      <c r="H11" s="6">
        <v>26</v>
      </c>
      <c r="I11" s="7">
        <f t="shared" si="2"/>
        <v>22.099999999999998</v>
      </c>
      <c r="J11" s="7">
        <f t="shared" si="3"/>
        <v>24.7</v>
      </c>
      <c r="Q11" t="s">
        <v>8</v>
      </c>
      <c r="R11" t="s">
        <v>46</v>
      </c>
      <c r="S11" s="1">
        <v>41233</v>
      </c>
      <c r="T11" s="1">
        <v>41317</v>
      </c>
      <c r="U11" s="1">
        <v>41333</v>
      </c>
      <c r="V11" s="1">
        <v>41334</v>
      </c>
      <c r="W11" s="1">
        <v>41346</v>
      </c>
      <c r="X11" s="3" t="s">
        <v>18</v>
      </c>
      <c r="Y11" s="58">
        <f t="shared" si="0"/>
        <v>101</v>
      </c>
      <c r="Z11" s="58">
        <f t="shared" si="1"/>
        <v>113</v>
      </c>
      <c r="AD11" s="58"/>
      <c r="AE11" s="58"/>
      <c r="AF11" s="58"/>
      <c r="AG11" s="58"/>
    </row>
    <row r="12" spans="1:33" x14ac:dyDescent="0.25">
      <c r="A12">
        <v>11</v>
      </c>
      <c r="B12">
        <v>11</v>
      </c>
      <c r="C12" s="22">
        <v>1</v>
      </c>
      <c r="D12" t="s">
        <v>5</v>
      </c>
      <c r="E12" s="1">
        <v>41247</v>
      </c>
      <c r="F12" s="2">
        <v>87</v>
      </c>
      <c r="G12">
        <v>99</v>
      </c>
      <c r="H12" s="6">
        <v>28</v>
      </c>
      <c r="I12" s="7">
        <f t="shared" si="2"/>
        <v>23.8</v>
      </c>
      <c r="J12" s="7">
        <f t="shared" si="3"/>
        <v>26.599999999999998</v>
      </c>
      <c r="L12" t="s">
        <v>482</v>
      </c>
      <c r="N12" t="s">
        <v>480</v>
      </c>
      <c r="Q12" t="s">
        <v>9</v>
      </c>
      <c r="R12" t="s">
        <v>46</v>
      </c>
      <c r="S12" s="1">
        <v>41247</v>
      </c>
      <c r="T12" s="1">
        <v>41317</v>
      </c>
      <c r="U12" s="1">
        <v>41333</v>
      </c>
      <c r="V12" s="1">
        <v>41338</v>
      </c>
      <c r="W12" s="1">
        <v>41352</v>
      </c>
      <c r="X12" s="3" t="s">
        <v>24</v>
      </c>
      <c r="Y12" s="58">
        <f t="shared" si="0"/>
        <v>91</v>
      </c>
      <c r="Z12" s="58">
        <f t="shared" si="1"/>
        <v>105</v>
      </c>
      <c r="AD12" s="58"/>
      <c r="AE12" s="58"/>
      <c r="AF12" s="58"/>
      <c r="AG12" s="58"/>
    </row>
    <row r="13" spans="1:33" x14ac:dyDescent="0.25">
      <c r="A13">
        <v>12</v>
      </c>
      <c r="B13">
        <v>12</v>
      </c>
      <c r="C13" s="22">
        <v>1</v>
      </c>
      <c r="D13" t="s">
        <v>5</v>
      </c>
      <c r="E13" s="1">
        <v>41247</v>
      </c>
      <c r="F13" s="2">
        <v>87</v>
      </c>
      <c r="G13">
        <v>99</v>
      </c>
      <c r="H13" s="6">
        <v>31.5</v>
      </c>
      <c r="I13" s="7">
        <f t="shared" si="2"/>
        <v>26.774999999999999</v>
      </c>
      <c r="J13" s="7">
        <f t="shared" si="3"/>
        <v>29.924999999999997</v>
      </c>
      <c r="L13" t="s">
        <v>483</v>
      </c>
      <c r="Q13" t="s">
        <v>87</v>
      </c>
      <c r="R13" t="s">
        <v>46</v>
      </c>
      <c r="S13" s="1">
        <v>41287</v>
      </c>
      <c r="T13" s="1">
        <v>41331</v>
      </c>
      <c r="U13" s="1">
        <v>41333</v>
      </c>
      <c r="V13" s="1">
        <v>41338</v>
      </c>
      <c r="W13" s="1">
        <v>41352</v>
      </c>
      <c r="X13" s="3" t="s">
        <v>25</v>
      </c>
      <c r="Y13" s="58">
        <f t="shared" si="0"/>
        <v>51</v>
      </c>
      <c r="Z13" s="58">
        <f t="shared" si="1"/>
        <v>65</v>
      </c>
      <c r="AD13" s="58"/>
      <c r="AE13" s="58"/>
      <c r="AF13" s="58"/>
      <c r="AG13" s="58"/>
    </row>
    <row r="14" spans="1:33" x14ac:dyDescent="0.25">
      <c r="A14">
        <v>13</v>
      </c>
      <c r="B14">
        <v>13</v>
      </c>
      <c r="C14" s="22">
        <v>1</v>
      </c>
      <c r="D14" t="s">
        <v>1</v>
      </c>
      <c r="E14" s="1">
        <v>41282</v>
      </c>
      <c r="F14">
        <v>56</v>
      </c>
      <c r="G14">
        <v>70</v>
      </c>
      <c r="H14">
        <v>25</v>
      </c>
      <c r="I14" s="7">
        <f t="shared" si="2"/>
        <v>21.25</v>
      </c>
      <c r="J14" s="7">
        <f t="shared" si="3"/>
        <v>23.75</v>
      </c>
      <c r="L14" t="s">
        <v>481</v>
      </c>
      <c r="Q14" t="s">
        <v>129</v>
      </c>
      <c r="R14" t="s">
        <v>54</v>
      </c>
      <c r="S14" s="1">
        <v>41262</v>
      </c>
      <c r="T14" s="1">
        <v>41366</v>
      </c>
      <c r="U14" s="1">
        <v>41367</v>
      </c>
      <c r="V14" s="1">
        <v>41373</v>
      </c>
      <c r="W14" s="1">
        <v>41384</v>
      </c>
      <c r="X14" s="12" t="s">
        <v>47</v>
      </c>
      <c r="Y14" s="58">
        <f t="shared" si="0"/>
        <v>111</v>
      </c>
      <c r="Z14" s="58">
        <v>122</v>
      </c>
      <c r="AA14" s="2"/>
      <c r="AD14" s="58"/>
      <c r="AE14" s="58"/>
      <c r="AF14" s="58"/>
      <c r="AG14" s="58"/>
    </row>
    <row r="15" spans="1:33" x14ac:dyDescent="0.25">
      <c r="A15">
        <v>14</v>
      </c>
      <c r="B15">
        <v>14</v>
      </c>
      <c r="C15" s="22">
        <v>1</v>
      </c>
      <c r="D15" t="s">
        <v>1</v>
      </c>
      <c r="E15" s="1">
        <v>41282</v>
      </c>
      <c r="F15">
        <v>56</v>
      </c>
      <c r="G15">
        <v>70</v>
      </c>
      <c r="H15">
        <v>20.6</v>
      </c>
      <c r="I15" s="7">
        <f t="shared" si="2"/>
        <v>17.510000000000002</v>
      </c>
      <c r="J15" s="7">
        <f t="shared" si="3"/>
        <v>19.57</v>
      </c>
      <c r="L15" t="s">
        <v>419</v>
      </c>
      <c r="Q15" t="s">
        <v>185</v>
      </c>
      <c r="R15" t="s">
        <v>54</v>
      </c>
      <c r="S15" s="1">
        <v>41274</v>
      </c>
      <c r="T15" s="1">
        <v>41366</v>
      </c>
      <c r="U15" s="1">
        <v>41367</v>
      </c>
      <c r="V15" s="1">
        <v>41373</v>
      </c>
      <c r="W15" s="1">
        <v>41384</v>
      </c>
      <c r="X15" s="12" t="s">
        <v>48</v>
      </c>
      <c r="Y15" s="58">
        <f t="shared" si="0"/>
        <v>99</v>
      </c>
      <c r="Z15" s="58">
        <v>110</v>
      </c>
      <c r="AA15" s="2"/>
      <c r="AD15" s="58"/>
      <c r="AE15" s="58"/>
      <c r="AF15" s="58"/>
      <c r="AG15" s="58"/>
    </row>
    <row r="16" spans="1:33" x14ac:dyDescent="0.25">
      <c r="A16">
        <v>15</v>
      </c>
      <c r="B16">
        <v>15</v>
      </c>
      <c r="C16" s="22">
        <v>1</v>
      </c>
      <c r="D16" t="s">
        <v>3</v>
      </c>
      <c r="E16" s="1">
        <v>41261</v>
      </c>
      <c r="F16">
        <v>77</v>
      </c>
      <c r="G16">
        <v>91</v>
      </c>
      <c r="H16">
        <v>27.2</v>
      </c>
      <c r="I16" s="7">
        <f t="shared" si="2"/>
        <v>23.119999999999997</v>
      </c>
      <c r="J16" s="7">
        <f t="shared" si="3"/>
        <v>25.84</v>
      </c>
      <c r="L16" t="s">
        <v>420</v>
      </c>
      <c r="Q16" t="s">
        <v>175</v>
      </c>
      <c r="R16" t="s">
        <v>54</v>
      </c>
      <c r="S16" s="1">
        <v>41265</v>
      </c>
      <c r="T16" s="1">
        <v>41366</v>
      </c>
      <c r="U16" s="1">
        <v>41367</v>
      </c>
      <c r="V16" s="1">
        <v>41373</v>
      </c>
      <c r="W16" s="1">
        <v>41384</v>
      </c>
      <c r="X16" s="12" t="s">
        <v>49</v>
      </c>
      <c r="Y16" s="58">
        <f t="shared" si="0"/>
        <v>108</v>
      </c>
      <c r="Z16" s="58">
        <v>119</v>
      </c>
      <c r="AA16" s="2"/>
      <c r="AD16" s="58"/>
      <c r="AE16" s="58"/>
      <c r="AF16" s="58"/>
      <c r="AG16" s="58"/>
    </row>
    <row r="17" spans="1:33" x14ac:dyDescent="0.25">
      <c r="A17">
        <v>16</v>
      </c>
      <c r="B17">
        <v>16</v>
      </c>
      <c r="C17" s="22">
        <v>1</v>
      </c>
      <c r="D17" t="s">
        <v>3</v>
      </c>
      <c r="E17" s="1">
        <v>41261</v>
      </c>
      <c r="F17">
        <v>77</v>
      </c>
      <c r="G17">
        <v>91</v>
      </c>
      <c r="H17">
        <v>24.8</v>
      </c>
      <c r="I17" s="7">
        <f t="shared" si="2"/>
        <v>21.08</v>
      </c>
      <c r="J17" s="7">
        <f t="shared" si="3"/>
        <v>23.56</v>
      </c>
      <c r="L17" s="130" t="s">
        <v>485</v>
      </c>
      <c r="Q17" t="s">
        <v>50</v>
      </c>
      <c r="R17" t="s">
        <v>54</v>
      </c>
      <c r="S17" s="1">
        <v>41265</v>
      </c>
      <c r="T17" s="1">
        <v>41366</v>
      </c>
      <c r="U17" s="1">
        <v>41367</v>
      </c>
      <c r="V17" s="1">
        <v>41373</v>
      </c>
      <c r="W17" s="1">
        <v>41384</v>
      </c>
      <c r="X17" s="12" t="s">
        <v>51</v>
      </c>
      <c r="Y17" s="58">
        <f t="shared" si="0"/>
        <v>108</v>
      </c>
      <c r="Z17" s="58">
        <v>119</v>
      </c>
      <c r="AA17" s="26" t="s">
        <v>98</v>
      </c>
      <c r="AD17" s="58"/>
      <c r="AE17" s="58"/>
      <c r="AF17" s="58"/>
      <c r="AG17" s="58"/>
    </row>
    <row r="18" spans="1:33" x14ac:dyDescent="0.25">
      <c r="A18">
        <v>17</v>
      </c>
      <c r="B18">
        <v>17</v>
      </c>
      <c r="C18" s="22">
        <v>1</v>
      </c>
      <c r="D18" t="s">
        <v>6</v>
      </c>
      <c r="E18" s="1">
        <v>41247</v>
      </c>
      <c r="F18">
        <v>91</v>
      </c>
      <c r="G18">
        <v>105</v>
      </c>
      <c r="H18">
        <v>29</v>
      </c>
      <c r="I18" s="7">
        <f t="shared" si="2"/>
        <v>24.65</v>
      </c>
      <c r="J18" s="7">
        <f t="shared" si="3"/>
        <v>27.549999999999997</v>
      </c>
      <c r="L18" s="129" t="s">
        <v>484</v>
      </c>
      <c r="Q18" t="s">
        <v>179</v>
      </c>
      <c r="R18" t="s">
        <v>54</v>
      </c>
      <c r="S18" s="1">
        <v>41271</v>
      </c>
      <c r="T18" s="1">
        <v>41366</v>
      </c>
      <c r="U18" s="1">
        <v>41367</v>
      </c>
      <c r="V18" s="1">
        <v>41373</v>
      </c>
      <c r="W18" s="1">
        <v>41384</v>
      </c>
      <c r="X18" s="12" t="s">
        <v>52</v>
      </c>
      <c r="Y18" s="58">
        <f t="shared" si="0"/>
        <v>102</v>
      </c>
      <c r="Z18" s="58">
        <v>113</v>
      </c>
      <c r="AA18" s="2"/>
      <c r="AD18" s="58"/>
      <c r="AE18" s="58"/>
      <c r="AF18" s="58"/>
      <c r="AG18" s="58"/>
    </row>
    <row r="19" spans="1:33" x14ac:dyDescent="0.25">
      <c r="A19">
        <v>18</v>
      </c>
      <c r="B19">
        <v>18</v>
      </c>
      <c r="C19" s="22">
        <v>1</v>
      </c>
      <c r="D19" t="s">
        <v>6</v>
      </c>
      <c r="E19" s="1">
        <v>41247</v>
      </c>
      <c r="F19">
        <v>91</v>
      </c>
      <c r="G19">
        <v>105</v>
      </c>
      <c r="H19">
        <v>30.2</v>
      </c>
      <c r="I19" s="7">
        <f t="shared" si="2"/>
        <v>25.669999999999998</v>
      </c>
      <c r="J19" s="7">
        <f t="shared" si="3"/>
        <v>28.689999999999998</v>
      </c>
      <c r="Q19" t="s">
        <v>165</v>
      </c>
      <c r="R19" t="s">
        <v>54</v>
      </c>
      <c r="S19" s="1">
        <v>41282</v>
      </c>
      <c r="T19" s="1">
        <v>41366</v>
      </c>
      <c r="U19" s="1">
        <v>41367</v>
      </c>
      <c r="V19" s="1">
        <v>41373</v>
      </c>
      <c r="W19" s="1">
        <v>41384</v>
      </c>
      <c r="X19" s="12" t="s">
        <v>53</v>
      </c>
      <c r="Y19" s="58">
        <f t="shared" si="0"/>
        <v>91</v>
      </c>
      <c r="Z19" s="58">
        <v>102</v>
      </c>
      <c r="AA19" s="2"/>
      <c r="AD19" s="58"/>
      <c r="AE19" s="58"/>
      <c r="AF19" s="58"/>
      <c r="AG19" s="58"/>
    </row>
    <row r="20" spans="1:33" x14ac:dyDescent="0.25">
      <c r="A20">
        <v>19</v>
      </c>
      <c r="B20">
        <v>19</v>
      </c>
      <c r="C20" s="22">
        <v>1</v>
      </c>
      <c r="D20" t="s">
        <v>7</v>
      </c>
      <c r="E20" s="1">
        <v>41254</v>
      </c>
      <c r="F20">
        <v>84</v>
      </c>
      <c r="G20">
        <v>98</v>
      </c>
      <c r="H20">
        <v>29.4</v>
      </c>
      <c r="I20" s="7">
        <f t="shared" si="2"/>
        <v>24.99</v>
      </c>
      <c r="J20" s="7">
        <f t="shared" si="3"/>
        <v>27.929999999999996</v>
      </c>
      <c r="L20" s="61" t="s">
        <v>388</v>
      </c>
      <c r="Q20" t="s">
        <v>166</v>
      </c>
      <c r="R20" t="s">
        <v>54</v>
      </c>
      <c r="S20" s="1">
        <v>41276</v>
      </c>
      <c r="T20" s="1">
        <v>41366</v>
      </c>
      <c r="U20" s="1">
        <v>41367</v>
      </c>
      <c r="V20" s="1">
        <v>41380</v>
      </c>
      <c r="W20" s="1">
        <v>41391</v>
      </c>
      <c r="X20" s="16" t="s">
        <v>57</v>
      </c>
      <c r="Y20" s="58">
        <f t="shared" si="0"/>
        <v>104</v>
      </c>
      <c r="Z20" s="58">
        <v>115</v>
      </c>
      <c r="AA20" s="2"/>
      <c r="AD20" s="58"/>
      <c r="AE20" s="58"/>
      <c r="AF20" s="58"/>
      <c r="AG20" s="58"/>
    </row>
    <row r="21" spans="1:33" x14ac:dyDescent="0.25">
      <c r="A21">
        <v>20</v>
      </c>
      <c r="B21">
        <v>20</v>
      </c>
      <c r="C21" s="22">
        <v>1</v>
      </c>
      <c r="D21" t="s">
        <v>7</v>
      </c>
      <c r="E21" s="1">
        <v>41254</v>
      </c>
      <c r="F21">
        <v>84</v>
      </c>
      <c r="G21">
        <v>98</v>
      </c>
      <c r="H21">
        <v>27.8</v>
      </c>
      <c r="I21" s="7">
        <f t="shared" si="2"/>
        <v>23.63</v>
      </c>
      <c r="J21" s="7">
        <f t="shared" si="3"/>
        <v>26.41</v>
      </c>
      <c r="L21" s="56" t="s">
        <v>369</v>
      </c>
      <c r="Q21" t="s">
        <v>177</v>
      </c>
      <c r="R21" t="s">
        <v>54</v>
      </c>
      <c r="S21" s="1">
        <v>41278</v>
      </c>
      <c r="T21" s="1">
        <v>41366</v>
      </c>
      <c r="U21" s="1">
        <v>41367</v>
      </c>
      <c r="V21" s="1">
        <v>41380</v>
      </c>
      <c r="W21" s="1">
        <v>41391</v>
      </c>
      <c r="X21" s="16" t="s">
        <v>60</v>
      </c>
      <c r="Y21" s="58">
        <f t="shared" si="0"/>
        <v>102</v>
      </c>
      <c r="Z21" s="58">
        <v>113</v>
      </c>
      <c r="AA21" s="2"/>
      <c r="AD21" s="58"/>
      <c r="AE21" s="58"/>
      <c r="AF21" s="58"/>
      <c r="AG21" s="58"/>
    </row>
    <row r="22" spans="1:33" x14ac:dyDescent="0.25">
      <c r="A22">
        <v>21</v>
      </c>
      <c r="B22">
        <v>21</v>
      </c>
      <c r="C22" s="22">
        <v>1</v>
      </c>
      <c r="D22" t="s">
        <v>9</v>
      </c>
      <c r="E22" s="1">
        <v>41247</v>
      </c>
      <c r="F22">
        <v>91</v>
      </c>
      <c r="G22">
        <v>105</v>
      </c>
      <c r="H22">
        <v>29.7</v>
      </c>
      <c r="I22" s="7">
        <f t="shared" si="2"/>
        <v>25.244999999999997</v>
      </c>
      <c r="J22" s="7">
        <f t="shared" si="3"/>
        <v>28.214999999999996</v>
      </c>
      <c r="L22" s="56" t="s">
        <v>370</v>
      </c>
      <c r="Q22" t="s">
        <v>180</v>
      </c>
      <c r="R22" t="s">
        <v>54</v>
      </c>
      <c r="S22" s="1">
        <v>41287</v>
      </c>
      <c r="T22" s="1">
        <v>41366</v>
      </c>
      <c r="U22" s="1">
        <v>41367</v>
      </c>
      <c r="V22" s="1">
        <v>41380</v>
      </c>
      <c r="W22" s="1">
        <v>41391</v>
      </c>
      <c r="X22" s="16" t="s">
        <v>59</v>
      </c>
      <c r="Y22" s="58">
        <f t="shared" si="0"/>
        <v>93</v>
      </c>
      <c r="Z22" s="58">
        <v>104</v>
      </c>
      <c r="AA22" s="2"/>
      <c r="AD22" s="58"/>
      <c r="AE22" s="58"/>
      <c r="AF22" s="58"/>
      <c r="AG22" s="58"/>
    </row>
    <row r="23" spans="1:33" x14ac:dyDescent="0.25">
      <c r="A23">
        <v>22</v>
      </c>
      <c r="B23">
        <v>22</v>
      </c>
      <c r="C23" s="22">
        <v>1</v>
      </c>
      <c r="D23" t="s">
        <v>9</v>
      </c>
      <c r="E23" s="1">
        <v>41247</v>
      </c>
      <c r="F23">
        <v>91</v>
      </c>
      <c r="G23">
        <v>105</v>
      </c>
      <c r="H23">
        <v>30.9</v>
      </c>
      <c r="I23" s="7">
        <f t="shared" si="2"/>
        <v>26.264999999999997</v>
      </c>
      <c r="J23" s="7">
        <f t="shared" si="3"/>
        <v>29.354999999999997</v>
      </c>
      <c r="L23" s="56" t="s">
        <v>371</v>
      </c>
      <c r="Q23" t="s">
        <v>178</v>
      </c>
      <c r="R23" t="s">
        <v>54</v>
      </c>
      <c r="S23" s="1">
        <v>41299</v>
      </c>
      <c r="T23" s="1">
        <v>41366</v>
      </c>
      <c r="U23" s="1">
        <v>41367</v>
      </c>
      <c r="V23" s="1">
        <v>41380</v>
      </c>
      <c r="W23" s="1">
        <v>41391</v>
      </c>
      <c r="X23" s="16" t="s">
        <v>58</v>
      </c>
      <c r="Y23" s="58">
        <f t="shared" si="0"/>
        <v>81</v>
      </c>
      <c r="Z23" s="58">
        <v>92</v>
      </c>
      <c r="AA23" s="2"/>
      <c r="AD23" s="58"/>
      <c r="AE23" s="58"/>
      <c r="AF23" s="58"/>
      <c r="AG23" s="58"/>
    </row>
    <row r="24" spans="1:33" x14ac:dyDescent="0.25">
      <c r="A24">
        <v>23</v>
      </c>
      <c r="B24">
        <v>23</v>
      </c>
      <c r="C24" s="22">
        <v>1</v>
      </c>
      <c r="D24" t="s">
        <v>87</v>
      </c>
      <c r="E24" s="1">
        <v>41287</v>
      </c>
      <c r="F24">
        <v>51</v>
      </c>
      <c r="G24">
        <v>65</v>
      </c>
      <c r="H24">
        <v>31.9</v>
      </c>
      <c r="I24" s="7">
        <f t="shared" si="2"/>
        <v>27.114999999999998</v>
      </c>
      <c r="J24" s="7">
        <f t="shared" si="3"/>
        <v>30.304999999999996</v>
      </c>
      <c r="L24" s="56" t="s">
        <v>372</v>
      </c>
      <c r="Q24" t="s">
        <v>181</v>
      </c>
      <c r="R24" t="s">
        <v>54</v>
      </c>
      <c r="S24" s="1">
        <v>41288</v>
      </c>
      <c r="T24" s="1">
        <v>41366</v>
      </c>
      <c r="U24" s="1">
        <v>41367</v>
      </c>
      <c r="V24" s="1">
        <v>41380</v>
      </c>
      <c r="W24" s="1">
        <v>41391</v>
      </c>
      <c r="X24" s="17">
        <v>24</v>
      </c>
      <c r="Y24" s="58">
        <f t="shared" si="0"/>
        <v>92</v>
      </c>
      <c r="Z24" s="58">
        <v>103</v>
      </c>
      <c r="AA24" s="2"/>
      <c r="AD24" s="58"/>
      <c r="AE24" s="58"/>
      <c r="AF24" s="58"/>
      <c r="AG24" s="58"/>
    </row>
    <row r="25" spans="1:33" x14ac:dyDescent="0.25">
      <c r="A25">
        <v>24</v>
      </c>
      <c r="B25">
        <v>24</v>
      </c>
      <c r="C25" s="22">
        <v>1</v>
      </c>
      <c r="D25" t="s">
        <v>87</v>
      </c>
      <c r="E25" s="1">
        <v>41287</v>
      </c>
      <c r="F25">
        <v>51</v>
      </c>
      <c r="G25">
        <v>65</v>
      </c>
      <c r="H25">
        <v>31.6</v>
      </c>
      <c r="I25" s="7">
        <f t="shared" si="2"/>
        <v>26.86</v>
      </c>
      <c r="J25" s="7">
        <f t="shared" si="3"/>
        <v>30.02</v>
      </c>
      <c r="L25" s="56" t="s">
        <v>373</v>
      </c>
      <c r="Q25" t="s">
        <v>182</v>
      </c>
      <c r="R25" t="s">
        <v>54</v>
      </c>
      <c r="S25" s="1">
        <v>41311</v>
      </c>
      <c r="T25" s="1">
        <v>41366</v>
      </c>
      <c r="U25" s="1">
        <v>41367</v>
      </c>
      <c r="V25" s="1">
        <v>41381</v>
      </c>
      <c r="W25" s="1">
        <v>41394</v>
      </c>
      <c r="X25" s="16" t="s">
        <v>61</v>
      </c>
      <c r="Y25" s="58">
        <f t="shared" si="0"/>
        <v>70</v>
      </c>
      <c r="Z25" s="58">
        <f>W25-S25</f>
        <v>83</v>
      </c>
      <c r="AA25" s="2"/>
      <c r="AD25" s="58"/>
      <c r="AE25" s="58"/>
      <c r="AF25" s="58"/>
      <c r="AG25" s="58"/>
    </row>
    <row r="26" spans="1:33" x14ac:dyDescent="0.25">
      <c r="A26">
        <v>25</v>
      </c>
      <c r="B26">
        <v>1</v>
      </c>
      <c r="C26">
        <v>2</v>
      </c>
      <c r="D26" t="s">
        <v>129</v>
      </c>
      <c r="E26" s="1">
        <v>41262</v>
      </c>
      <c r="F26">
        <v>111</v>
      </c>
      <c r="G26" s="22">
        <v>122</v>
      </c>
      <c r="H26">
        <v>29.4</v>
      </c>
      <c r="I26" s="7">
        <f t="shared" si="2"/>
        <v>24.99</v>
      </c>
      <c r="J26" s="7">
        <f t="shared" ref="J26:J37" si="4">H26*0.95</f>
        <v>27.929999999999996</v>
      </c>
      <c r="L26" s="56" t="s">
        <v>374</v>
      </c>
      <c r="Q26" s="18" t="s">
        <v>183</v>
      </c>
      <c r="R26" t="s">
        <v>54</v>
      </c>
      <c r="S26" s="20">
        <v>41299</v>
      </c>
      <c r="T26" s="1">
        <v>41366</v>
      </c>
      <c r="U26" s="1">
        <v>41367</v>
      </c>
      <c r="V26" s="1">
        <v>41381</v>
      </c>
      <c r="W26" s="1">
        <v>41394</v>
      </c>
      <c r="X26" s="16" t="s">
        <v>62</v>
      </c>
      <c r="Y26" s="58">
        <f t="shared" si="0"/>
        <v>82</v>
      </c>
      <c r="Z26" s="58">
        <f t="shared" ref="Z26:Z40" si="5">W26-S26</f>
        <v>95</v>
      </c>
      <c r="AA26" s="2"/>
      <c r="AD26" s="58"/>
      <c r="AE26" s="58"/>
      <c r="AF26" s="58"/>
      <c r="AG26" s="58"/>
    </row>
    <row r="27" spans="1:33" x14ac:dyDescent="0.25">
      <c r="A27">
        <v>26</v>
      </c>
      <c r="B27">
        <v>2</v>
      </c>
      <c r="C27" s="22">
        <v>2</v>
      </c>
      <c r="D27" t="s">
        <v>129</v>
      </c>
      <c r="E27" s="1">
        <v>41262</v>
      </c>
      <c r="F27">
        <v>111</v>
      </c>
      <c r="G27" s="22">
        <v>122</v>
      </c>
      <c r="H27">
        <v>27.4</v>
      </c>
      <c r="I27" s="7">
        <f t="shared" si="2"/>
        <v>23.29</v>
      </c>
      <c r="J27" s="7">
        <f t="shared" si="4"/>
        <v>26.029999999999998</v>
      </c>
      <c r="L27" s="56" t="s">
        <v>375</v>
      </c>
      <c r="Q27" t="s">
        <v>181</v>
      </c>
      <c r="R27" t="s">
        <v>54</v>
      </c>
      <c r="S27" s="1">
        <v>41288</v>
      </c>
      <c r="T27" s="1">
        <v>41366</v>
      </c>
      <c r="U27" s="1">
        <v>41367</v>
      </c>
      <c r="V27" s="1">
        <v>41381</v>
      </c>
      <c r="W27" s="1">
        <v>41394</v>
      </c>
      <c r="X27" s="3">
        <v>30</v>
      </c>
      <c r="Y27" s="58">
        <f t="shared" si="0"/>
        <v>93</v>
      </c>
      <c r="Z27" s="58">
        <f t="shared" si="5"/>
        <v>106</v>
      </c>
      <c r="AA27" s="2"/>
      <c r="AD27" s="58"/>
      <c r="AE27" s="58"/>
      <c r="AF27" s="58"/>
      <c r="AG27" s="58"/>
    </row>
    <row r="28" spans="1:33" x14ac:dyDescent="0.25">
      <c r="A28">
        <v>27</v>
      </c>
      <c r="B28">
        <v>3</v>
      </c>
      <c r="C28" s="22">
        <v>2</v>
      </c>
      <c r="D28" t="s">
        <v>129</v>
      </c>
      <c r="E28" s="1">
        <v>41262</v>
      </c>
      <c r="F28">
        <v>111</v>
      </c>
      <c r="G28" s="22">
        <v>122</v>
      </c>
      <c r="H28">
        <v>27.7</v>
      </c>
      <c r="I28" s="7">
        <f t="shared" si="2"/>
        <v>23.544999999999998</v>
      </c>
      <c r="J28" s="7">
        <f t="shared" si="4"/>
        <v>26.314999999999998</v>
      </c>
      <c r="L28" s="56" t="s">
        <v>376</v>
      </c>
      <c r="Q28" t="s">
        <v>184</v>
      </c>
      <c r="R28" t="s">
        <v>54</v>
      </c>
      <c r="S28" s="1">
        <v>41302</v>
      </c>
      <c r="T28" s="1">
        <v>41366</v>
      </c>
      <c r="U28" s="1">
        <v>41367</v>
      </c>
      <c r="V28" s="1">
        <v>41381</v>
      </c>
      <c r="W28" s="1">
        <v>41394</v>
      </c>
      <c r="X28" s="16" t="s">
        <v>63</v>
      </c>
      <c r="Y28" s="58">
        <f t="shared" si="0"/>
        <v>79</v>
      </c>
      <c r="Z28" s="58">
        <f t="shared" si="5"/>
        <v>92</v>
      </c>
      <c r="AA28" s="2"/>
      <c r="AD28" s="58"/>
      <c r="AE28" s="58"/>
      <c r="AF28" s="58"/>
      <c r="AG28" s="58"/>
    </row>
    <row r="29" spans="1:33" x14ac:dyDescent="0.25">
      <c r="A29">
        <v>28</v>
      </c>
      <c r="B29">
        <v>4</v>
      </c>
      <c r="C29" s="22">
        <v>2</v>
      </c>
      <c r="D29" t="s">
        <v>185</v>
      </c>
      <c r="E29" s="1">
        <v>41274</v>
      </c>
      <c r="F29">
        <v>99</v>
      </c>
      <c r="G29" s="22">
        <v>110</v>
      </c>
      <c r="H29">
        <v>26.7</v>
      </c>
      <c r="I29" s="7">
        <f t="shared" si="2"/>
        <v>22.695</v>
      </c>
      <c r="J29" s="7">
        <f t="shared" si="4"/>
        <v>25.364999999999998</v>
      </c>
      <c r="K29" s="43"/>
      <c r="L29" s="56" t="s">
        <v>377</v>
      </c>
      <c r="Q29" t="s">
        <v>166</v>
      </c>
      <c r="R29" t="s">
        <v>54</v>
      </c>
      <c r="S29" s="1">
        <v>41276</v>
      </c>
      <c r="T29" s="1">
        <v>41366</v>
      </c>
      <c r="U29" s="1">
        <v>41367</v>
      </c>
      <c r="V29" s="1">
        <v>41381</v>
      </c>
      <c r="W29" s="1">
        <v>41394</v>
      </c>
      <c r="X29" s="16" t="s">
        <v>64</v>
      </c>
      <c r="Y29" s="58">
        <f t="shared" si="0"/>
        <v>105</v>
      </c>
      <c r="Z29" s="58">
        <f t="shared" si="5"/>
        <v>118</v>
      </c>
      <c r="AA29" s="2"/>
      <c r="AD29" s="58"/>
      <c r="AE29" s="58"/>
      <c r="AF29" s="58"/>
      <c r="AG29" s="58"/>
    </row>
    <row r="30" spans="1:33" x14ac:dyDescent="0.25">
      <c r="A30">
        <v>29</v>
      </c>
      <c r="B30">
        <v>5</v>
      </c>
      <c r="C30" s="22">
        <v>2</v>
      </c>
      <c r="D30" t="s">
        <v>185</v>
      </c>
      <c r="E30" s="1">
        <v>41274</v>
      </c>
      <c r="F30">
        <v>99</v>
      </c>
      <c r="G30" s="22">
        <v>110</v>
      </c>
      <c r="H30">
        <v>23.4</v>
      </c>
      <c r="I30" s="7">
        <f t="shared" si="2"/>
        <v>19.889999999999997</v>
      </c>
      <c r="J30" s="7">
        <f t="shared" si="4"/>
        <v>22.229999999999997</v>
      </c>
      <c r="K30" s="43"/>
      <c r="L30" s="56" t="s">
        <v>378</v>
      </c>
      <c r="Q30" t="s">
        <v>177</v>
      </c>
      <c r="R30" t="s">
        <v>54</v>
      </c>
      <c r="S30" s="1">
        <v>41278</v>
      </c>
      <c r="T30" s="1">
        <v>41366</v>
      </c>
      <c r="U30" s="1">
        <v>41367</v>
      </c>
      <c r="V30" s="1">
        <v>41381</v>
      </c>
      <c r="W30" s="1">
        <v>41394</v>
      </c>
      <c r="X30" s="16" t="s">
        <v>65</v>
      </c>
      <c r="Y30" s="58">
        <f t="shared" si="0"/>
        <v>103</v>
      </c>
      <c r="Z30" s="58">
        <f t="shared" si="5"/>
        <v>116</v>
      </c>
      <c r="AA30" s="2"/>
      <c r="AD30" s="58"/>
      <c r="AE30" s="58"/>
      <c r="AF30" s="58"/>
      <c r="AG30" s="58"/>
    </row>
    <row r="31" spans="1:33" x14ac:dyDescent="0.25">
      <c r="A31">
        <v>30</v>
      </c>
      <c r="B31">
        <v>6</v>
      </c>
      <c r="C31" s="22">
        <v>2</v>
      </c>
      <c r="D31" t="s">
        <v>175</v>
      </c>
      <c r="E31" s="1">
        <v>41265</v>
      </c>
      <c r="F31">
        <v>108</v>
      </c>
      <c r="G31" s="22">
        <v>119</v>
      </c>
      <c r="H31">
        <v>36.200000000000003</v>
      </c>
      <c r="I31" s="7">
        <f t="shared" si="2"/>
        <v>30.770000000000003</v>
      </c>
      <c r="J31" s="7">
        <f t="shared" si="4"/>
        <v>34.39</v>
      </c>
      <c r="K31" s="43"/>
      <c r="L31" s="56" t="s">
        <v>379</v>
      </c>
      <c r="Q31" s="22" t="s">
        <v>167</v>
      </c>
      <c r="R31" s="22" t="s">
        <v>54</v>
      </c>
      <c r="S31" s="25">
        <v>41325</v>
      </c>
      <c r="T31" s="1">
        <v>41366</v>
      </c>
      <c r="U31" s="1">
        <v>41367</v>
      </c>
      <c r="V31" s="1" t="s">
        <v>67</v>
      </c>
      <c r="W31" s="1">
        <v>41397</v>
      </c>
      <c r="X31" s="16" t="s">
        <v>68</v>
      </c>
      <c r="Y31" s="58">
        <f t="shared" si="0"/>
        <v>60</v>
      </c>
      <c r="Z31" s="58">
        <f t="shared" si="5"/>
        <v>72</v>
      </c>
      <c r="AA31" s="58" t="s">
        <v>85</v>
      </c>
      <c r="AD31" s="58"/>
      <c r="AE31" s="58"/>
      <c r="AF31" s="58"/>
      <c r="AG31" s="58" t="s">
        <v>86</v>
      </c>
    </row>
    <row r="32" spans="1:33" x14ac:dyDescent="0.25">
      <c r="A32">
        <v>31</v>
      </c>
      <c r="B32">
        <v>7</v>
      </c>
      <c r="C32" s="22">
        <v>2</v>
      </c>
      <c r="D32" t="s">
        <v>175</v>
      </c>
      <c r="E32" s="1">
        <v>41265</v>
      </c>
      <c r="F32">
        <v>108</v>
      </c>
      <c r="G32" s="22">
        <v>119</v>
      </c>
      <c r="H32">
        <v>31.3</v>
      </c>
      <c r="I32" s="7">
        <f t="shared" si="2"/>
        <v>26.605</v>
      </c>
      <c r="J32" s="7">
        <f t="shared" si="4"/>
        <v>29.734999999999999</v>
      </c>
      <c r="K32" s="43"/>
      <c r="L32" s="56" t="s">
        <v>380</v>
      </c>
      <c r="Q32" s="22" t="s">
        <v>168</v>
      </c>
      <c r="R32" s="22" t="s">
        <v>54</v>
      </c>
      <c r="S32" s="25" t="s">
        <v>72</v>
      </c>
      <c r="T32" s="1">
        <v>41366</v>
      </c>
      <c r="U32" s="1">
        <v>41367</v>
      </c>
      <c r="V32" s="1" t="s">
        <v>67</v>
      </c>
      <c r="W32" s="1">
        <v>41397</v>
      </c>
      <c r="X32" s="24" t="s">
        <v>69</v>
      </c>
      <c r="Y32" s="58">
        <f t="shared" si="0"/>
        <v>59</v>
      </c>
      <c r="Z32" s="58">
        <f t="shared" si="5"/>
        <v>71</v>
      </c>
      <c r="AA32" s="58" t="s">
        <v>85</v>
      </c>
      <c r="AD32" s="58"/>
      <c r="AE32" s="58"/>
      <c r="AF32" s="58"/>
      <c r="AG32" s="58" t="s">
        <v>86</v>
      </c>
    </row>
    <row r="33" spans="1:33" x14ac:dyDescent="0.25">
      <c r="A33">
        <v>32</v>
      </c>
      <c r="B33">
        <v>8</v>
      </c>
      <c r="C33" s="22">
        <v>2</v>
      </c>
      <c r="D33" t="s">
        <v>50</v>
      </c>
      <c r="E33" s="1">
        <v>41265</v>
      </c>
      <c r="F33">
        <v>108</v>
      </c>
      <c r="G33" s="22">
        <v>119</v>
      </c>
      <c r="H33">
        <v>23.2</v>
      </c>
      <c r="I33" s="7">
        <f t="shared" si="2"/>
        <v>19.72</v>
      </c>
      <c r="J33" s="7">
        <f t="shared" si="4"/>
        <v>22.04</v>
      </c>
      <c r="K33" s="43"/>
      <c r="L33" s="56" t="s">
        <v>381</v>
      </c>
      <c r="Q33" s="22" t="s">
        <v>169</v>
      </c>
      <c r="R33" s="22" t="s">
        <v>54</v>
      </c>
      <c r="S33" s="25" t="s">
        <v>72</v>
      </c>
      <c r="T33" s="1">
        <v>41366</v>
      </c>
      <c r="U33" s="1">
        <v>41367</v>
      </c>
      <c r="V33" s="1" t="s">
        <v>67</v>
      </c>
      <c r="W33" s="1">
        <v>41397</v>
      </c>
      <c r="X33" s="24" t="s">
        <v>70</v>
      </c>
      <c r="Y33" s="58">
        <f t="shared" si="0"/>
        <v>59</v>
      </c>
      <c r="Z33" s="58">
        <f t="shared" si="5"/>
        <v>71</v>
      </c>
      <c r="AA33" s="58" t="s">
        <v>85</v>
      </c>
      <c r="AD33" s="58"/>
      <c r="AE33" s="58"/>
      <c r="AF33" s="58"/>
      <c r="AG33" s="58" t="s">
        <v>86</v>
      </c>
    </row>
    <row r="34" spans="1:33" x14ac:dyDescent="0.25">
      <c r="A34">
        <v>33</v>
      </c>
      <c r="B34">
        <v>9</v>
      </c>
      <c r="C34" s="22">
        <v>2</v>
      </c>
      <c r="D34" t="s">
        <v>50</v>
      </c>
      <c r="E34" s="1">
        <v>41265</v>
      </c>
      <c r="F34">
        <v>108</v>
      </c>
      <c r="G34" s="22">
        <v>119</v>
      </c>
      <c r="H34">
        <v>24.8</v>
      </c>
      <c r="I34" s="7">
        <f t="shared" si="2"/>
        <v>21.08</v>
      </c>
      <c r="J34" s="7">
        <f t="shared" si="4"/>
        <v>23.56</v>
      </c>
      <c r="K34" s="43"/>
      <c r="L34" s="56" t="s">
        <v>382</v>
      </c>
      <c r="Q34" s="22" t="s">
        <v>170</v>
      </c>
      <c r="R34" s="22" t="s">
        <v>54</v>
      </c>
      <c r="S34" s="25" t="s">
        <v>73</v>
      </c>
      <c r="T34" s="1">
        <v>41366</v>
      </c>
      <c r="U34" s="1">
        <v>41367</v>
      </c>
      <c r="V34" s="1" t="s">
        <v>67</v>
      </c>
      <c r="W34" s="1">
        <v>41397</v>
      </c>
      <c r="X34" s="24" t="s">
        <v>71</v>
      </c>
      <c r="Y34" s="58">
        <f t="shared" si="0"/>
        <v>61</v>
      </c>
      <c r="Z34" s="58">
        <f t="shared" si="5"/>
        <v>73</v>
      </c>
      <c r="AA34" s="58" t="s">
        <v>85</v>
      </c>
      <c r="AD34" s="58"/>
      <c r="AE34" s="58"/>
      <c r="AF34" s="58"/>
      <c r="AG34" s="58" t="s">
        <v>86</v>
      </c>
    </row>
    <row r="35" spans="1:33" x14ac:dyDescent="0.25">
      <c r="A35" s="59">
        <v>34</v>
      </c>
      <c r="B35" s="59">
        <v>10</v>
      </c>
      <c r="C35" s="59">
        <v>2</v>
      </c>
      <c r="D35" s="59" t="s">
        <v>50</v>
      </c>
      <c r="E35" s="79">
        <v>41265</v>
      </c>
      <c r="F35" s="59">
        <v>108</v>
      </c>
      <c r="G35" s="59">
        <v>119</v>
      </c>
      <c r="H35" s="59">
        <v>29.5</v>
      </c>
      <c r="I35" s="80">
        <f t="shared" si="2"/>
        <v>25.074999999999999</v>
      </c>
      <c r="J35" s="80">
        <f t="shared" si="4"/>
        <v>28.024999999999999</v>
      </c>
      <c r="K35" s="43"/>
      <c r="L35" s="56" t="s">
        <v>383</v>
      </c>
      <c r="Q35" s="22" t="s">
        <v>183</v>
      </c>
      <c r="R35" s="22" t="s">
        <v>54</v>
      </c>
      <c r="S35" s="25">
        <v>41299</v>
      </c>
      <c r="T35" s="1">
        <v>41366</v>
      </c>
      <c r="U35" s="1">
        <v>41367</v>
      </c>
      <c r="V35" s="1" t="s">
        <v>67</v>
      </c>
      <c r="W35" s="1">
        <v>41397</v>
      </c>
      <c r="X35" s="24" t="s">
        <v>74</v>
      </c>
      <c r="Y35" s="58">
        <f t="shared" si="0"/>
        <v>86</v>
      </c>
      <c r="Z35" s="58">
        <f t="shared" si="5"/>
        <v>98</v>
      </c>
      <c r="AA35" s="58" t="s">
        <v>85</v>
      </c>
      <c r="AD35" s="58"/>
      <c r="AE35" s="58"/>
      <c r="AF35" s="58"/>
      <c r="AG35" s="58" t="s">
        <v>86</v>
      </c>
    </row>
    <row r="36" spans="1:33" x14ac:dyDescent="0.25">
      <c r="A36">
        <v>35</v>
      </c>
      <c r="B36">
        <v>11</v>
      </c>
      <c r="C36" s="22">
        <v>2</v>
      </c>
      <c r="D36" t="s">
        <v>179</v>
      </c>
      <c r="E36" s="1">
        <v>41271</v>
      </c>
      <c r="F36">
        <v>102</v>
      </c>
      <c r="G36" s="22">
        <v>113</v>
      </c>
      <c r="H36">
        <v>24.9</v>
      </c>
      <c r="I36" s="7">
        <f t="shared" si="2"/>
        <v>21.164999999999999</v>
      </c>
      <c r="J36" s="7">
        <f t="shared" si="4"/>
        <v>23.654999999999998</v>
      </c>
      <c r="L36" s="56" t="s">
        <v>384</v>
      </c>
      <c r="Q36" s="22" t="s">
        <v>175</v>
      </c>
      <c r="R36" s="22" t="s">
        <v>54</v>
      </c>
      <c r="S36" s="25">
        <v>41332</v>
      </c>
      <c r="T36" s="1">
        <v>41366</v>
      </c>
      <c r="U36" s="1">
        <v>41367</v>
      </c>
      <c r="V36" s="19" t="s">
        <v>81</v>
      </c>
      <c r="W36" s="1">
        <v>41402</v>
      </c>
      <c r="X36" s="24" t="s">
        <v>75</v>
      </c>
      <c r="Y36" s="58">
        <f t="shared" si="0"/>
        <v>55</v>
      </c>
      <c r="Z36" s="2">
        <f t="shared" si="5"/>
        <v>70</v>
      </c>
      <c r="AA36" s="2" t="s">
        <v>84</v>
      </c>
      <c r="AD36" s="58"/>
      <c r="AE36" s="58"/>
      <c r="AF36" s="58"/>
      <c r="AG36" s="58"/>
    </row>
    <row r="37" spans="1:33" x14ac:dyDescent="0.25">
      <c r="A37">
        <v>36</v>
      </c>
      <c r="B37">
        <v>12</v>
      </c>
      <c r="C37" s="22">
        <v>2</v>
      </c>
      <c r="D37" t="s">
        <v>165</v>
      </c>
      <c r="E37" s="1">
        <v>41282</v>
      </c>
      <c r="F37">
        <v>91</v>
      </c>
      <c r="G37" s="22">
        <v>102</v>
      </c>
      <c r="H37">
        <v>19.600000000000001</v>
      </c>
      <c r="I37" s="7">
        <f t="shared" si="2"/>
        <v>16.66</v>
      </c>
      <c r="J37" s="7">
        <f t="shared" si="4"/>
        <v>18.62</v>
      </c>
      <c r="L37" s="56" t="s">
        <v>385</v>
      </c>
      <c r="Q37" s="22" t="s">
        <v>186</v>
      </c>
      <c r="R37" s="22" t="s">
        <v>54</v>
      </c>
      <c r="S37" s="25">
        <v>41326</v>
      </c>
      <c r="T37" s="1">
        <v>41366</v>
      </c>
      <c r="U37" s="1">
        <v>41367</v>
      </c>
      <c r="V37" s="19" t="s">
        <v>81</v>
      </c>
      <c r="W37" s="1">
        <v>41402</v>
      </c>
      <c r="X37" s="24" t="s">
        <v>76</v>
      </c>
      <c r="Y37" s="58">
        <f t="shared" si="0"/>
        <v>61</v>
      </c>
      <c r="Z37" s="2">
        <f t="shared" si="5"/>
        <v>76</v>
      </c>
      <c r="AA37" s="2" t="s">
        <v>84</v>
      </c>
      <c r="AD37" s="58"/>
      <c r="AE37" s="58"/>
      <c r="AF37" s="58"/>
      <c r="AG37" s="58"/>
    </row>
    <row r="38" spans="1:33" x14ac:dyDescent="0.25">
      <c r="A38">
        <v>37</v>
      </c>
      <c r="B38">
        <v>13</v>
      </c>
      <c r="C38" s="22">
        <v>2</v>
      </c>
      <c r="D38" t="s">
        <v>166</v>
      </c>
      <c r="E38" s="1">
        <v>41276</v>
      </c>
      <c r="F38">
        <v>104</v>
      </c>
      <c r="G38" s="22">
        <v>115</v>
      </c>
      <c r="H38" s="23">
        <v>36</v>
      </c>
      <c r="I38" s="7">
        <f t="shared" ref="I38:I61" si="6">H38*0.85</f>
        <v>30.599999999999998</v>
      </c>
      <c r="J38" s="7">
        <f t="shared" ref="J38:J61" si="7">H38*0.95</f>
        <v>34.199999999999996</v>
      </c>
      <c r="L38" s="56" t="s">
        <v>386</v>
      </c>
      <c r="Q38" s="22" t="s">
        <v>176</v>
      </c>
      <c r="R38" s="22" t="s">
        <v>54</v>
      </c>
      <c r="S38" s="25">
        <v>41330</v>
      </c>
      <c r="T38" s="1">
        <v>41366</v>
      </c>
      <c r="U38" s="1">
        <v>41367</v>
      </c>
      <c r="V38" s="19" t="s">
        <v>81</v>
      </c>
      <c r="W38" s="1">
        <v>41402</v>
      </c>
      <c r="X38" s="24" t="s">
        <v>77</v>
      </c>
      <c r="Y38" s="58">
        <f t="shared" si="0"/>
        <v>57</v>
      </c>
      <c r="Z38" s="2">
        <f t="shared" si="5"/>
        <v>72</v>
      </c>
      <c r="AA38" s="2" t="s">
        <v>84</v>
      </c>
      <c r="AD38" s="58"/>
      <c r="AE38" s="58"/>
      <c r="AF38" s="58"/>
      <c r="AG38" s="58"/>
    </row>
    <row r="39" spans="1:33" x14ac:dyDescent="0.25">
      <c r="A39">
        <v>38</v>
      </c>
      <c r="B39">
        <v>14</v>
      </c>
      <c r="C39" s="22">
        <v>2</v>
      </c>
      <c r="D39" t="s">
        <v>166</v>
      </c>
      <c r="E39" s="1">
        <v>41276</v>
      </c>
      <c r="F39">
        <v>104</v>
      </c>
      <c r="G39" s="22">
        <v>115</v>
      </c>
      <c r="H39" s="22">
        <v>37.299999999999997</v>
      </c>
      <c r="I39" s="7">
        <f t="shared" si="6"/>
        <v>31.704999999999998</v>
      </c>
      <c r="J39" s="7">
        <f t="shared" si="7"/>
        <v>35.434999999999995</v>
      </c>
      <c r="L39" s="56" t="s">
        <v>387</v>
      </c>
      <c r="Q39" s="22" t="s">
        <v>174</v>
      </c>
      <c r="R39" s="22" t="s">
        <v>78</v>
      </c>
      <c r="S39" s="25">
        <v>41340</v>
      </c>
      <c r="T39" s="1"/>
      <c r="U39" s="1"/>
      <c r="V39" s="19" t="s">
        <v>81</v>
      </c>
      <c r="W39" s="1">
        <v>41402</v>
      </c>
      <c r="X39" s="24" t="s">
        <v>79</v>
      </c>
      <c r="Y39" s="58">
        <f t="shared" si="0"/>
        <v>47</v>
      </c>
      <c r="Z39" s="2">
        <f t="shared" si="5"/>
        <v>62</v>
      </c>
      <c r="AA39" s="2" t="s">
        <v>84</v>
      </c>
      <c r="AD39" s="58"/>
      <c r="AE39" s="58"/>
      <c r="AF39" s="58"/>
      <c r="AG39" s="58"/>
    </row>
    <row r="40" spans="1:33" x14ac:dyDescent="0.25">
      <c r="A40">
        <v>39</v>
      </c>
      <c r="B40">
        <v>15</v>
      </c>
      <c r="C40" s="22">
        <v>2</v>
      </c>
      <c r="D40" t="s">
        <v>166</v>
      </c>
      <c r="E40" s="1">
        <v>41276</v>
      </c>
      <c r="F40">
        <v>104</v>
      </c>
      <c r="G40" s="22">
        <v>115</v>
      </c>
      <c r="H40" s="22">
        <v>28.9</v>
      </c>
      <c r="I40" s="7">
        <f t="shared" si="6"/>
        <v>24.564999999999998</v>
      </c>
      <c r="J40" s="7">
        <f t="shared" si="7"/>
        <v>27.454999999999998</v>
      </c>
      <c r="Q40" s="22" t="s">
        <v>171</v>
      </c>
      <c r="R40" s="22" t="s">
        <v>78</v>
      </c>
      <c r="S40" s="25">
        <v>41338</v>
      </c>
      <c r="T40" s="1"/>
      <c r="U40" s="1"/>
      <c r="V40" s="19" t="s">
        <v>81</v>
      </c>
      <c r="W40" s="1">
        <v>41402</v>
      </c>
      <c r="X40" s="24" t="s">
        <v>80</v>
      </c>
      <c r="Y40" s="58">
        <f t="shared" si="0"/>
        <v>49</v>
      </c>
      <c r="Z40" s="2">
        <f t="shared" si="5"/>
        <v>64</v>
      </c>
      <c r="AA40" s="2" t="s">
        <v>84</v>
      </c>
      <c r="AD40" s="58"/>
      <c r="AE40" s="58"/>
      <c r="AF40" s="58"/>
      <c r="AG40" s="58"/>
    </row>
    <row r="41" spans="1:33" x14ac:dyDescent="0.25">
      <c r="A41">
        <v>40</v>
      </c>
      <c r="B41">
        <v>16</v>
      </c>
      <c r="C41" s="22">
        <v>2</v>
      </c>
      <c r="D41" t="s">
        <v>177</v>
      </c>
      <c r="E41" s="1">
        <v>41278</v>
      </c>
      <c r="F41">
        <v>102</v>
      </c>
      <c r="G41" s="22">
        <v>113</v>
      </c>
      <c r="H41" s="22">
        <v>31.6</v>
      </c>
      <c r="I41" s="7">
        <f t="shared" si="6"/>
        <v>26.86</v>
      </c>
      <c r="J41" s="7">
        <f t="shared" si="7"/>
        <v>30.02</v>
      </c>
      <c r="L41" s="130" t="s">
        <v>512</v>
      </c>
      <c r="Q41" s="22" t="s">
        <v>169</v>
      </c>
      <c r="R41" s="22" t="s">
        <v>54</v>
      </c>
      <c r="S41" s="27" t="s">
        <v>93</v>
      </c>
      <c r="T41" s="1">
        <v>41366</v>
      </c>
      <c r="U41" s="1">
        <v>41367</v>
      </c>
      <c r="V41" s="19" t="s">
        <v>95</v>
      </c>
      <c r="W41" s="1">
        <v>41414</v>
      </c>
      <c r="X41" s="3" t="s">
        <v>14</v>
      </c>
      <c r="Y41" s="58">
        <v>119</v>
      </c>
      <c r="Z41" s="58">
        <v>125</v>
      </c>
      <c r="AA41" s="59" t="s">
        <v>94</v>
      </c>
      <c r="AD41" s="58"/>
      <c r="AE41" s="58"/>
      <c r="AF41" s="58"/>
      <c r="AG41" s="58"/>
    </row>
    <row r="42" spans="1:33" x14ac:dyDescent="0.25">
      <c r="A42">
        <v>41</v>
      </c>
      <c r="B42">
        <v>17</v>
      </c>
      <c r="C42" s="22">
        <v>2</v>
      </c>
      <c r="D42" t="s">
        <v>177</v>
      </c>
      <c r="E42" s="1">
        <v>41278</v>
      </c>
      <c r="F42">
        <v>102</v>
      </c>
      <c r="G42" s="22">
        <v>113</v>
      </c>
      <c r="H42" s="22">
        <v>32.700000000000003</v>
      </c>
      <c r="I42" s="7">
        <f t="shared" si="6"/>
        <v>27.795000000000002</v>
      </c>
      <c r="J42" s="7">
        <f t="shared" si="7"/>
        <v>31.065000000000001</v>
      </c>
      <c r="Q42" s="22" t="s">
        <v>179</v>
      </c>
      <c r="R42" s="22" t="s">
        <v>54</v>
      </c>
      <c r="S42" s="27" t="s">
        <v>92</v>
      </c>
      <c r="T42" s="1">
        <v>41366</v>
      </c>
      <c r="U42" s="1">
        <v>41367</v>
      </c>
      <c r="V42" s="19" t="s">
        <v>95</v>
      </c>
      <c r="W42" s="1">
        <v>41414</v>
      </c>
      <c r="X42" s="3" t="s">
        <v>15</v>
      </c>
      <c r="Y42" s="58">
        <v>137</v>
      </c>
      <c r="Z42" s="58">
        <v>143</v>
      </c>
      <c r="AA42" s="59" t="s">
        <v>94</v>
      </c>
      <c r="AD42" s="58"/>
      <c r="AE42" s="58"/>
      <c r="AF42" s="58"/>
      <c r="AG42" s="58"/>
    </row>
    <row r="43" spans="1:33" x14ac:dyDescent="0.25">
      <c r="A43">
        <v>42</v>
      </c>
      <c r="B43">
        <v>18</v>
      </c>
      <c r="C43" s="22">
        <v>2</v>
      </c>
      <c r="D43" t="s">
        <v>180</v>
      </c>
      <c r="E43" s="1">
        <v>41287</v>
      </c>
      <c r="F43">
        <v>93</v>
      </c>
      <c r="G43" s="22">
        <v>104</v>
      </c>
      <c r="H43" s="22">
        <v>23.8</v>
      </c>
      <c r="I43" s="7">
        <f t="shared" si="6"/>
        <v>20.23</v>
      </c>
      <c r="J43" s="7">
        <f t="shared" si="7"/>
        <v>22.61</v>
      </c>
      <c r="Q43" s="22" t="s">
        <v>174</v>
      </c>
      <c r="R43" s="22" t="s">
        <v>54</v>
      </c>
      <c r="S43" s="27" t="s">
        <v>91</v>
      </c>
      <c r="T43" s="1">
        <v>41366</v>
      </c>
      <c r="U43" s="1">
        <v>41367</v>
      </c>
      <c r="V43" s="19" t="s">
        <v>95</v>
      </c>
      <c r="W43" s="1">
        <v>41414</v>
      </c>
      <c r="X43" s="3" t="s">
        <v>96</v>
      </c>
      <c r="Y43" s="58">
        <v>151</v>
      </c>
      <c r="Z43" s="58">
        <v>157</v>
      </c>
      <c r="AA43" s="59" t="s">
        <v>94</v>
      </c>
      <c r="AD43" s="58"/>
      <c r="AE43" s="58"/>
      <c r="AF43" s="58"/>
      <c r="AG43" s="58"/>
    </row>
    <row r="44" spans="1:33" x14ac:dyDescent="0.25">
      <c r="A44">
        <v>43</v>
      </c>
      <c r="B44">
        <v>19</v>
      </c>
      <c r="C44" s="22">
        <v>2</v>
      </c>
      <c r="D44" t="s">
        <v>180</v>
      </c>
      <c r="E44" s="1">
        <v>41287</v>
      </c>
      <c r="F44" s="58">
        <v>93</v>
      </c>
      <c r="G44" s="22">
        <v>104</v>
      </c>
      <c r="H44" s="22">
        <v>24.9</v>
      </c>
      <c r="I44" s="7">
        <f t="shared" si="6"/>
        <v>21.164999999999999</v>
      </c>
      <c r="J44" s="7">
        <f t="shared" si="7"/>
        <v>23.654999999999998</v>
      </c>
      <c r="Q44" s="22" t="s">
        <v>165</v>
      </c>
      <c r="R44" s="22" t="s">
        <v>54</v>
      </c>
      <c r="S44" s="25">
        <v>41260</v>
      </c>
      <c r="T44" s="1">
        <v>41366</v>
      </c>
      <c r="U44" s="1">
        <v>41367</v>
      </c>
      <c r="V44" s="19" t="s">
        <v>95</v>
      </c>
      <c r="W44" s="1">
        <v>41414</v>
      </c>
      <c r="X44" s="3" t="s">
        <v>97</v>
      </c>
      <c r="Y44" s="58">
        <v>147</v>
      </c>
      <c r="Z44" s="58">
        <v>154</v>
      </c>
      <c r="AA44" s="59" t="s">
        <v>94</v>
      </c>
      <c r="AD44" s="58"/>
      <c r="AE44" s="58"/>
      <c r="AF44" s="58"/>
      <c r="AG44" s="58"/>
    </row>
    <row r="45" spans="1:33" x14ac:dyDescent="0.25">
      <c r="A45">
        <v>44</v>
      </c>
      <c r="B45">
        <v>20</v>
      </c>
      <c r="C45" s="22">
        <v>2</v>
      </c>
      <c r="D45" t="s">
        <v>180</v>
      </c>
      <c r="E45" s="1">
        <v>41287</v>
      </c>
      <c r="F45" s="58">
        <v>93</v>
      </c>
      <c r="G45" s="22">
        <v>104</v>
      </c>
      <c r="H45" s="22">
        <v>25.4</v>
      </c>
      <c r="I45" s="7">
        <f t="shared" si="6"/>
        <v>21.59</v>
      </c>
      <c r="J45" s="7">
        <f t="shared" si="7"/>
        <v>24.13</v>
      </c>
      <c r="Q45" s="22" t="s">
        <v>172</v>
      </c>
      <c r="R45" s="22" t="s">
        <v>54</v>
      </c>
      <c r="S45" s="27" t="s">
        <v>90</v>
      </c>
      <c r="T45" s="1">
        <v>41366</v>
      </c>
      <c r="U45" s="1">
        <v>41367</v>
      </c>
      <c r="V45" s="19" t="s">
        <v>95</v>
      </c>
      <c r="W45" s="1">
        <v>41414</v>
      </c>
      <c r="X45" s="3" t="s">
        <v>17</v>
      </c>
      <c r="Y45" s="58">
        <v>157</v>
      </c>
      <c r="Z45" s="58">
        <v>163</v>
      </c>
      <c r="AA45" s="59" t="s">
        <v>94</v>
      </c>
      <c r="AD45" s="58"/>
      <c r="AE45" s="58"/>
      <c r="AF45" s="58"/>
      <c r="AG45" s="58"/>
    </row>
    <row r="46" spans="1:33" x14ac:dyDescent="0.25">
      <c r="A46">
        <v>45</v>
      </c>
      <c r="B46">
        <v>21</v>
      </c>
      <c r="C46" s="22">
        <v>2</v>
      </c>
      <c r="D46" t="s">
        <v>178</v>
      </c>
      <c r="E46" s="1">
        <v>41299</v>
      </c>
      <c r="F46">
        <v>81</v>
      </c>
      <c r="G46" s="22">
        <v>92</v>
      </c>
      <c r="H46" s="22">
        <v>21.6</v>
      </c>
      <c r="I46" s="7">
        <f t="shared" si="6"/>
        <v>18.36</v>
      </c>
      <c r="J46" s="7">
        <f t="shared" si="7"/>
        <v>20.52</v>
      </c>
      <c r="Q46" s="22" t="s">
        <v>168</v>
      </c>
      <c r="R46" s="22" t="s">
        <v>54</v>
      </c>
      <c r="S46" s="27" t="s">
        <v>89</v>
      </c>
      <c r="T46" s="1">
        <v>41366</v>
      </c>
      <c r="U46" s="1">
        <v>41367</v>
      </c>
      <c r="V46" s="19" t="s">
        <v>95</v>
      </c>
      <c r="W46" s="1">
        <v>41414</v>
      </c>
      <c r="X46" s="3" t="s">
        <v>18</v>
      </c>
      <c r="Y46" s="58">
        <v>153</v>
      </c>
      <c r="Z46" s="58">
        <v>159</v>
      </c>
      <c r="AA46" s="59" t="s">
        <v>94</v>
      </c>
      <c r="AD46" s="58"/>
      <c r="AE46" s="58"/>
      <c r="AF46" s="58"/>
      <c r="AG46" s="58"/>
    </row>
    <row r="47" spans="1:33" x14ac:dyDescent="0.25">
      <c r="A47">
        <v>46</v>
      </c>
      <c r="B47">
        <v>22</v>
      </c>
      <c r="C47" s="22">
        <v>2</v>
      </c>
      <c r="D47" t="s">
        <v>178</v>
      </c>
      <c r="E47" s="1">
        <v>41299</v>
      </c>
      <c r="F47">
        <v>81</v>
      </c>
      <c r="G47" s="22">
        <v>92</v>
      </c>
      <c r="H47" s="22">
        <v>21.3</v>
      </c>
      <c r="I47" s="7">
        <f t="shared" si="6"/>
        <v>18.105</v>
      </c>
      <c r="J47" s="7">
        <f t="shared" si="7"/>
        <v>20.234999999999999</v>
      </c>
      <c r="Q47" s="22" t="s">
        <v>175</v>
      </c>
      <c r="R47" s="22" t="s">
        <v>54</v>
      </c>
      <c r="S47" s="27" t="s">
        <v>88</v>
      </c>
      <c r="T47" s="1">
        <v>41366</v>
      </c>
      <c r="U47" s="1">
        <v>41367</v>
      </c>
      <c r="V47" s="19" t="s">
        <v>95</v>
      </c>
      <c r="W47" s="1">
        <v>41414</v>
      </c>
      <c r="X47" s="3" t="s">
        <v>19</v>
      </c>
      <c r="Y47" s="58">
        <v>143</v>
      </c>
      <c r="Z47" s="58">
        <v>149</v>
      </c>
      <c r="AA47" s="59" t="s">
        <v>94</v>
      </c>
      <c r="AD47" s="58"/>
      <c r="AE47" s="58" t="s">
        <v>100</v>
      </c>
      <c r="AF47" s="58"/>
      <c r="AG47" s="58"/>
    </row>
    <row r="48" spans="1:33" x14ac:dyDescent="0.25">
      <c r="A48">
        <v>47</v>
      </c>
      <c r="B48">
        <v>23</v>
      </c>
      <c r="C48" s="22">
        <v>2</v>
      </c>
      <c r="D48" t="s">
        <v>178</v>
      </c>
      <c r="E48" s="1">
        <v>41299</v>
      </c>
      <c r="F48">
        <v>81</v>
      </c>
      <c r="G48" s="22">
        <v>92</v>
      </c>
      <c r="H48" s="22">
        <v>22.9</v>
      </c>
      <c r="I48" s="7">
        <f t="shared" si="6"/>
        <v>19.465</v>
      </c>
      <c r="J48" s="7">
        <f t="shared" si="7"/>
        <v>21.754999999999999</v>
      </c>
      <c r="K48" s="1"/>
      <c r="Q48" s="22" t="s">
        <v>170</v>
      </c>
      <c r="R48" s="22" t="s">
        <v>54</v>
      </c>
      <c r="S48" s="1">
        <v>41274</v>
      </c>
      <c r="T48" s="1">
        <v>41366</v>
      </c>
      <c r="U48" s="1">
        <v>41367</v>
      </c>
      <c r="V48" s="1">
        <v>41416</v>
      </c>
      <c r="W48" s="1">
        <v>41422</v>
      </c>
      <c r="X48" s="3" t="s">
        <v>57</v>
      </c>
      <c r="Y48" s="58">
        <v>142</v>
      </c>
      <c r="Z48" s="58">
        <v>148</v>
      </c>
      <c r="AD48" s="58"/>
      <c r="AE48" s="58"/>
      <c r="AF48" s="58"/>
      <c r="AG48" s="58"/>
    </row>
    <row r="49" spans="1:33" x14ac:dyDescent="0.25">
      <c r="A49">
        <v>48</v>
      </c>
      <c r="B49">
        <v>24</v>
      </c>
      <c r="C49" s="22">
        <v>2</v>
      </c>
      <c r="D49" t="s">
        <v>181</v>
      </c>
      <c r="E49" s="1">
        <v>41288</v>
      </c>
      <c r="F49">
        <v>92</v>
      </c>
      <c r="G49" s="22">
        <v>103</v>
      </c>
      <c r="H49" s="22">
        <v>32.1</v>
      </c>
      <c r="I49" s="7">
        <f t="shared" si="6"/>
        <v>27.285</v>
      </c>
      <c r="J49" s="7">
        <f t="shared" si="7"/>
        <v>30.495000000000001</v>
      </c>
      <c r="Q49" s="22" t="s">
        <v>165</v>
      </c>
      <c r="R49" s="22" t="s">
        <v>54</v>
      </c>
      <c r="S49" s="1">
        <v>41282</v>
      </c>
      <c r="T49" s="1">
        <v>41366</v>
      </c>
      <c r="U49" s="1">
        <v>41367</v>
      </c>
      <c r="V49" s="1">
        <v>41416</v>
      </c>
      <c r="W49" s="1">
        <v>41422</v>
      </c>
      <c r="X49" s="3" t="s">
        <v>60</v>
      </c>
      <c r="Y49" s="58">
        <v>134</v>
      </c>
      <c r="Z49" s="58">
        <v>140</v>
      </c>
      <c r="AD49" s="58"/>
      <c r="AE49" s="58"/>
      <c r="AF49" s="58"/>
      <c r="AG49" s="58"/>
    </row>
    <row r="50" spans="1:33" x14ac:dyDescent="0.25">
      <c r="A50">
        <v>49</v>
      </c>
      <c r="B50">
        <v>25</v>
      </c>
      <c r="C50" s="22">
        <v>2</v>
      </c>
      <c r="D50" t="s">
        <v>182</v>
      </c>
      <c r="E50" s="1">
        <v>41311</v>
      </c>
      <c r="F50" s="58">
        <v>70</v>
      </c>
      <c r="G50" s="22">
        <v>83</v>
      </c>
      <c r="H50">
        <v>20.5</v>
      </c>
      <c r="I50" s="7">
        <f t="shared" si="6"/>
        <v>17.425000000000001</v>
      </c>
      <c r="J50" s="7">
        <f t="shared" si="7"/>
        <v>19.474999999999998</v>
      </c>
      <c r="K50" s="22"/>
      <c r="Q50" s="22" t="s">
        <v>171</v>
      </c>
      <c r="R50" t="s">
        <v>78</v>
      </c>
      <c r="S50" s="1">
        <v>41355</v>
      </c>
      <c r="T50"/>
      <c r="U50"/>
      <c r="V50" s="1">
        <v>41421</v>
      </c>
      <c r="W50" s="1">
        <v>41427</v>
      </c>
      <c r="X50" s="3" t="s">
        <v>59</v>
      </c>
      <c r="Y50" s="58">
        <v>66</v>
      </c>
      <c r="Z50" s="58">
        <v>72</v>
      </c>
      <c r="AD50" s="58"/>
      <c r="AE50" s="58"/>
      <c r="AF50" s="58"/>
      <c r="AG50" s="58"/>
    </row>
    <row r="51" spans="1:33" x14ac:dyDescent="0.25">
      <c r="A51">
        <v>50</v>
      </c>
      <c r="B51">
        <v>26</v>
      </c>
      <c r="C51" s="22">
        <v>2</v>
      </c>
      <c r="D51" t="s">
        <v>182</v>
      </c>
      <c r="E51" s="1">
        <v>41311</v>
      </c>
      <c r="F51">
        <v>70</v>
      </c>
      <c r="G51" s="22">
        <v>83</v>
      </c>
      <c r="H51">
        <v>23.5</v>
      </c>
      <c r="I51" s="7">
        <f t="shared" si="6"/>
        <v>19.974999999999998</v>
      </c>
      <c r="J51" s="7">
        <f t="shared" si="7"/>
        <v>22.324999999999999</v>
      </c>
      <c r="K51" s="22"/>
      <c r="Q51" t="s">
        <v>177</v>
      </c>
      <c r="R51" s="22" t="s">
        <v>54</v>
      </c>
      <c r="S51" s="1">
        <v>41316</v>
      </c>
      <c r="T51" s="1">
        <v>41366</v>
      </c>
      <c r="U51" s="1">
        <v>41367</v>
      </c>
      <c r="V51" s="1">
        <v>41421</v>
      </c>
      <c r="W51" s="1">
        <v>41427</v>
      </c>
      <c r="X51" s="3" t="s">
        <v>24</v>
      </c>
      <c r="Y51" s="58">
        <v>105</v>
      </c>
      <c r="Z51" s="2">
        <v>111</v>
      </c>
      <c r="AD51" s="58"/>
      <c r="AE51" s="58"/>
      <c r="AF51" s="58"/>
      <c r="AG51" s="58"/>
    </row>
    <row r="52" spans="1:33" x14ac:dyDescent="0.25">
      <c r="A52">
        <v>51</v>
      </c>
      <c r="B52">
        <v>27</v>
      </c>
      <c r="C52" s="22">
        <v>2</v>
      </c>
      <c r="D52" t="s">
        <v>182</v>
      </c>
      <c r="E52" s="1">
        <v>41311</v>
      </c>
      <c r="F52">
        <v>70</v>
      </c>
      <c r="G52" s="22">
        <v>83</v>
      </c>
      <c r="H52">
        <v>25.2</v>
      </c>
      <c r="I52" s="7">
        <f t="shared" si="6"/>
        <v>21.419999999999998</v>
      </c>
      <c r="J52" s="7">
        <f t="shared" si="7"/>
        <v>23.939999999999998</v>
      </c>
      <c r="K52" s="22"/>
      <c r="Q52" t="s">
        <v>174</v>
      </c>
      <c r="R52" s="22" t="s">
        <v>78</v>
      </c>
      <c r="S52" s="1">
        <v>41344</v>
      </c>
      <c r="T52" s="3"/>
      <c r="U52"/>
      <c r="V52" s="1">
        <v>41429</v>
      </c>
      <c r="W52" s="1">
        <v>41435</v>
      </c>
      <c r="X52" s="3" t="s">
        <v>25</v>
      </c>
      <c r="Y52" s="58">
        <v>85</v>
      </c>
      <c r="Z52" s="58">
        <v>91</v>
      </c>
      <c r="AD52" s="58"/>
      <c r="AE52" s="58"/>
      <c r="AF52" s="58"/>
      <c r="AG52" s="58"/>
    </row>
    <row r="53" spans="1:33" x14ac:dyDescent="0.25">
      <c r="A53" s="5">
        <v>52</v>
      </c>
      <c r="B53">
        <v>28</v>
      </c>
      <c r="C53" s="22">
        <v>2</v>
      </c>
      <c r="D53" s="18" t="s">
        <v>183</v>
      </c>
      <c r="E53" s="20">
        <v>41299</v>
      </c>
      <c r="F53" s="57">
        <v>82</v>
      </c>
      <c r="G53" s="22">
        <v>95</v>
      </c>
      <c r="H53">
        <v>28.3</v>
      </c>
      <c r="I53" s="7">
        <f t="shared" si="6"/>
        <v>24.055</v>
      </c>
      <c r="J53" s="7">
        <f t="shared" si="7"/>
        <v>26.884999999999998</v>
      </c>
      <c r="K53" s="22"/>
      <c r="Q53" t="s">
        <v>171</v>
      </c>
      <c r="R53" s="22" t="s">
        <v>78</v>
      </c>
      <c r="S53" s="14">
        <v>41355</v>
      </c>
      <c r="T53" s="30"/>
      <c r="U53" s="22"/>
      <c r="V53" s="1">
        <v>41429</v>
      </c>
      <c r="W53" s="1">
        <v>41435</v>
      </c>
      <c r="X53" s="3" t="s">
        <v>61</v>
      </c>
      <c r="Y53" s="58">
        <v>74</v>
      </c>
      <c r="Z53" s="58">
        <v>80</v>
      </c>
      <c r="AA53" s="1"/>
      <c r="AD53" s="58"/>
      <c r="AE53" s="58"/>
      <c r="AF53" s="58"/>
      <c r="AG53" s="58"/>
    </row>
    <row r="54" spans="1:33" x14ac:dyDescent="0.25">
      <c r="A54" s="5">
        <v>53</v>
      </c>
      <c r="B54">
        <v>29</v>
      </c>
      <c r="C54" s="22">
        <v>2</v>
      </c>
      <c r="D54" s="18" t="s">
        <v>183</v>
      </c>
      <c r="E54" s="20">
        <v>41299</v>
      </c>
      <c r="F54" s="57">
        <v>82</v>
      </c>
      <c r="G54" s="22">
        <v>95</v>
      </c>
      <c r="H54">
        <v>29.6</v>
      </c>
      <c r="I54" s="7">
        <f t="shared" si="6"/>
        <v>25.16</v>
      </c>
      <c r="J54" s="7">
        <f t="shared" si="7"/>
        <v>28.12</v>
      </c>
      <c r="K54" s="22"/>
      <c r="Q54" s="22" t="s">
        <v>104</v>
      </c>
      <c r="R54" s="22" t="s">
        <v>46</v>
      </c>
      <c r="S54" s="31">
        <v>41366</v>
      </c>
      <c r="T54" s="1">
        <v>41423</v>
      </c>
      <c r="U54" s="22" t="s">
        <v>11</v>
      </c>
      <c r="V54" s="1">
        <v>41433</v>
      </c>
      <c r="W54" s="1">
        <v>41439</v>
      </c>
      <c r="X54" s="3" t="s">
        <v>14</v>
      </c>
      <c r="Y54" s="58">
        <v>67</v>
      </c>
      <c r="Z54" s="58">
        <v>73</v>
      </c>
      <c r="AD54" s="58"/>
      <c r="AE54" s="58"/>
      <c r="AF54" s="58"/>
      <c r="AG54" s="58"/>
    </row>
    <row r="55" spans="1:33" x14ac:dyDescent="0.25">
      <c r="A55" s="5">
        <v>54</v>
      </c>
      <c r="B55">
        <v>30</v>
      </c>
      <c r="C55" s="22">
        <v>2</v>
      </c>
      <c r="D55" s="43" t="s">
        <v>181</v>
      </c>
      <c r="E55" s="1">
        <v>41288</v>
      </c>
      <c r="F55" s="57">
        <v>93</v>
      </c>
      <c r="G55" s="22">
        <v>106</v>
      </c>
      <c r="H55">
        <v>29.4</v>
      </c>
      <c r="I55" s="7">
        <f t="shared" si="6"/>
        <v>24.99</v>
      </c>
      <c r="J55" s="7">
        <f t="shared" si="7"/>
        <v>27.929999999999996</v>
      </c>
      <c r="K55" s="22"/>
      <c r="Q55" s="22" t="s">
        <v>105</v>
      </c>
      <c r="R55" s="22" t="s">
        <v>46</v>
      </c>
      <c r="S55" s="31">
        <v>41366</v>
      </c>
      <c r="T55" s="1">
        <v>41423</v>
      </c>
      <c r="U55" s="22" t="s">
        <v>11</v>
      </c>
      <c r="V55" s="1">
        <v>41433</v>
      </c>
      <c r="W55" s="1">
        <v>41439</v>
      </c>
      <c r="X55" s="3" t="s">
        <v>15</v>
      </c>
      <c r="Y55" s="58">
        <v>67</v>
      </c>
      <c r="Z55" s="58">
        <v>73</v>
      </c>
      <c r="AD55" s="58"/>
      <c r="AE55" s="58"/>
      <c r="AF55" s="58"/>
      <c r="AG55" s="58"/>
    </row>
    <row r="56" spans="1:33" x14ac:dyDescent="0.25">
      <c r="A56" s="5">
        <v>55</v>
      </c>
      <c r="B56">
        <v>31</v>
      </c>
      <c r="C56" s="22">
        <v>2</v>
      </c>
      <c r="D56" s="43" t="s">
        <v>184</v>
      </c>
      <c r="E56" s="1">
        <v>41302</v>
      </c>
      <c r="F56" s="57">
        <v>79</v>
      </c>
      <c r="G56" s="22">
        <v>92</v>
      </c>
      <c r="H56">
        <v>29.4</v>
      </c>
      <c r="I56" s="7">
        <f t="shared" si="6"/>
        <v>24.99</v>
      </c>
      <c r="J56" s="7">
        <f t="shared" si="7"/>
        <v>27.929999999999996</v>
      </c>
      <c r="K56" s="22"/>
      <c r="Q56" s="22" t="s">
        <v>106</v>
      </c>
      <c r="R56" s="22" t="s">
        <v>46</v>
      </c>
      <c r="S56" s="31">
        <v>41361</v>
      </c>
      <c r="T56" s="1">
        <v>41423</v>
      </c>
      <c r="U56" s="22" t="s">
        <v>11</v>
      </c>
      <c r="V56" s="1">
        <v>41433</v>
      </c>
      <c r="W56" s="1">
        <v>41439</v>
      </c>
      <c r="X56" s="3" t="s">
        <v>16</v>
      </c>
      <c r="Y56" s="58">
        <v>72</v>
      </c>
      <c r="Z56" s="58">
        <v>78</v>
      </c>
      <c r="AD56" s="58"/>
      <c r="AE56" s="58"/>
      <c r="AF56" s="58"/>
      <c r="AG56" s="58"/>
    </row>
    <row r="57" spans="1:33" x14ac:dyDescent="0.25">
      <c r="A57" s="5">
        <v>56</v>
      </c>
      <c r="B57">
        <v>32</v>
      </c>
      <c r="C57" s="22">
        <v>2</v>
      </c>
      <c r="D57" s="43" t="s">
        <v>184</v>
      </c>
      <c r="E57" s="1">
        <v>41302</v>
      </c>
      <c r="F57" s="57">
        <v>79</v>
      </c>
      <c r="G57" s="22">
        <v>92</v>
      </c>
      <c r="H57">
        <v>31</v>
      </c>
      <c r="I57" s="7">
        <f t="shared" si="6"/>
        <v>26.349999999999998</v>
      </c>
      <c r="J57" s="7">
        <f t="shared" si="7"/>
        <v>29.45</v>
      </c>
      <c r="K57" s="22"/>
      <c r="Q57" s="22" t="s">
        <v>56</v>
      </c>
      <c r="R57" s="22" t="s">
        <v>46</v>
      </c>
      <c r="S57" s="31">
        <v>41359</v>
      </c>
      <c r="T57" s="1">
        <v>41423</v>
      </c>
      <c r="U57" s="22" t="s">
        <v>11</v>
      </c>
      <c r="V57" s="1">
        <v>41433</v>
      </c>
      <c r="W57" s="1">
        <v>41439</v>
      </c>
      <c r="X57" s="3" t="s">
        <v>17</v>
      </c>
      <c r="Y57" s="58">
        <v>74</v>
      </c>
      <c r="Z57" s="58">
        <v>80</v>
      </c>
      <c r="AD57" s="58"/>
      <c r="AE57" s="58"/>
      <c r="AF57" s="58"/>
      <c r="AG57" s="58"/>
    </row>
    <row r="58" spans="1:33" x14ac:dyDescent="0.25">
      <c r="A58" s="5">
        <v>57</v>
      </c>
      <c r="B58">
        <v>33</v>
      </c>
      <c r="C58" s="22">
        <v>2</v>
      </c>
      <c r="D58" s="43" t="s">
        <v>166</v>
      </c>
      <c r="E58" s="1">
        <v>41276</v>
      </c>
      <c r="F58" s="57">
        <v>105</v>
      </c>
      <c r="G58" s="22">
        <v>118</v>
      </c>
      <c r="H58">
        <v>30</v>
      </c>
      <c r="I58" s="7">
        <f t="shared" si="6"/>
        <v>25.5</v>
      </c>
      <c r="J58" s="7">
        <f t="shared" si="7"/>
        <v>28.5</v>
      </c>
      <c r="Q58" s="22" t="s">
        <v>55</v>
      </c>
      <c r="R58" s="22" t="s">
        <v>46</v>
      </c>
      <c r="S58" s="31">
        <v>41359</v>
      </c>
      <c r="T58" s="1">
        <v>41423</v>
      </c>
      <c r="U58" s="22" t="s">
        <v>11</v>
      </c>
      <c r="V58" s="1">
        <v>41433</v>
      </c>
      <c r="W58" s="1">
        <v>41439</v>
      </c>
      <c r="X58" s="3" t="s">
        <v>18</v>
      </c>
      <c r="Y58" s="58">
        <v>74</v>
      </c>
      <c r="Z58" s="58">
        <v>80</v>
      </c>
      <c r="AD58" s="58"/>
      <c r="AE58" s="58"/>
      <c r="AF58" s="58"/>
      <c r="AG58" s="58"/>
    </row>
    <row r="59" spans="1:33" x14ac:dyDescent="0.25">
      <c r="A59" s="5">
        <v>58</v>
      </c>
      <c r="B59">
        <v>34</v>
      </c>
      <c r="C59" s="22">
        <v>2</v>
      </c>
      <c r="D59" s="43" t="s">
        <v>166</v>
      </c>
      <c r="E59" s="1">
        <v>41276</v>
      </c>
      <c r="F59" s="57">
        <v>105</v>
      </c>
      <c r="G59" s="22">
        <v>118</v>
      </c>
      <c r="H59">
        <v>35.200000000000003</v>
      </c>
      <c r="I59" s="7">
        <f t="shared" si="6"/>
        <v>29.92</v>
      </c>
      <c r="J59" s="7">
        <f t="shared" si="7"/>
        <v>33.44</v>
      </c>
      <c r="Q59" s="6" t="s">
        <v>107</v>
      </c>
      <c r="R59" s="22" t="s">
        <v>46</v>
      </c>
      <c r="S59" s="31">
        <v>41359</v>
      </c>
      <c r="T59" s="1">
        <v>41423</v>
      </c>
      <c r="U59" s="22" t="s">
        <v>11</v>
      </c>
      <c r="V59" s="1">
        <v>41433</v>
      </c>
      <c r="W59" s="1">
        <v>41439</v>
      </c>
      <c r="X59" s="3" t="s">
        <v>19</v>
      </c>
      <c r="Y59" s="58">
        <v>74</v>
      </c>
      <c r="Z59" s="58">
        <v>80</v>
      </c>
      <c r="AA59" s="59" t="s">
        <v>108</v>
      </c>
      <c r="AD59" s="58"/>
      <c r="AE59" s="58"/>
      <c r="AF59" s="58"/>
      <c r="AG59" s="58"/>
    </row>
    <row r="60" spans="1:33" x14ac:dyDescent="0.25">
      <c r="A60">
        <v>59</v>
      </c>
      <c r="B60">
        <v>35</v>
      </c>
      <c r="C60" s="22">
        <v>2</v>
      </c>
      <c r="D60" s="43" t="s">
        <v>177</v>
      </c>
      <c r="E60" s="1">
        <v>41278</v>
      </c>
      <c r="F60" s="57">
        <v>103</v>
      </c>
      <c r="G60" s="22">
        <v>116</v>
      </c>
      <c r="H60">
        <v>33.4</v>
      </c>
      <c r="I60" s="7">
        <f t="shared" si="6"/>
        <v>28.389999999999997</v>
      </c>
      <c r="J60" s="7">
        <f t="shared" si="7"/>
        <v>31.729999999999997</v>
      </c>
      <c r="Q60" s="22" t="s">
        <v>110</v>
      </c>
      <c r="R60" s="22" t="s">
        <v>46</v>
      </c>
      <c r="S60" s="31">
        <v>41373</v>
      </c>
      <c r="T60" s="1">
        <v>41423</v>
      </c>
      <c r="U60" s="22" t="s">
        <v>11</v>
      </c>
      <c r="V60" s="1">
        <v>41436</v>
      </c>
      <c r="W60" s="25">
        <v>41442</v>
      </c>
      <c r="X60" s="58" t="s">
        <v>20</v>
      </c>
      <c r="Y60" s="58">
        <v>63</v>
      </c>
      <c r="Z60" s="58">
        <v>69</v>
      </c>
      <c r="AD60" s="58"/>
      <c r="AE60" s="58"/>
      <c r="AF60" s="58"/>
      <c r="AG60" s="58"/>
    </row>
    <row r="61" spans="1:33" x14ac:dyDescent="0.25">
      <c r="A61">
        <v>60</v>
      </c>
      <c r="B61">
        <v>36</v>
      </c>
      <c r="C61" s="22">
        <v>2</v>
      </c>
      <c r="D61" s="43" t="s">
        <v>177</v>
      </c>
      <c r="E61" s="1">
        <v>41278</v>
      </c>
      <c r="F61" s="57">
        <v>103</v>
      </c>
      <c r="G61" s="22">
        <v>116</v>
      </c>
      <c r="H61">
        <v>31</v>
      </c>
      <c r="I61" s="7">
        <f t="shared" si="6"/>
        <v>26.349999999999998</v>
      </c>
      <c r="J61" s="7">
        <f t="shared" si="7"/>
        <v>29.45</v>
      </c>
      <c r="Q61" s="22" t="s">
        <v>111</v>
      </c>
      <c r="R61" s="22" t="s">
        <v>46</v>
      </c>
      <c r="S61" s="31">
        <v>41373</v>
      </c>
      <c r="T61" s="1">
        <v>41423</v>
      </c>
      <c r="U61" s="22" t="s">
        <v>11</v>
      </c>
      <c r="V61" s="1">
        <v>41436</v>
      </c>
      <c r="W61" s="25">
        <v>41442</v>
      </c>
      <c r="X61" s="58" t="s">
        <v>21</v>
      </c>
      <c r="Y61" s="58">
        <v>63</v>
      </c>
      <c r="Z61" s="58">
        <v>69</v>
      </c>
      <c r="AD61" s="58"/>
      <c r="AE61" s="58"/>
      <c r="AF61" s="58"/>
      <c r="AG61" s="58"/>
    </row>
    <row r="62" spans="1:33" x14ac:dyDescent="0.25">
      <c r="A62">
        <v>61</v>
      </c>
      <c r="B62" s="22">
        <v>37</v>
      </c>
      <c r="C62" s="22">
        <v>2</v>
      </c>
      <c r="D62" s="22" t="s">
        <v>167</v>
      </c>
      <c r="E62" s="1">
        <v>41325</v>
      </c>
      <c r="F62">
        <v>60</v>
      </c>
      <c r="G62">
        <v>72</v>
      </c>
      <c r="H62" s="23">
        <v>23.4</v>
      </c>
      <c r="I62" s="7">
        <f t="shared" ref="I62:I81" si="8">H62*0.85</f>
        <v>19.889999999999997</v>
      </c>
      <c r="J62" s="7">
        <f t="shared" ref="J62:J69" si="9">H62*0.95</f>
        <v>22.229999999999997</v>
      </c>
      <c r="Q62" s="22" t="s">
        <v>501</v>
      </c>
      <c r="R62" s="22" t="s">
        <v>46</v>
      </c>
      <c r="S62" s="31">
        <v>41373</v>
      </c>
      <c r="T62" s="1">
        <v>41423</v>
      </c>
      <c r="U62" s="22" t="s">
        <v>11</v>
      </c>
      <c r="V62" s="1">
        <v>41436</v>
      </c>
      <c r="W62" s="25">
        <v>41442</v>
      </c>
      <c r="X62" s="58" t="s">
        <v>22</v>
      </c>
      <c r="Y62" s="58">
        <v>63</v>
      </c>
      <c r="Z62" s="58">
        <v>69</v>
      </c>
      <c r="AD62" s="58"/>
      <c r="AE62" s="58"/>
      <c r="AF62" s="58"/>
      <c r="AG62" s="58"/>
    </row>
    <row r="63" spans="1:33" x14ac:dyDescent="0.25">
      <c r="A63" s="22">
        <v>62</v>
      </c>
      <c r="B63" s="22">
        <v>38</v>
      </c>
      <c r="C63" s="22">
        <v>2</v>
      </c>
      <c r="D63" s="22" t="s">
        <v>167</v>
      </c>
      <c r="E63" s="1">
        <v>41325</v>
      </c>
      <c r="F63" s="22">
        <v>60</v>
      </c>
      <c r="G63" s="22">
        <v>72</v>
      </c>
      <c r="H63" s="23">
        <v>21.3</v>
      </c>
      <c r="I63" s="7">
        <f t="shared" si="8"/>
        <v>18.105</v>
      </c>
      <c r="J63" s="7">
        <f t="shared" si="9"/>
        <v>20.234999999999999</v>
      </c>
      <c r="Q63" s="22" t="s">
        <v>112</v>
      </c>
      <c r="R63" s="22" t="s">
        <v>46</v>
      </c>
      <c r="S63" s="31">
        <v>41366</v>
      </c>
      <c r="T63" s="1">
        <v>41423</v>
      </c>
      <c r="U63" s="22" t="s">
        <v>11</v>
      </c>
      <c r="V63" s="1">
        <v>41436</v>
      </c>
      <c r="W63" s="25">
        <v>41442</v>
      </c>
      <c r="X63" s="58" t="s">
        <v>23</v>
      </c>
      <c r="Y63" s="58">
        <v>70</v>
      </c>
      <c r="Z63" s="58">
        <v>76</v>
      </c>
      <c r="AD63" s="58"/>
      <c r="AE63" s="58"/>
      <c r="AF63" s="58"/>
      <c r="AG63" s="58"/>
    </row>
    <row r="64" spans="1:33" x14ac:dyDescent="0.25">
      <c r="A64" s="22">
        <v>63</v>
      </c>
      <c r="B64" s="22">
        <v>39</v>
      </c>
      <c r="C64" s="22">
        <v>2</v>
      </c>
      <c r="D64" s="22" t="s">
        <v>167</v>
      </c>
      <c r="E64" s="1">
        <v>41325</v>
      </c>
      <c r="F64" s="22">
        <v>60</v>
      </c>
      <c r="G64" s="22">
        <v>72</v>
      </c>
      <c r="H64" s="23">
        <v>22.3</v>
      </c>
      <c r="I64" s="7">
        <f t="shared" si="8"/>
        <v>18.955000000000002</v>
      </c>
      <c r="J64" s="7">
        <f t="shared" si="9"/>
        <v>21.184999999999999</v>
      </c>
      <c r="Q64" s="45" t="s">
        <v>113</v>
      </c>
      <c r="R64" s="22" t="s">
        <v>46</v>
      </c>
      <c r="S64" s="31">
        <v>41366</v>
      </c>
      <c r="T64" s="1">
        <v>41423</v>
      </c>
      <c r="U64" s="22" t="s">
        <v>11</v>
      </c>
      <c r="V64" s="1">
        <v>41436</v>
      </c>
      <c r="W64" s="25">
        <v>41442</v>
      </c>
      <c r="X64" s="58" t="s">
        <v>24</v>
      </c>
      <c r="Y64" s="58">
        <v>70</v>
      </c>
      <c r="Z64" s="58">
        <v>76</v>
      </c>
      <c r="AD64" s="58"/>
      <c r="AE64" s="58"/>
      <c r="AF64" s="58"/>
      <c r="AG64" s="58"/>
    </row>
    <row r="65" spans="1:33" x14ac:dyDescent="0.25">
      <c r="A65" s="22">
        <v>64</v>
      </c>
      <c r="B65" s="22">
        <v>40</v>
      </c>
      <c r="C65" s="22">
        <v>2</v>
      </c>
      <c r="D65" s="22" t="s">
        <v>168</v>
      </c>
      <c r="E65" s="1" t="s">
        <v>72</v>
      </c>
      <c r="F65">
        <v>59</v>
      </c>
      <c r="G65">
        <v>71</v>
      </c>
      <c r="H65" s="23">
        <v>29.2</v>
      </c>
      <c r="I65" s="7">
        <f t="shared" si="8"/>
        <v>24.82</v>
      </c>
      <c r="J65" s="7">
        <f t="shared" si="9"/>
        <v>27.74</v>
      </c>
      <c r="Q65" s="22" t="s">
        <v>114</v>
      </c>
      <c r="R65" s="22" t="s">
        <v>46</v>
      </c>
      <c r="S65" s="31">
        <v>41366</v>
      </c>
      <c r="T65" s="1">
        <v>41423</v>
      </c>
      <c r="U65" s="22" t="s">
        <v>11</v>
      </c>
      <c r="V65" s="1">
        <v>41436</v>
      </c>
      <c r="W65" s="25">
        <v>41442</v>
      </c>
      <c r="X65" s="58" t="s">
        <v>25</v>
      </c>
      <c r="Y65" s="58">
        <v>70</v>
      </c>
      <c r="Z65" s="58">
        <v>76</v>
      </c>
      <c r="AD65" s="58"/>
      <c r="AE65" s="58"/>
      <c r="AF65" s="58"/>
      <c r="AG65" s="58"/>
    </row>
    <row r="66" spans="1:33" x14ac:dyDescent="0.25">
      <c r="A66" s="22">
        <v>65</v>
      </c>
      <c r="B66" s="22">
        <v>41</v>
      </c>
      <c r="C66" s="22">
        <v>2</v>
      </c>
      <c r="D66" s="22" t="s">
        <v>168</v>
      </c>
      <c r="E66" s="1" t="s">
        <v>72</v>
      </c>
      <c r="F66">
        <v>59</v>
      </c>
      <c r="G66" s="22">
        <v>71</v>
      </c>
      <c r="H66" s="23">
        <v>29.7</v>
      </c>
      <c r="I66" s="7">
        <f t="shared" si="8"/>
        <v>25.244999999999997</v>
      </c>
      <c r="J66" s="7">
        <f t="shared" si="9"/>
        <v>28.214999999999996</v>
      </c>
      <c r="Q66" s="13" t="s">
        <v>117</v>
      </c>
      <c r="R66" s="22" t="s">
        <v>46</v>
      </c>
      <c r="S66" s="31">
        <v>41370</v>
      </c>
      <c r="T66" s="31">
        <v>41436</v>
      </c>
      <c r="U66" s="22" t="s">
        <v>11</v>
      </c>
      <c r="V66" s="1">
        <v>41449</v>
      </c>
      <c r="W66" s="1">
        <v>41455</v>
      </c>
      <c r="X66" s="3" t="s">
        <v>14</v>
      </c>
      <c r="Y66" s="58">
        <v>79</v>
      </c>
      <c r="Z66" s="58">
        <v>85</v>
      </c>
      <c r="AA66" s="59" t="s">
        <v>118</v>
      </c>
      <c r="AD66" s="58"/>
      <c r="AE66" s="58"/>
      <c r="AF66" s="58"/>
      <c r="AG66" s="58"/>
    </row>
    <row r="67" spans="1:33" x14ac:dyDescent="0.25">
      <c r="A67" s="22">
        <v>66</v>
      </c>
      <c r="B67" s="22">
        <v>42</v>
      </c>
      <c r="C67" s="22">
        <v>2</v>
      </c>
      <c r="D67" s="22" t="s">
        <v>169</v>
      </c>
      <c r="E67" s="1" t="s">
        <v>72</v>
      </c>
      <c r="F67" s="58">
        <v>59</v>
      </c>
      <c r="G67">
        <v>71</v>
      </c>
      <c r="H67" s="23">
        <v>25.3</v>
      </c>
      <c r="I67" s="7">
        <f t="shared" si="8"/>
        <v>21.504999999999999</v>
      </c>
      <c r="J67" s="7">
        <f t="shared" si="9"/>
        <v>24.035</v>
      </c>
      <c r="Q67" s="13" t="s">
        <v>116</v>
      </c>
      <c r="R67" s="22" t="s">
        <v>46</v>
      </c>
      <c r="S67" s="31">
        <v>41372</v>
      </c>
      <c r="T67" s="31">
        <v>41436</v>
      </c>
      <c r="U67" s="22" t="s">
        <v>11</v>
      </c>
      <c r="V67" s="1">
        <v>41449</v>
      </c>
      <c r="W67" s="1">
        <v>41455</v>
      </c>
      <c r="X67" s="3" t="s">
        <v>121</v>
      </c>
      <c r="Y67" s="58">
        <v>77</v>
      </c>
      <c r="Z67" s="58">
        <v>83</v>
      </c>
      <c r="AA67" s="59" t="s">
        <v>120</v>
      </c>
      <c r="AD67" s="58"/>
      <c r="AE67" s="58"/>
      <c r="AF67" s="58"/>
      <c r="AG67" s="58"/>
    </row>
    <row r="68" spans="1:33" x14ac:dyDescent="0.25">
      <c r="A68" s="22">
        <v>67</v>
      </c>
      <c r="B68" s="22">
        <v>43</v>
      </c>
      <c r="C68" s="22">
        <v>2</v>
      </c>
      <c r="D68" s="22" t="s">
        <v>169</v>
      </c>
      <c r="E68" s="1" t="s">
        <v>72</v>
      </c>
      <c r="F68" s="58">
        <v>59</v>
      </c>
      <c r="G68" s="22">
        <v>71</v>
      </c>
      <c r="H68" s="23">
        <v>24.1</v>
      </c>
      <c r="I68" s="7">
        <f t="shared" si="8"/>
        <v>20.484999999999999</v>
      </c>
      <c r="J68" s="7">
        <f t="shared" si="9"/>
        <v>22.895</v>
      </c>
      <c r="K68" s="6"/>
      <c r="Q68" s="13" t="s">
        <v>135</v>
      </c>
      <c r="R68" s="6" t="s">
        <v>46</v>
      </c>
      <c r="S68" s="31">
        <v>41384</v>
      </c>
      <c r="T68" s="31">
        <v>41436</v>
      </c>
      <c r="U68" s="22" t="s">
        <v>11</v>
      </c>
      <c r="V68" s="1">
        <v>41449</v>
      </c>
      <c r="W68" s="1">
        <v>41455</v>
      </c>
      <c r="X68" s="3" t="s">
        <v>16</v>
      </c>
      <c r="Y68" s="58">
        <v>65</v>
      </c>
      <c r="Z68" s="58">
        <v>71</v>
      </c>
      <c r="AD68" s="58"/>
      <c r="AE68" s="58"/>
      <c r="AF68" s="58"/>
      <c r="AG68" s="58"/>
    </row>
    <row r="69" spans="1:33" x14ac:dyDescent="0.25">
      <c r="A69" s="22">
        <v>68</v>
      </c>
      <c r="B69" s="22">
        <v>44</v>
      </c>
      <c r="C69" s="22">
        <v>2</v>
      </c>
      <c r="D69" s="22" t="s">
        <v>170</v>
      </c>
      <c r="E69" s="1" t="s">
        <v>73</v>
      </c>
      <c r="F69" s="22">
        <v>61</v>
      </c>
      <c r="G69">
        <v>73</v>
      </c>
      <c r="H69" s="23">
        <v>26.5</v>
      </c>
      <c r="I69" s="7">
        <f t="shared" si="8"/>
        <v>22.524999999999999</v>
      </c>
      <c r="J69" s="7">
        <f t="shared" si="9"/>
        <v>25.174999999999997</v>
      </c>
      <c r="K69" s="6"/>
      <c r="Q69" s="6" t="s">
        <v>173</v>
      </c>
      <c r="R69" s="34" t="s">
        <v>78</v>
      </c>
      <c r="S69" s="31">
        <v>41387</v>
      </c>
      <c r="T69" s="6"/>
      <c r="U69"/>
      <c r="V69" s="1">
        <v>41450</v>
      </c>
      <c r="W69" s="1">
        <v>41456</v>
      </c>
      <c r="X69" s="3" t="s">
        <v>17</v>
      </c>
      <c r="Y69" s="58">
        <v>63</v>
      </c>
      <c r="Z69" s="58">
        <v>69</v>
      </c>
      <c r="AA69" s="35"/>
      <c r="AD69" s="58"/>
      <c r="AE69" s="58"/>
      <c r="AF69" s="58"/>
      <c r="AG69" s="58"/>
    </row>
    <row r="70" spans="1:33" x14ac:dyDescent="0.25">
      <c r="A70" s="22">
        <v>69</v>
      </c>
      <c r="B70" s="22">
        <v>45</v>
      </c>
      <c r="C70" s="22">
        <v>2</v>
      </c>
      <c r="D70" s="22" t="s">
        <v>170</v>
      </c>
      <c r="E70" s="1" t="s">
        <v>73</v>
      </c>
      <c r="F70" s="22">
        <v>61</v>
      </c>
      <c r="G70" s="22">
        <v>73</v>
      </c>
      <c r="H70" s="23">
        <v>24.2</v>
      </c>
      <c r="I70" s="7">
        <f t="shared" si="8"/>
        <v>20.57</v>
      </c>
      <c r="J70" s="7">
        <f t="shared" ref="J70:J85" si="10">H70*0.95</f>
        <v>22.99</v>
      </c>
      <c r="K70" s="6"/>
      <c r="Q70" s="6" t="s">
        <v>188</v>
      </c>
      <c r="R70" s="6" t="s">
        <v>46</v>
      </c>
      <c r="S70" s="31">
        <v>41387</v>
      </c>
      <c r="T70" s="14">
        <v>41443</v>
      </c>
      <c r="U70" s="22" t="s">
        <v>11</v>
      </c>
      <c r="V70" s="1">
        <v>41450</v>
      </c>
      <c r="W70" s="1">
        <v>41456</v>
      </c>
      <c r="X70" s="3" t="s">
        <v>18</v>
      </c>
      <c r="Y70" s="58">
        <v>63</v>
      </c>
      <c r="Z70" s="58">
        <v>69</v>
      </c>
      <c r="AD70" s="58"/>
      <c r="AE70" s="58"/>
      <c r="AF70" s="58"/>
      <c r="AG70" s="58"/>
    </row>
    <row r="71" spans="1:33" x14ac:dyDescent="0.25">
      <c r="A71" s="22">
        <v>70</v>
      </c>
      <c r="B71" s="22">
        <v>46</v>
      </c>
      <c r="C71" s="22">
        <v>2</v>
      </c>
      <c r="D71" s="22" t="s">
        <v>183</v>
      </c>
      <c r="E71" s="1">
        <v>41299</v>
      </c>
      <c r="F71">
        <v>86</v>
      </c>
      <c r="G71">
        <v>98</v>
      </c>
      <c r="H71" s="7">
        <v>27.4</v>
      </c>
      <c r="I71" s="7">
        <f t="shared" si="8"/>
        <v>23.29</v>
      </c>
      <c r="J71" s="7">
        <f t="shared" si="10"/>
        <v>26.029999999999998</v>
      </c>
      <c r="K71" s="6"/>
      <c r="Q71" s="6" t="s">
        <v>122</v>
      </c>
      <c r="R71" s="6" t="s">
        <v>46</v>
      </c>
      <c r="S71" s="1">
        <v>41393</v>
      </c>
      <c r="T71" s="1">
        <v>41443</v>
      </c>
      <c r="U71" s="22" t="s">
        <v>11</v>
      </c>
      <c r="V71" s="1">
        <v>41452</v>
      </c>
      <c r="W71" s="1">
        <v>41458</v>
      </c>
      <c r="X71" s="3" t="s">
        <v>19</v>
      </c>
      <c r="Y71" s="58">
        <v>59</v>
      </c>
      <c r="Z71" s="58">
        <v>65</v>
      </c>
      <c r="AD71" s="58"/>
      <c r="AE71" s="58"/>
      <c r="AF71" s="58"/>
      <c r="AG71" s="58"/>
    </row>
    <row r="72" spans="1:33" x14ac:dyDescent="0.25">
      <c r="A72" s="22">
        <v>71</v>
      </c>
      <c r="B72" s="22">
        <v>47</v>
      </c>
      <c r="C72" s="22">
        <v>2</v>
      </c>
      <c r="D72" s="22" t="s">
        <v>183</v>
      </c>
      <c r="E72" s="1">
        <v>41299</v>
      </c>
      <c r="F72" s="22">
        <v>86</v>
      </c>
      <c r="G72" s="22">
        <v>98</v>
      </c>
      <c r="H72" s="7">
        <v>28.9</v>
      </c>
      <c r="I72" s="7">
        <f t="shared" si="8"/>
        <v>24.564999999999998</v>
      </c>
      <c r="J72" s="7">
        <f t="shared" si="10"/>
        <v>27.454999999999998</v>
      </c>
      <c r="Q72" s="6" t="s">
        <v>123</v>
      </c>
      <c r="R72" s="6" t="s">
        <v>46</v>
      </c>
      <c r="S72" s="1">
        <v>41401</v>
      </c>
      <c r="T72" s="1">
        <v>41443</v>
      </c>
      <c r="U72" s="22" t="s">
        <v>11</v>
      </c>
      <c r="V72" s="1">
        <v>41452</v>
      </c>
      <c r="W72" s="1">
        <v>41458</v>
      </c>
      <c r="X72" s="3" t="s">
        <v>20</v>
      </c>
      <c r="Y72" s="58">
        <v>51</v>
      </c>
      <c r="Z72" s="58">
        <v>57</v>
      </c>
      <c r="AD72" s="58"/>
      <c r="AE72" s="58"/>
      <c r="AF72" s="58"/>
      <c r="AG72" s="58"/>
    </row>
    <row r="73" spans="1:33" x14ac:dyDescent="0.25">
      <c r="A73" s="22">
        <v>72</v>
      </c>
      <c r="B73" s="22">
        <v>48</v>
      </c>
      <c r="C73" s="22">
        <v>2</v>
      </c>
      <c r="D73" s="22" t="s">
        <v>183</v>
      </c>
      <c r="E73" s="1">
        <v>41299</v>
      </c>
      <c r="F73" s="58">
        <v>86</v>
      </c>
      <c r="G73" s="22">
        <v>98</v>
      </c>
      <c r="H73" s="7">
        <v>26.2</v>
      </c>
      <c r="I73" s="7">
        <f t="shared" si="8"/>
        <v>22.27</v>
      </c>
      <c r="J73" s="7">
        <f t="shared" si="10"/>
        <v>24.889999999999997</v>
      </c>
      <c r="Q73" s="6" t="s">
        <v>136</v>
      </c>
      <c r="R73" s="6" t="s">
        <v>46</v>
      </c>
      <c r="S73" s="1">
        <v>41388</v>
      </c>
      <c r="T73" s="1">
        <v>41451</v>
      </c>
      <c r="U73" s="22" t="s">
        <v>11</v>
      </c>
      <c r="V73" s="1">
        <v>41457</v>
      </c>
      <c r="W73" s="1">
        <v>41463</v>
      </c>
      <c r="X73" s="3" t="s">
        <v>14</v>
      </c>
      <c r="Y73" s="58">
        <v>69</v>
      </c>
      <c r="Z73" s="58">
        <v>75</v>
      </c>
      <c r="AD73" s="58"/>
      <c r="AE73" s="58"/>
      <c r="AF73" s="58"/>
      <c r="AG73" s="58"/>
    </row>
    <row r="74" spans="1:33" x14ac:dyDescent="0.25">
      <c r="A74" s="22">
        <v>73</v>
      </c>
      <c r="B74" s="22">
        <v>49</v>
      </c>
      <c r="C74" s="22">
        <v>2</v>
      </c>
      <c r="D74" s="22" t="s">
        <v>175</v>
      </c>
      <c r="E74" s="25">
        <v>41332</v>
      </c>
      <c r="F74">
        <v>55</v>
      </c>
      <c r="G74" s="2">
        <v>70</v>
      </c>
      <c r="H74" s="7">
        <v>22.9</v>
      </c>
      <c r="I74" s="7">
        <f t="shared" si="8"/>
        <v>19.465</v>
      </c>
      <c r="J74" s="7">
        <f t="shared" si="10"/>
        <v>21.754999999999999</v>
      </c>
      <c r="Q74" s="6" t="s">
        <v>125</v>
      </c>
      <c r="R74" s="6" t="s">
        <v>46</v>
      </c>
      <c r="S74" s="1">
        <v>41392</v>
      </c>
      <c r="T74" s="1">
        <v>41451</v>
      </c>
      <c r="U74" s="22" t="s">
        <v>11</v>
      </c>
      <c r="V74" s="1">
        <v>41457</v>
      </c>
      <c r="W74" s="1">
        <v>41463</v>
      </c>
      <c r="X74" s="3" t="s">
        <v>121</v>
      </c>
      <c r="Y74" s="58">
        <v>65</v>
      </c>
      <c r="Z74" s="58">
        <v>71</v>
      </c>
      <c r="AD74" s="58"/>
      <c r="AE74" s="58"/>
      <c r="AF74" s="58"/>
      <c r="AG74" s="58"/>
    </row>
    <row r="75" spans="1:33" x14ac:dyDescent="0.25">
      <c r="A75" s="22">
        <v>74</v>
      </c>
      <c r="B75" s="22">
        <v>50</v>
      </c>
      <c r="C75" s="22">
        <v>2</v>
      </c>
      <c r="D75" s="22" t="s">
        <v>175</v>
      </c>
      <c r="E75" s="25">
        <v>41332</v>
      </c>
      <c r="F75">
        <v>55</v>
      </c>
      <c r="G75" s="2">
        <v>70</v>
      </c>
      <c r="H75" s="7">
        <v>25.7</v>
      </c>
      <c r="I75" s="7">
        <f t="shared" si="8"/>
        <v>21.844999999999999</v>
      </c>
      <c r="J75" s="7">
        <f t="shared" si="10"/>
        <v>24.414999999999999</v>
      </c>
      <c r="Q75" s="6" t="s">
        <v>125</v>
      </c>
      <c r="R75" s="6" t="s">
        <v>46</v>
      </c>
      <c r="S75" s="1">
        <v>41390</v>
      </c>
      <c r="T75" s="1">
        <v>41451</v>
      </c>
      <c r="U75" s="22" t="s">
        <v>11</v>
      </c>
      <c r="V75" s="1">
        <v>41457</v>
      </c>
      <c r="W75" s="1">
        <v>41463</v>
      </c>
      <c r="X75" s="3" t="s">
        <v>126</v>
      </c>
      <c r="Y75" s="58">
        <v>67</v>
      </c>
      <c r="Z75" s="58">
        <v>73</v>
      </c>
      <c r="AD75" s="58"/>
      <c r="AE75" s="58"/>
      <c r="AF75" s="58"/>
      <c r="AG75" s="58"/>
    </row>
    <row r="76" spans="1:33" x14ac:dyDescent="0.25">
      <c r="A76" s="22">
        <v>75</v>
      </c>
      <c r="B76" s="22">
        <v>51</v>
      </c>
      <c r="C76" s="22">
        <v>2</v>
      </c>
      <c r="D76" s="22" t="s">
        <v>175</v>
      </c>
      <c r="E76" s="25">
        <v>41332</v>
      </c>
      <c r="F76">
        <v>55</v>
      </c>
      <c r="G76" s="2">
        <v>70</v>
      </c>
      <c r="H76" s="7">
        <v>26.4</v>
      </c>
      <c r="I76" s="7">
        <f t="shared" si="8"/>
        <v>22.439999999999998</v>
      </c>
      <c r="J76" s="7">
        <f t="shared" si="10"/>
        <v>25.08</v>
      </c>
      <c r="Q76" s="6" t="s">
        <v>141</v>
      </c>
      <c r="R76" s="22" t="s">
        <v>46</v>
      </c>
      <c r="S76" s="1">
        <v>41399</v>
      </c>
      <c r="T76" s="1">
        <v>41450</v>
      </c>
      <c r="U76" s="22" t="s">
        <v>11</v>
      </c>
      <c r="V76" s="1">
        <v>41471</v>
      </c>
      <c r="W76" s="1">
        <v>41477</v>
      </c>
      <c r="X76" s="3" t="s">
        <v>16</v>
      </c>
      <c r="Y76" s="58">
        <v>72</v>
      </c>
      <c r="Z76" s="58">
        <v>78</v>
      </c>
      <c r="AA76" s="59" t="s">
        <v>164</v>
      </c>
      <c r="AD76" s="58"/>
      <c r="AE76" s="58"/>
      <c r="AF76" s="58"/>
      <c r="AG76" s="58"/>
    </row>
    <row r="77" spans="1:33" x14ac:dyDescent="0.25">
      <c r="A77" s="22">
        <v>76</v>
      </c>
      <c r="B77" s="22">
        <v>52</v>
      </c>
      <c r="C77" s="22">
        <v>2</v>
      </c>
      <c r="D77" s="22" t="s">
        <v>186</v>
      </c>
      <c r="E77" s="25">
        <v>41326</v>
      </c>
      <c r="F77">
        <v>61</v>
      </c>
      <c r="G77" s="2">
        <v>76</v>
      </c>
      <c r="H77" s="7">
        <v>23.1</v>
      </c>
      <c r="I77" s="7">
        <f t="shared" si="8"/>
        <v>19.635000000000002</v>
      </c>
      <c r="J77" s="7">
        <f t="shared" si="10"/>
        <v>21.945</v>
      </c>
      <c r="Q77" s="13" t="s">
        <v>140</v>
      </c>
      <c r="R77" s="22" t="s">
        <v>46</v>
      </c>
      <c r="S77" s="1">
        <v>41405</v>
      </c>
      <c r="T77" s="14">
        <v>41444</v>
      </c>
      <c r="U77" s="22" t="s">
        <v>11</v>
      </c>
      <c r="V77" s="1">
        <v>41471</v>
      </c>
      <c r="W77" s="1">
        <v>41477</v>
      </c>
      <c r="X77" s="3" t="s">
        <v>144</v>
      </c>
      <c r="Y77" s="58">
        <v>66</v>
      </c>
      <c r="Z77" s="58">
        <v>72</v>
      </c>
      <c r="AA77" s="58" t="s">
        <v>143</v>
      </c>
      <c r="AB77" s="1"/>
      <c r="AD77" s="58"/>
      <c r="AE77" s="58"/>
      <c r="AF77" s="58"/>
      <c r="AG77" s="58"/>
    </row>
    <row r="78" spans="1:33" x14ac:dyDescent="0.25">
      <c r="A78" s="22">
        <v>77</v>
      </c>
      <c r="B78" s="22">
        <v>53</v>
      </c>
      <c r="C78" s="22">
        <v>2</v>
      </c>
      <c r="D78" s="22" t="s">
        <v>186</v>
      </c>
      <c r="E78" s="25">
        <v>41326</v>
      </c>
      <c r="F78">
        <v>61</v>
      </c>
      <c r="G78" s="2">
        <v>76</v>
      </c>
      <c r="H78" s="7">
        <v>19.899999999999999</v>
      </c>
      <c r="I78" s="7">
        <f t="shared" si="8"/>
        <v>16.914999999999999</v>
      </c>
      <c r="J78" s="7">
        <f t="shared" si="10"/>
        <v>18.904999999999998</v>
      </c>
      <c r="Q78" s="6" t="s">
        <v>171</v>
      </c>
      <c r="R78" s="22" t="s">
        <v>78</v>
      </c>
      <c r="S78" s="1">
        <v>41395</v>
      </c>
      <c r="T78" s="22"/>
      <c r="U78"/>
      <c r="V78" s="1">
        <v>41471</v>
      </c>
      <c r="W78" s="1">
        <v>41477</v>
      </c>
      <c r="X78" s="3" t="s">
        <v>142</v>
      </c>
      <c r="Y78" s="58">
        <v>76</v>
      </c>
      <c r="Z78" s="58">
        <v>82</v>
      </c>
      <c r="AD78" s="58"/>
      <c r="AE78" s="58"/>
      <c r="AF78" s="58"/>
      <c r="AG78" s="58"/>
    </row>
    <row r="79" spans="1:33" x14ac:dyDescent="0.25">
      <c r="A79" s="22">
        <v>78</v>
      </c>
      <c r="B79" s="22">
        <v>54</v>
      </c>
      <c r="C79" s="22">
        <v>2</v>
      </c>
      <c r="D79" s="22" t="s">
        <v>176</v>
      </c>
      <c r="E79" s="25">
        <v>41330</v>
      </c>
      <c r="F79">
        <v>57</v>
      </c>
      <c r="G79" s="2">
        <v>72</v>
      </c>
      <c r="H79" s="7">
        <v>26.3</v>
      </c>
      <c r="I79" s="7">
        <f t="shared" si="8"/>
        <v>22.355</v>
      </c>
      <c r="J79" s="7">
        <f t="shared" si="10"/>
        <v>24.984999999999999</v>
      </c>
      <c r="Q79" s="6" t="s">
        <v>145</v>
      </c>
      <c r="R79" s="22" t="s">
        <v>46</v>
      </c>
      <c r="S79" s="1">
        <v>41408</v>
      </c>
      <c r="T79" s="1">
        <v>41450</v>
      </c>
      <c r="U79" s="22" t="s">
        <v>11</v>
      </c>
      <c r="V79" s="1">
        <v>41478</v>
      </c>
      <c r="W79" s="1">
        <v>41484</v>
      </c>
      <c r="X79" s="3" t="s">
        <v>53</v>
      </c>
      <c r="Y79" s="58">
        <v>70</v>
      </c>
      <c r="Z79" s="58">
        <v>76</v>
      </c>
      <c r="AD79" s="58"/>
      <c r="AE79" s="58"/>
      <c r="AF79" s="58"/>
      <c r="AG79" s="58"/>
    </row>
    <row r="80" spans="1:33" x14ac:dyDescent="0.25">
      <c r="A80" s="22">
        <v>79</v>
      </c>
      <c r="B80" s="22">
        <v>55</v>
      </c>
      <c r="C80" s="22">
        <v>2</v>
      </c>
      <c r="D80" s="22" t="s">
        <v>176</v>
      </c>
      <c r="E80" s="25">
        <v>41330</v>
      </c>
      <c r="F80">
        <v>57</v>
      </c>
      <c r="G80" s="2">
        <v>72</v>
      </c>
      <c r="H80" s="7">
        <v>27</v>
      </c>
      <c r="I80" s="7">
        <f t="shared" si="8"/>
        <v>22.95</v>
      </c>
      <c r="J80" s="7">
        <f t="shared" si="10"/>
        <v>25.65</v>
      </c>
      <c r="Q80" s="6" t="s">
        <v>146</v>
      </c>
      <c r="R80" s="22" t="s">
        <v>46</v>
      </c>
      <c r="S80" s="1">
        <v>41415</v>
      </c>
      <c r="T80" s="1">
        <v>41464</v>
      </c>
      <c r="U80" s="22" t="s">
        <v>11</v>
      </c>
      <c r="V80" s="1">
        <v>41478</v>
      </c>
      <c r="W80" s="1">
        <v>41484</v>
      </c>
      <c r="X80" s="3" t="s">
        <v>20</v>
      </c>
      <c r="Y80" s="58">
        <v>63</v>
      </c>
      <c r="Z80" s="58">
        <v>69</v>
      </c>
      <c r="AD80" s="58"/>
      <c r="AE80" s="58"/>
      <c r="AF80" s="58"/>
      <c r="AG80" s="58"/>
    </row>
    <row r="81" spans="1:33" x14ac:dyDescent="0.25">
      <c r="A81" s="22">
        <v>80</v>
      </c>
      <c r="B81" s="22">
        <v>56</v>
      </c>
      <c r="C81" s="22">
        <v>2</v>
      </c>
      <c r="D81" s="22" t="s">
        <v>176</v>
      </c>
      <c r="E81" s="25">
        <v>41330</v>
      </c>
      <c r="F81">
        <v>57</v>
      </c>
      <c r="G81" s="2">
        <v>72</v>
      </c>
      <c r="H81" s="7">
        <v>21.9</v>
      </c>
      <c r="I81" s="7">
        <f t="shared" si="8"/>
        <v>18.614999999999998</v>
      </c>
      <c r="J81" s="7">
        <f t="shared" si="10"/>
        <v>20.804999999999996</v>
      </c>
      <c r="K81" s="5" t="s">
        <v>83</v>
      </c>
      <c r="Q81" s="6" t="s">
        <v>173</v>
      </c>
      <c r="R81" s="34" t="s">
        <v>78</v>
      </c>
      <c r="S81" s="1">
        <v>41398</v>
      </c>
      <c r="T81"/>
      <c r="U81"/>
      <c r="V81" s="1">
        <v>41514</v>
      </c>
      <c r="W81" s="1">
        <v>41519</v>
      </c>
      <c r="X81" s="58">
        <v>1</v>
      </c>
      <c r="Y81" s="2">
        <v>115</v>
      </c>
      <c r="Z81" s="2">
        <v>121</v>
      </c>
      <c r="AD81" s="58"/>
      <c r="AE81" s="58"/>
      <c r="AF81" s="58"/>
      <c r="AG81" s="58"/>
    </row>
    <row r="82" spans="1:33" x14ac:dyDescent="0.25">
      <c r="A82" s="22">
        <v>81</v>
      </c>
      <c r="B82" s="22">
        <v>57</v>
      </c>
      <c r="C82" s="22">
        <v>2</v>
      </c>
      <c r="D82" s="22" t="s">
        <v>174</v>
      </c>
      <c r="E82" s="25">
        <v>41340</v>
      </c>
      <c r="F82">
        <v>47</v>
      </c>
      <c r="G82" s="2">
        <v>62</v>
      </c>
      <c r="H82">
        <v>21.5</v>
      </c>
      <c r="I82" s="7">
        <f>H82*0.85</f>
        <v>18.274999999999999</v>
      </c>
      <c r="J82" s="7">
        <f t="shared" si="10"/>
        <v>20.425000000000001</v>
      </c>
      <c r="Q82" s="6" t="s">
        <v>6</v>
      </c>
      <c r="R82" s="43" t="s">
        <v>46</v>
      </c>
      <c r="S82" s="1">
        <v>41429</v>
      </c>
      <c r="T82" s="1">
        <v>41506</v>
      </c>
      <c r="U82" s="1">
        <v>41507</v>
      </c>
      <c r="V82" s="1">
        <v>41514</v>
      </c>
      <c r="W82" s="1">
        <v>41519</v>
      </c>
      <c r="X82" s="3" t="s">
        <v>161</v>
      </c>
      <c r="Y82" s="2">
        <v>84</v>
      </c>
      <c r="Z82" s="2">
        <v>90</v>
      </c>
      <c r="AD82" s="58"/>
      <c r="AE82" s="58"/>
      <c r="AF82" s="58"/>
      <c r="AG82" s="58"/>
    </row>
    <row r="83" spans="1:33" x14ac:dyDescent="0.25">
      <c r="A83" s="22">
        <v>82</v>
      </c>
      <c r="B83" s="22">
        <v>58</v>
      </c>
      <c r="C83" s="22">
        <v>2</v>
      </c>
      <c r="D83" s="22" t="s">
        <v>174</v>
      </c>
      <c r="E83" s="25">
        <v>41340</v>
      </c>
      <c r="F83">
        <v>47</v>
      </c>
      <c r="G83" s="2">
        <v>62</v>
      </c>
      <c r="H83">
        <v>20.5</v>
      </c>
      <c r="I83" s="7">
        <f>H83*0.85</f>
        <v>17.425000000000001</v>
      </c>
      <c r="J83" s="7">
        <f t="shared" si="10"/>
        <v>19.474999999999998</v>
      </c>
      <c r="Q83" s="6" t="s">
        <v>3</v>
      </c>
      <c r="R83" s="43" t="s">
        <v>46</v>
      </c>
      <c r="S83" s="1">
        <v>41436</v>
      </c>
      <c r="T83" s="1">
        <v>41506</v>
      </c>
      <c r="U83" s="1">
        <v>41507</v>
      </c>
      <c r="V83" s="1">
        <v>41514</v>
      </c>
      <c r="W83" s="1">
        <v>41519</v>
      </c>
      <c r="X83" s="3" t="s">
        <v>48</v>
      </c>
      <c r="Y83" s="2">
        <v>77</v>
      </c>
      <c r="Z83" s="2">
        <v>83</v>
      </c>
      <c r="AD83" s="58"/>
      <c r="AE83" s="58"/>
      <c r="AF83" s="58"/>
      <c r="AG83" s="58"/>
    </row>
    <row r="84" spans="1:33" x14ac:dyDescent="0.25">
      <c r="A84" s="22">
        <v>83</v>
      </c>
      <c r="B84" s="22">
        <v>59</v>
      </c>
      <c r="C84" s="22">
        <v>2</v>
      </c>
      <c r="D84" s="22" t="s">
        <v>171</v>
      </c>
      <c r="E84" s="25">
        <v>41338</v>
      </c>
      <c r="F84">
        <v>49</v>
      </c>
      <c r="G84" s="2">
        <v>64</v>
      </c>
      <c r="H84">
        <v>18.3</v>
      </c>
      <c r="I84" s="7">
        <f>H84*0.85</f>
        <v>15.555</v>
      </c>
      <c r="J84" s="7">
        <f t="shared" si="10"/>
        <v>17.385000000000002</v>
      </c>
      <c r="Q84" s="43" t="s">
        <v>5</v>
      </c>
      <c r="R84" s="43" t="s">
        <v>46</v>
      </c>
      <c r="S84" s="1">
        <v>41436</v>
      </c>
      <c r="T84" s="1">
        <v>41506</v>
      </c>
      <c r="U84" s="1">
        <v>41507</v>
      </c>
      <c r="V84" s="1">
        <v>41514</v>
      </c>
      <c r="W84" s="1">
        <v>41519</v>
      </c>
      <c r="X84" s="3" t="s">
        <v>49</v>
      </c>
      <c r="Y84" s="2">
        <v>77</v>
      </c>
      <c r="Z84" s="2">
        <v>83</v>
      </c>
      <c r="AD84" s="58"/>
      <c r="AE84" s="58"/>
      <c r="AF84" s="58"/>
      <c r="AG84" s="58"/>
    </row>
    <row r="85" spans="1:33" x14ac:dyDescent="0.25">
      <c r="A85" s="22">
        <v>84</v>
      </c>
      <c r="B85" s="22">
        <v>60</v>
      </c>
      <c r="C85" s="22">
        <v>2</v>
      </c>
      <c r="D85" s="22" t="s">
        <v>171</v>
      </c>
      <c r="E85" s="25">
        <v>41338</v>
      </c>
      <c r="F85">
        <v>49</v>
      </c>
      <c r="G85" s="2">
        <v>64</v>
      </c>
      <c r="H85" s="7">
        <v>14.8</v>
      </c>
      <c r="I85" s="7">
        <f>H85*0.85</f>
        <v>12.58</v>
      </c>
      <c r="J85" s="7">
        <f t="shared" si="10"/>
        <v>14.06</v>
      </c>
      <c r="K85" s="1"/>
      <c r="Q85" s="6" t="s">
        <v>147</v>
      </c>
      <c r="R85" s="22" t="s">
        <v>46</v>
      </c>
      <c r="S85" s="1">
        <v>41447</v>
      </c>
      <c r="T85" s="14">
        <v>41492</v>
      </c>
      <c r="U85" s="22" t="s">
        <v>11</v>
      </c>
      <c r="V85" s="1">
        <v>41520</v>
      </c>
      <c r="W85" s="1">
        <v>41526</v>
      </c>
      <c r="X85" s="3" t="s">
        <v>162</v>
      </c>
      <c r="Y85" s="58">
        <v>73</v>
      </c>
      <c r="Z85" s="2">
        <v>79</v>
      </c>
      <c r="AD85" s="58"/>
      <c r="AE85" s="58"/>
      <c r="AF85" s="58"/>
      <c r="AG85" s="58"/>
    </row>
    <row r="86" spans="1:33" x14ac:dyDescent="0.25">
      <c r="A86">
        <v>85</v>
      </c>
      <c r="B86">
        <v>1</v>
      </c>
      <c r="C86">
        <v>3</v>
      </c>
      <c r="D86" s="22" t="s">
        <v>169</v>
      </c>
      <c r="E86" s="27" t="s">
        <v>93</v>
      </c>
      <c r="F86" s="22">
        <v>119</v>
      </c>
      <c r="G86" s="22">
        <v>125</v>
      </c>
      <c r="H86" s="7">
        <v>27.4</v>
      </c>
      <c r="I86" s="7">
        <f t="shared" ref="I86:I101" si="11">H86*0.85</f>
        <v>23.29</v>
      </c>
      <c r="J86" s="7">
        <f t="shared" ref="J86:J101" si="12">H86*0.95</f>
        <v>26.029999999999998</v>
      </c>
      <c r="K86" s="5" t="s">
        <v>94</v>
      </c>
      <c r="Q86" s="6" t="s">
        <v>9</v>
      </c>
      <c r="R86" s="43" t="s">
        <v>46</v>
      </c>
      <c r="S86" s="1">
        <v>41450</v>
      </c>
      <c r="T86" s="1">
        <v>41506</v>
      </c>
      <c r="U86" s="1">
        <v>41507</v>
      </c>
      <c r="V86" s="1">
        <v>41520</v>
      </c>
      <c r="W86" s="1">
        <v>41526</v>
      </c>
      <c r="X86" s="3" t="s">
        <v>160</v>
      </c>
      <c r="Y86" s="58">
        <v>70</v>
      </c>
      <c r="Z86" s="2">
        <v>76</v>
      </c>
      <c r="AD86" s="58"/>
      <c r="AE86" s="58"/>
      <c r="AF86" s="58"/>
      <c r="AG86" s="58"/>
    </row>
    <row r="87" spans="1:33" x14ac:dyDescent="0.25">
      <c r="A87" s="22">
        <v>86</v>
      </c>
      <c r="B87">
        <v>2</v>
      </c>
      <c r="C87" s="22">
        <v>3</v>
      </c>
      <c r="D87" s="22" t="s">
        <v>169</v>
      </c>
      <c r="E87" s="27" t="s">
        <v>93</v>
      </c>
      <c r="F87" s="22">
        <v>119</v>
      </c>
      <c r="G87" s="22">
        <v>125</v>
      </c>
      <c r="H87" s="7">
        <v>27.2</v>
      </c>
      <c r="I87" s="7">
        <f t="shared" si="11"/>
        <v>23.119999999999997</v>
      </c>
      <c r="J87" s="7">
        <f t="shared" si="12"/>
        <v>25.84</v>
      </c>
      <c r="K87" s="5" t="s">
        <v>94</v>
      </c>
      <c r="Q87" s="13" t="s">
        <v>113</v>
      </c>
      <c r="R87" s="43" t="s">
        <v>46</v>
      </c>
      <c r="S87" s="1">
        <v>41450</v>
      </c>
      <c r="T87" s="1">
        <v>41506</v>
      </c>
      <c r="U87" s="1">
        <v>41507</v>
      </c>
      <c r="V87" s="1">
        <v>41520</v>
      </c>
      <c r="W87" s="1">
        <v>41526</v>
      </c>
      <c r="X87" s="3" t="s">
        <v>52</v>
      </c>
      <c r="Y87" s="58">
        <v>70</v>
      </c>
      <c r="Z87" s="2">
        <v>76</v>
      </c>
      <c r="AD87" s="58"/>
      <c r="AE87" s="58"/>
      <c r="AF87" s="58"/>
      <c r="AG87" s="58"/>
    </row>
    <row r="88" spans="1:33" x14ac:dyDescent="0.25">
      <c r="A88" s="22">
        <v>87</v>
      </c>
      <c r="B88" s="22">
        <v>3</v>
      </c>
      <c r="C88" s="22">
        <v>3</v>
      </c>
      <c r="D88" s="22" t="s">
        <v>179</v>
      </c>
      <c r="E88" s="27" t="s">
        <v>92</v>
      </c>
      <c r="F88" s="22">
        <v>137</v>
      </c>
      <c r="G88" s="22">
        <v>143</v>
      </c>
      <c r="H88" s="7">
        <v>26.4</v>
      </c>
      <c r="I88" s="7">
        <f t="shared" si="11"/>
        <v>22.439999999999998</v>
      </c>
      <c r="J88" s="7">
        <f t="shared" si="12"/>
        <v>25.08</v>
      </c>
      <c r="K88" s="5" t="s">
        <v>94</v>
      </c>
      <c r="Q88" s="6" t="s">
        <v>112</v>
      </c>
      <c r="R88" s="43" t="s">
        <v>46</v>
      </c>
      <c r="S88" s="1">
        <v>41450</v>
      </c>
      <c r="T88" s="1">
        <v>41506</v>
      </c>
      <c r="U88" s="1">
        <v>41507</v>
      </c>
      <c r="V88" s="1">
        <v>41520</v>
      </c>
      <c r="W88" s="1">
        <v>41526</v>
      </c>
      <c r="X88" s="3" t="s">
        <v>53</v>
      </c>
      <c r="Y88" s="58">
        <v>70</v>
      </c>
      <c r="Z88" s="2">
        <v>76</v>
      </c>
      <c r="AD88" s="58"/>
      <c r="AE88" s="58"/>
      <c r="AF88" s="58"/>
      <c r="AG88" s="58"/>
    </row>
    <row r="89" spans="1:33" x14ac:dyDescent="0.25">
      <c r="A89" s="22">
        <v>88</v>
      </c>
      <c r="B89" s="22">
        <v>4</v>
      </c>
      <c r="C89" s="22">
        <v>3</v>
      </c>
      <c r="D89" s="22" t="s">
        <v>179</v>
      </c>
      <c r="E89" s="27" t="s">
        <v>92</v>
      </c>
      <c r="F89" s="22">
        <v>137</v>
      </c>
      <c r="G89" s="22">
        <v>143</v>
      </c>
      <c r="H89" s="7">
        <v>26.9</v>
      </c>
      <c r="I89" s="7">
        <f t="shared" si="11"/>
        <v>22.864999999999998</v>
      </c>
      <c r="J89" s="7">
        <f t="shared" si="12"/>
        <v>25.554999999999996</v>
      </c>
      <c r="K89" s="5" t="s">
        <v>94</v>
      </c>
      <c r="Q89" s="6" t="s">
        <v>110</v>
      </c>
      <c r="R89" s="43" t="s">
        <v>46</v>
      </c>
      <c r="S89" s="1">
        <v>41457</v>
      </c>
      <c r="T89" s="1">
        <v>41506</v>
      </c>
      <c r="U89" s="1">
        <v>41507</v>
      </c>
      <c r="V89" s="1">
        <v>41520</v>
      </c>
      <c r="W89" s="1">
        <v>41526</v>
      </c>
      <c r="X89" s="3" t="s">
        <v>163</v>
      </c>
      <c r="Y89" s="58">
        <v>63</v>
      </c>
      <c r="Z89" s="2">
        <v>69</v>
      </c>
      <c r="AD89" s="58"/>
      <c r="AE89" s="58"/>
      <c r="AF89" s="58"/>
      <c r="AG89" s="58"/>
    </row>
    <row r="90" spans="1:33" x14ac:dyDescent="0.25">
      <c r="A90" s="22">
        <v>89</v>
      </c>
      <c r="B90" s="22">
        <v>5</v>
      </c>
      <c r="C90" s="22">
        <v>3</v>
      </c>
      <c r="D90" s="22" t="s">
        <v>174</v>
      </c>
      <c r="E90" s="27" t="s">
        <v>91</v>
      </c>
      <c r="F90" s="22">
        <v>151</v>
      </c>
      <c r="G90" s="22">
        <v>157</v>
      </c>
      <c r="H90" s="7">
        <v>26.4</v>
      </c>
      <c r="I90" s="7">
        <f t="shared" si="11"/>
        <v>22.439999999999998</v>
      </c>
      <c r="J90" s="7">
        <f t="shared" si="12"/>
        <v>25.08</v>
      </c>
      <c r="K90" s="5" t="s">
        <v>94</v>
      </c>
      <c r="Q90" s="55" t="s">
        <v>366</v>
      </c>
      <c r="R90" s="58" t="s">
        <v>365</v>
      </c>
      <c r="S90" s="1">
        <v>41551</v>
      </c>
      <c r="T90" s="1">
        <v>41579</v>
      </c>
      <c r="U90" s="1">
        <v>41611</v>
      </c>
      <c r="V90" s="1">
        <v>41617</v>
      </c>
      <c r="W90" s="1">
        <v>41623</v>
      </c>
      <c r="X90" s="3" t="s">
        <v>367</v>
      </c>
      <c r="Y90" s="58">
        <f>V90-S90</f>
        <v>66</v>
      </c>
      <c r="Z90" s="58">
        <f>W90-S90</f>
        <v>72</v>
      </c>
      <c r="AD90" s="58"/>
      <c r="AE90" s="58"/>
      <c r="AF90" s="58"/>
      <c r="AG90" s="58"/>
    </row>
    <row r="91" spans="1:33" x14ac:dyDescent="0.25">
      <c r="A91" s="22">
        <v>90</v>
      </c>
      <c r="B91" s="22">
        <v>6</v>
      </c>
      <c r="C91" s="22">
        <v>3</v>
      </c>
      <c r="D91" s="22" t="s">
        <v>165</v>
      </c>
      <c r="E91" s="25">
        <v>41260</v>
      </c>
      <c r="F91" s="22">
        <v>147</v>
      </c>
      <c r="G91" s="22">
        <v>154</v>
      </c>
      <c r="H91" s="7">
        <v>27.8</v>
      </c>
      <c r="I91" s="7">
        <f t="shared" si="11"/>
        <v>23.63</v>
      </c>
      <c r="J91" s="7">
        <f t="shared" si="12"/>
        <v>26.41</v>
      </c>
      <c r="K91" s="5" t="s">
        <v>94</v>
      </c>
      <c r="Q91" s="55" t="s">
        <v>122</v>
      </c>
      <c r="R91" s="58" t="s">
        <v>365</v>
      </c>
      <c r="S91" s="1">
        <v>41544</v>
      </c>
      <c r="T91" s="1">
        <v>41579</v>
      </c>
      <c r="U91" s="1">
        <v>41611</v>
      </c>
      <c r="V91" s="1">
        <v>41617</v>
      </c>
      <c r="W91" s="1">
        <v>41623</v>
      </c>
      <c r="X91" s="3" t="s">
        <v>368</v>
      </c>
      <c r="Y91" s="58">
        <f>V91-S91</f>
        <v>73</v>
      </c>
      <c r="Z91" s="58">
        <f>W91-S91</f>
        <v>79</v>
      </c>
      <c r="AC91" s="3"/>
      <c r="AD91" s="58"/>
      <c r="AE91" s="58"/>
      <c r="AF91" s="58"/>
      <c r="AG91" s="58"/>
    </row>
    <row r="92" spans="1:33" x14ac:dyDescent="0.25">
      <c r="A92" s="22">
        <v>91</v>
      </c>
      <c r="B92" s="22">
        <v>7</v>
      </c>
      <c r="C92" s="22">
        <v>3</v>
      </c>
      <c r="D92" s="22" t="s">
        <v>172</v>
      </c>
      <c r="E92" s="27" t="s">
        <v>90</v>
      </c>
      <c r="F92" s="22">
        <v>157</v>
      </c>
      <c r="G92" s="22">
        <v>163</v>
      </c>
      <c r="H92" s="7">
        <v>29.9</v>
      </c>
      <c r="I92" s="7">
        <f t="shared" si="11"/>
        <v>25.414999999999999</v>
      </c>
      <c r="J92" s="7">
        <f t="shared" si="12"/>
        <v>28.404999999999998</v>
      </c>
      <c r="K92" s="5" t="s">
        <v>94</v>
      </c>
      <c r="Q92" s="58" t="s">
        <v>8</v>
      </c>
      <c r="R92" s="58" t="s">
        <v>46</v>
      </c>
      <c r="S92" s="1">
        <v>41555</v>
      </c>
      <c r="T92" s="1">
        <v>41625</v>
      </c>
      <c r="U92" s="1" t="s">
        <v>11</v>
      </c>
      <c r="V92" s="1">
        <v>41638</v>
      </c>
      <c r="W92" s="1">
        <v>41644</v>
      </c>
      <c r="X92" s="3" t="s">
        <v>47</v>
      </c>
      <c r="Y92" s="58">
        <v>83</v>
      </c>
      <c r="Z92" s="58">
        <v>89</v>
      </c>
      <c r="AC92" s="3" t="s">
        <v>390</v>
      </c>
      <c r="AD92" s="1"/>
      <c r="AE92" s="58"/>
      <c r="AF92" s="58"/>
      <c r="AG92" s="58"/>
    </row>
    <row r="93" spans="1:33" x14ac:dyDescent="0.25">
      <c r="A93" s="22">
        <v>92</v>
      </c>
      <c r="B93" s="22">
        <v>8</v>
      </c>
      <c r="C93" s="22">
        <v>3</v>
      </c>
      <c r="D93" s="22" t="s">
        <v>172</v>
      </c>
      <c r="E93" s="27" t="s">
        <v>90</v>
      </c>
      <c r="F93" s="22">
        <v>157</v>
      </c>
      <c r="G93" s="22">
        <v>163</v>
      </c>
      <c r="H93" s="7">
        <v>27.3</v>
      </c>
      <c r="I93" s="7">
        <f t="shared" si="11"/>
        <v>23.204999999999998</v>
      </c>
      <c r="J93" s="7">
        <f t="shared" si="12"/>
        <v>25.934999999999999</v>
      </c>
      <c r="K93" s="5" t="s">
        <v>94</v>
      </c>
      <c r="M93" s="58"/>
      <c r="N93" s="1"/>
      <c r="Q93" s="58" t="s">
        <v>129</v>
      </c>
      <c r="R93" s="58" t="s">
        <v>46</v>
      </c>
      <c r="S93" s="1">
        <v>41548</v>
      </c>
      <c r="T93" s="1">
        <v>41625</v>
      </c>
      <c r="U93" s="1" t="s">
        <v>11</v>
      </c>
      <c r="V93" s="1">
        <v>41638</v>
      </c>
      <c r="W93" s="1">
        <v>41644</v>
      </c>
      <c r="X93" s="3" t="s">
        <v>391</v>
      </c>
      <c r="Y93" s="58">
        <v>90</v>
      </c>
      <c r="Z93" s="58">
        <v>96</v>
      </c>
    </row>
    <row r="94" spans="1:33" x14ac:dyDescent="0.25">
      <c r="A94" s="22">
        <v>93</v>
      </c>
      <c r="B94" s="22">
        <v>9</v>
      </c>
      <c r="C94" s="22">
        <v>3</v>
      </c>
      <c r="D94" s="22" t="s">
        <v>168</v>
      </c>
      <c r="E94" s="27" t="s">
        <v>89</v>
      </c>
      <c r="F94" s="22">
        <v>153</v>
      </c>
      <c r="G94" s="22">
        <v>159</v>
      </c>
      <c r="H94" s="7">
        <v>32.5</v>
      </c>
      <c r="I94" s="7">
        <f t="shared" si="11"/>
        <v>27.625</v>
      </c>
      <c r="J94" s="7">
        <f t="shared" si="12"/>
        <v>30.875</v>
      </c>
      <c r="K94" s="5" t="s">
        <v>94</v>
      </c>
      <c r="M94" s="58"/>
      <c r="N94" s="1"/>
      <c r="Q94" s="58" t="s">
        <v>50</v>
      </c>
      <c r="R94" s="58" t="s">
        <v>46</v>
      </c>
      <c r="S94" s="1">
        <v>41555</v>
      </c>
      <c r="T94" s="1">
        <v>41625</v>
      </c>
      <c r="U94" s="1" t="s">
        <v>11</v>
      </c>
      <c r="V94" s="1">
        <v>41638</v>
      </c>
      <c r="W94" s="1">
        <v>41644</v>
      </c>
      <c r="X94" s="3" t="s">
        <v>390</v>
      </c>
      <c r="Y94" s="58">
        <v>83</v>
      </c>
      <c r="Z94" s="58">
        <v>89</v>
      </c>
      <c r="AB94" s="3"/>
    </row>
    <row r="95" spans="1:33" x14ac:dyDescent="0.25">
      <c r="A95" s="22">
        <v>94</v>
      </c>
      <c r="B95" s="22">
        <v>10</v>
      </c>
      <c r="C95" s="22">
        <v>3</v>
      </c>
      <c r="D95" s="22" t="s">
        <v>168</v>
      </c>
      <c r="E95" s="27" t="s">
        <v>89</v>
      </c>
      <c r="F95" s="22">
        <v>153</v>
      </c>
      <c r="G95" s="22">
        <v>159</v>
      </c>
      <c r="H95" s="7">
        <v>34.299999999999997</v>
      </c>
      <c r="I95" s="7">
        <f t="shared" si="11"/>
        <v>29.154999999999998</v>
      </c>
      <c r="J95" s="7">
        <f t="shared" si="12"/>
        <v>32.584999999999994</v>
      </c>
      <c r="K95" s="5" t="s">
        <v>94</v>
      </c>
      <c r="Q95" s="58" t="s">
        <v>173</v>
      </c>
      <c r="R95" s="58" t="s">
        <v>78</v>
      </c>
      <c r="S95" s="1">
        <v>41530</v>
      </c>
      <c r="T95" s="1">
        <v>41625</v>
      </c>
      <c r="U95" s="1" t="s">
        <v>11</v>
      </c>
      <c r="V95" s="1">
        <v>41638</v>
      </c>
      <c r="W95" s="1">
        <v>41644</v>
      </c>
      <c r="X95" s="3" t="s">
        <v>392</v>
      </c>
      <c r="Y95" s="58">
        <v>108</v>
      </c>
      <c r="Z95" s="58">
        <v>114</v>
      </c>
      <c r="AA95" s="58" t="s">
        <v>393</v>
      </c>
      <c r="AB95" s="3"/>
    </row>
    <row r="96" spans="1:33" x14ac:dyDescent="0.25">
      <c r="A96" s="22">
        <v>95</v>
      </c>
      <c r="B96" s="22">
        <v>11</v>
      </c>
      <c r="C96" s="22">
        <v>3</v>
      </c>
      <c r="D96" s="22" t="s">
        <v>175</v>
      </c>
      <c r="E96" s="27" t="s">
        <v>88</v>
      </c>
      <c r="F96" s="22">
        <v>143</v>
      </c>
      <c r="G96" s="22">
        <v>149</v>
      </c>
      <c r="H96" s="7">
        <v>41.8</v>
      </c>
      <c r="I96" s="7">
        <f t="shared" si="11"/>
        <v>35.529999999999994</v>
      </c>
      <c r="J96" s="7">
        <f t="shared" si="12"/>
        <v>39.709999999999994</v>
      </c>
      <c r="K96" s="5" t="s">
        <v>94</v>
      </c>
      <c r="O96" s="5" t="s">
        <v>101</v>
      </c>
      <c r="Q96" s="58" t="s">
        <v>5</v>
      </c>
      <c r="R96" s="58" t="s">
        <v>46</v>
      </c>
      <c r="S96" s="1">
        <v>41555</v>
      </c>
      <c r="T96" s="1">
        <v>41625</v>
      </c>
      <c r="U96" s="1">
        <v>41635</v>
      </c>
      <c r="V96" s="1">
        <v>41638</v>
      </c>
      <c r="W96" s="1">
        <v>41644</v>
      </c>
      <c r="X96" s="3" t="s">
        <v>20</v>
      </c>
      <c r="Y96" s="58">
        <v>83</v>
      </c>
      <c r="Z96" s="58">
        <v>89</v>
      </c>
      <c r="AA96" s="56" t="s">
        <v>394</v>
      </c>
      <c r="AB96" s="3"/>
    </row>
    <row r="97" spans="1:28" x14ac:dyDescent="0.25">
      <c r="A97" s="22">
        <v>96</v>
      </c>
      <c r="B97" s="22">
        <v>12</v>
      </c>
      <c r="C97" s="22">
        <v>3</v>
      </c>
      <c r="D97" s="22" t="s">
        <v>175</v>
      </c>
      <c r="E97" s="27" t="s">
        <v>88</v>
      </c>
      <c r="F97" s="22">
        <v>143</v>
      </c>
      <c r="G97" s="22">
        <v>149</v>
      </c>
      <c r="H97" s="7">
        <v>33.5</v>
      </c>
      <c r="I97" s="7">
        <f t="shared" si="11"/>
        <v>28.474999999999998</v>
      </c>
      <c r="J97" s="7">
        <f t="shared" si="12"/>
        <v>31.824999999999999</v>
      </c>
      <c r="K97" s="5" t="s">
        <v>94</v>
      </c>
      <c r="O97" s="5" t="s">
        <v>101</v>
      </c>
      <c r="P97" s="58"/>
      <c r="Q97" s="58" t="s">
        <v>4</v>
      </c>
      <c r="R97" s="58" t="s">
        <v>46</v>
      </c>
      <c r="S97" s="1">
        <v>41562</v>
      </c>
      <c r="T97" s="1">
        <v>41625</v>
      </c>
      <c r="U97" s="1" t="s">
        <v>11</v>
      </c>
      <c r="V97" s="1">
        <v>41642</v>
      </c>
      <c r="W97" s="1">
        <v>41648</v>
      </c>
      <c r="X97" s="3" t="s">
        <v>396</v>
      </c>
      <c r="Y97" s="58">
        <v>80</v>
      </c>
      <c r="Z97" s="58">
        <v>86</v>
      </c>
      <c r="AB97" s="3"/>
    </row>
    <row r="98" spans="1:28" x14ac:dyDescent="0.25">
      <c r="A98" s="22">
        <v>97</v>
      </c>
      <c r="B98">
        <v>13</v>
      </c>
      <c r="C98" s="22">
        <v>3</v>
      </c>
      <c r="D98" s="22" t="s">
        <v>170</v>
      </c>
      <c r="E98" s="1">
        <v>41274</v>
      </c>
      <c r="F98" s="22">
        <v>142</v>
      </c>
      <c r="G98">
        <v>148</v>
      </c>
      <c r="H98" s="7">
        <v>41.2</v>
      </c>
      <c r="I98" s="28">
        <f t="shared" si="11"/>
        <v>35.020000000000003</v>
      </c>
      <c r="J98" s="28">
        <f t="shared" si="12"/>
        <v>39.14</v>
      </c>
      <c r="K98" s="5" t="s">
        <v>101</v>
      </c>
      <c r="L98" s="14"/>
      <c r="M98" s="6"/>
      <c r="N98" s="5" t="s">
        <v>102</v>
      </c>
      <c r="O98" s="6"/>
      <c r="P98" s="58"/>
      <c r="Q98" s="58" t="s">
        <v>2</v>
      </c>
      <c r="R98" s="58" t="s">
        <v>46</v>
      </c>
      <c r="S98" s="1">
        <v>41555</v>
      </c>
      <c r="T98" s="1">
        <v>41625</v>
      </c>
      <c r="U98" s="1" t="s">
        <v>11</v>
      </c>
      <c r="V98" s="1">
        <v>41642</v>
      </c>
      <c r="W98" s="1">
        <v>41648</v>
      </c>
      <c r="X98" s="3" t="s">
        <v>59</v>
      </c>
      <c r="Y98" s="58">
        <v>87</v>
      </c>
      <c r="Z98" s="58">
        <v>93</v>
      </c>
      <c r="AB98" s="3"/>
    </row>
    <row r="99" spans="1:28" x14ac:dyDescent="0.25">
      <c r="A99" s="22">
        <v>98</v>
      </c>
      <c r="B99">
        <v>14</v>
      </c>
      <c r="C99" s="22">
        <v>3</v>
      </c>
      <c r="D99" s="22" t="s">
        <v>170</v>
      </c>
      <c r="E99" s="1">
        <v>41274</v>
      </c>
      <c r="F99" s="58">
        <v>142</v>
      </c>
      <c r="G99">
        <v>148</v>
      </c>
      <c r="H99" s="7">
        <v>41.8</v>
      </c>
      <c r="I99" s="28">
        <f>H99*0.85</f>
        <v>35.529999999999994</v>
      </c>
      <c r="J99" s="28">
        <f t="shared" si="12"/>
        <v>39.709999999999994</v>
      </c>
      <c r="K99" s="5" t="s">
        <v>101</v>
      </c>
      <c r="L99" s="14"/>
      <c r="M99" s="6"/>
      <c r="N99" s="5" t="s">
        <v>102</v>
      </c>
      <c r="O99" s="6"/>
      <c r="P99" s="58"/>
      <c r="Q99" s="58" t="s">
        <v>5</v>
      </c>
      <c r="R99" s="58" t="s">
        <v>46</v>
      </c>
      <c r="S99" s="1">
        <v>41555</v>
      </c>
      <c r="T99" s="1">
        <v>41625</v>
      </c>
      <c r="U99" s="1">
        <v>41635</v>
      </c>
      <c r="V99" s="1">
        <v>41642</v>
      </c>
      <c r="W99" s="1">
        <v>41648</v>
      </c>
      <c r="X99" s="3" t="s">
        <v>397</v>
      </c>
      <c r="Y99" s="58">
        <v>87</v>
      </c>
      <c r="Z99" s="58">
        <v>93</v>
      </c>
      <c r="AA99" s="56" t="s">
        <v>389</v>
      </c>
    </row>
    <row r="100" spans="1:28" x14ac:dyDescent="0.25">
      <c r="A100" s="22">
        <v>99</v>
      </c>
      <c r="B100">
        <v>15</v>
      </c>
      <c r="C100" s="22">
        <v>3</v>
      </c>
      <c r="D100" s="22" t="s">
        <v>170</v>
      </c>
      <c r="E100" s="1">
        <v>41274</v>
      </c>
      <c r="F100" s="58">
        <v>142</v>
      </c>
      <c r="G100">
        <v>148</v>
      </c>
      <c r="H100" s="7">
        <v>43.4</v>
      </c>
      <c r="I100" s="28">
        <f t="shared" si="11"/>
        <v>36.89</v>
      </c>
      <c r="J100" s="28">
        <f>H100*0.95</f>
        <v>41.23</v>
      </c>
      <c r="K100" s="5" t="s">
        <v>101</v>
      </c>
      <c r="L100" s="14"/>
      <c r="M100" s="6"/>
      <c r="N100" s="5" t="s">
        <v>102</v>
      </c>
      <c r="O100" s="6"/>
      <c r="P100" s="58"/>
      <c r="Q100" s="58" t="s">
        <v>3</v>
      </c>
      <c r="R100" s="58" t="s">
        <v>46</v>
      </c>
      <c r="S100" s="1">
        <v>41555</v>
      </c>
      <c r="T100" s="1">
        <v>41625</v>
      </c>
      <c r="U100" s="1" t="s">
        <v>11</v>
      </c>
      <c r="V100" s="1">
        <v>41642</v>
      </c>
      <c r="W100" s="1">
        <v>41648</v>
      </c>
      <c r="X100" s="3" t="s">
        <v>398</v>
      </c>
      <c r="Y100" s="58">
        <v>87</v>
      </c>
      <c r="Z100" s="58">
        <v>93</v>
      </c>
    </row>
    <row r="101" spans="1:28" x14ac:dyDescent="0.25">
      <c r="A101" s="22">
        <v>100</v>
      </c>
      <c r="B101">
        <v>16</v>
      </c>
      <c r="C101" s="22">
        <v>3</v>
      </c>
      <c r="D101" s="22" t="s">
        <v>165</v>
      </c>
      <c r="E101" s="1">
        <v>41282</v>
      </c>
      <c r="F101" s="58">
        <v>134</v>
      </c>
      <c r="G101">
        <v>140</v>
      </c>
      <c r="H101" s="7">
        <v>21.8</v>
      </c>
      <c r="I101" s="28">
        <f t="shared" si="11"/>
        <v>18.53</v>
      </c>
      <c r="J101" s="28">
        <f t="shared" si="12"/>
        <v>20.71</v>
      </c>
      <c r="K101" s="6"/>
      <c r="L101" s="14"/>
      <c r="N101" s="5" t="s">
        <v>102</v>
      </c>
      <c r="P101" s="58"/>
      <c r="Q101" s="58" t="s">
        <v>56</v>
      </c>
      <c r="R101" s="58" t="s">
        <v>46</v>
      </c>
      <c r="S101" s="1">
        <v>41562</v>
      </c>
      <c r="T101" s="1">
        <v>41625</v>
      </c>
      <c r="U101" s="1" t="s">
        <v>11</v>
      </c>
      <c r="V101" s="1">
        <v>41642</v>
      </c>
      <c r="W101" s="1">
        <v>41648</v>
      </c>
      <c r="X101" s="3" t="s">
        <v>399</v>
      </c>
      <c r="Y101" s="58">
        <v>80</v>
      </c>
      <c r="Z101" s="58">
        <v>86</v>
      </c>
    </row>
    <row r="102" spans="1:28" x14ac:dyDescent="0.25">
      <c r="A102" s="22">
        <v>101</v>
      </c>
      <c r="B102" s="22">
        <v>17</v>
      </c>
      <c r="C102" s="22">
        <v>3</v>
      </c>
      <c r="D102" s="22" t="s">
        <v>165</v>
      </c>
      <c r="E102" s="1">
        <v>41282</v>
      </c>
      <c r="F102" s="58">
        <v>134</v>
      </c>
      <c r="G102">
        <v>140</v>
      </c>
      <c r="H102" s="7">
        <v>21.1</v>
      </c>
      <c r="I102" s="28">
        <f t="shared" ref="I102:I124" si="13">H102*0.85</f>
        <v>17.935000000000002</v>
      </c>
      <c r="J102" s="28">
        <f t="shared" ref="J102:J124" si="14">H102*0.95</f>
        <v>20.045000000000002</v>
      </c>
      <c r="K102" s="6"/>
      <c r="L102" s="14"/>
      <c r="N102" s="5" t="s">
        <v>102</v>
      </c>
      <c r="Q102" s="58" t="s">
        <v>6</v>
      </c>
      <c r="R102" s="58" t="s">
        <v>46</v>
      </c>
      <c r="S102" s="1">
        <v>41569</v>
      </c>
      <c r="T102" s="1">
        <v>41625</v>
      </c>
      <c r="U102" s="1" t="s">
        <v>11</v>
      </c>
      <c r="V102" s="1">
        <v>41652</v>
      </c>
      <c r="W102" s="1">
        <v>41658</v>
      </c>
      <c r="X102" s="3" t="s">
        <v>47</v>
      </c>
      <c r="Y102" s="58">
        <v>83</v>
      </c>
      <c r="Z102" s="65">
        <v>89</v>
      </c>
    </row>
    <row r="103" spans="1:28" x14ac:dyDescent="0.25">
      <c r="A103">
        <v>102</v>
      </c>
      <c r="B103" s="22">
        <v>18</v>
      </c>
      <c r="C103" s="22">
        <v>3</v>
      </c>
      <c r="D103" t="s">
        <v>171</v>
      </c>
      <c r="E103" s="1">
        <v>41355</v>
      </c>
      <c r="F103" s="58">
        <v>66</v>
      </c>
      <c r="G103">
        <v>72</v>
      </c>
      <c r="H103" s="7">
        <v>22.9</v>
      </c>
      <c r="I103" s="28">
        <f t="shared" si="13"/>
        <v>19.465</v>
      </c>
      <c r="J103" s="28">
        <f t="shared" si="14"/>
        <v>21.754999999999999</v>
      </c>
      <c r="K103" s="29" t="s">
        <v>103</v>
      </c>
      <c r="Q103" s="58" t="s">
        <v>187</v>
      </c>
      <c r="R103" s="58" t="s">
        <v>46</v>
      </c>
      <c r="S103" s="1">
        <v>41563</v>
      </c>
      <c r="T103" s="1">
        <v>41625</v>
      </c>
      <c r="U103" s="1" t="s">
        <v>11</v>
      </c>
      <c r="V103" s="1">
        <v>41652</v>
      </c>
      <c r="W103" s="1">
        <v>41658</v>
      </c>
      <c r="X103" s="3" t="s">
        <v>391</v>
      </c>
      <c r="Y103" s="58">
        <v>89</v>
      </c>
      <c r="Z103" s="65">
        <v>95</v>
      </c>
    </row>
    <row r="104" spans="1:28" x14ac:dyDescent="0.25">
      <c r="A104">
        <v>103</v>
      </c>
      <c r="B104" s="22">
        <v>19</v>
      </c>
      <c r="C104" s="22">
        <v>3</v>
      </c>
      <c r="D104" s="22" t="s">
        <v>171</v>
      </c>
      <c r="E104" s="1">
        <v>41355</v>
      </c>
      <c r="F104" s="58">
        <v>66</v>
      </c>
      <c r="G104" s="22">
        <v>72</v>
      </c>
      <c r="H104" s="7">
        <v>23.3</v>
      </c>
      <c r="I104" s="28">
        <f t="shared" si="13"/>
        <v>19.805</v>
      </c>
      <c r="J104" s="28">
        <f t="shared" si="14"/>
        <v>22.134999999999998</v>
      </c>
      <c r="K104" s="29" t="s">
        <v>103</v>
      </c>
      <c r="Q104" s="58" t="s">
        <v>1</v>
      </c>
      <c r="R104" s="58" t="s">
        <v>46</v>
      </c>
      <c r="S104" s="1">
        <v>41590</v>
      </c>
      <c r="T104" s="1">
        <v>41625</v>
      </c>
      <c r="U104" s="1">
        <v>41648</v>
      </c>
      <c r="V104" s="1">
        <v>41652</v>
      </c>
      <c r="W104" s="1">
        <v>41658</v>
      </c>
      <c r="X104" s="3" t="s">
        <v>390</v>
      </c>
      <c r="Y104" s="58">
        <v>62</v>
      </c>
      <c r="Z104" s="65">
        <v>68</v>
      </c>
      <c r="AA104" s="56" t="s">
        <v>404</v>
      </c>
    </row>
    <row r="105" spans="1:28" x14ac:dyDescent="0.25">
      <c r="A105">
        <v>104</v>
      </c>
      <c r="B105" s="22">
        <v>20</v>
      </c>
      <c r="C105" s="22">
        <v>3</v>
      </c>
      <c r="D105" s="22" t="s">
        <v>171</v>
      </c>
      <c r="E105" s="1">
        <v>41355</v>
      </c>
      <c r="F105" s="58">
        <v>66</v>
      </c>
      <c r="G105" s="22">
        <v>72</v>
      </c>
      <c r="H105" s="7">
        <v>23.6</v>
      </c>
      <c r="I105" s="28">
        <f t="shared" si="13"/>
        <v>20.060000000000002</v>
      </c>
      <c r="J105" s="28">
        <f t="shared" si="14"/>
        <v>22.42</v>
      </c>
      <c r="K105" s="29" t="s">
        <v>103</v>
      </c>
      <c r="P105" s="72"/>
      <c r="Q105" s="55" t="s">
        <v>424</v>
      </c>
      <c r="R105" s="55" t="s">
        <v>422</v>
      </c>
      <c r="S105" s="14">
        <v>41630</v>
      </c>
      <c r="T105" s="14">
        <v>41666</v>
      </c>
      <c r="U105" s="1" t="s">
        <v>11</v>
      </c>
      <c r="V105" s="1">
        <v>41703</v>
      </c>
      <c r="W105" s="1">
        <v>41709</v>
      </c>
      <c r="X105" s="3" t="s">
        <v>47</v>
      </c>
      <c r="Y105" s="58">
        <v>73</v>
      </c>
      <c r="Z105" s="58">
        <v>79</v>
      </c>
    </row>
    <row r="106" spans="1:28" x14ac:dyDescent="0.25">
      <c r="A106">
        <v>105</v>
      </c>
      <c r="B106">
        <v>21</v>
      </c>
      <c r="C106" s="22">
        <v>3</v>
      </c>
      <c r="D106" t="s">
        <v>177</v>
      </c>
      <c r="E106" s="1">
        <v>41316</v>
      </c>
      <c r="F106" s="58">
        <v>105</v>
      </c>
      <c r="G106">
        <v>111</v>
      </c>
      <c r="H106" s="7">
        <v>30</v>
      </c>
      <c r="I106" s="28">
        <f t="shared" si="13"/>
        <v>25.5</v>
      </c>
      <c r="J106" s="28">
        <f t="shared" si="14"/>
        <v>28.5</v>
      </c>
      <c r="K106" s="29" t="s">
        <v>103</v>
      </c>
      <c r="P106" s="72"/>
      <c r="Q106" s="55" t="s">
        <v>129</v>
      </c>
      <c r="R106" s="55" t="s">
        <v>422</v>
      </c>
      <c r="S106" s="14">
        <v>41577</v>
      </c>
      <c r="T106" s="14">
        <v>41666</v>
      </c>
      <c r="U106" s="1" t="s">
        <v>11</v>
      </c>
      <c r="V106" s="1">
        <v>41703</v>
      </c>
      <c r="W106" s="1">
        <v>41709</v>
      </c>
      <c r="X106" s="3" t="s">
        <v>391</v>
      </c>
      <c r="Y106" s="72">
        <v>126</v>
      </c>
      <c r="Z106" s="72">
        <v>132</v>
      </c>
    </row>
    <row r="107" spans="1:28" x14ac:dyDescent="0.25">
      <c r="A107">
        <v>106</v>
      </c>
      <c r="B107">
        <v>22</v>
      </c>
      <c r="C107" s="22">
        <v>3</v>
      </c>
      <c r="D107" s="22" t="s">
        <v>177</v>
      </c>
      <c r="E107" s="1">
        <v>41316</v>
      </c>
      <c r="F107" s="58">
        <v>105</v>
      </c>
      <c r="G107">
        <v>111</v>
      </c>
      <c r="H107" s="7">
        <v>30.8</v>
      </c>
      <c r="I107" s="28">
        <f t="shared" si="13"/>
        <v>26.18</v>
      </c>
      <c r="J107" s="28">
        <f t="shared" si="14"/>
        <v>29.259999999999998</v>
      </c>
      <c r="K107" s="29" t="s">
        <v>103</v>
      </c>
      <c r="P107" s="72"/>
      <c r="Q107" s="57" t="s">
        <v>423</v>
      </c>
      <c r="R107" s="55" t="s">
        <v>422</v>
      </c>
      <c r="S107" s="20">
        <v>41640</v>
      </c>
      <c r="T107" s="20">
        <v>41683</v>
      </c>
      <c r="U107" s="1">
        <v>41701</v>
      </c>
      <c r="V107" s="1">
        <v>41703</v>
      </c>
      <c r="W107" s="1">
        <v>41709</v>
      </c>
      <c r="X107" s="3" t="s">
        <v>17</v>
      </c>
      <c r="Y107" s="72">
        <v>63</v>
      </c>
      <c r="Z107" s="72">
        <v>69</v>
      </c>
    </row>
    <row r="108" spans="1:28" x14ac:dyDescent="0.25">
      <c r="A108">
        <v>107</v>
      </c>
      <c r="B108">
        <v>23</v>
      </c>
      <c r="C108" s="22">
        <v>3</v>
      </c>
      <c r="D108" s="22" t="s">
        <v>174</v>
      </c>
      <c r="E108" s="1">
        <v>41344</v>
      </c>
      <c r="F108" s="22">
        <v>85</v>
      </c>
      <c r="G108" s="32">
        <v>91</v>
      </c>
      <c r="H108" s="7">
        <v>25.5</v>
      </c>
      <c r="I108" s="28">
        <f t="shared" si="13"/>
        <v>21.675000000000001</v>
      </c>
      <c r="J108" s="28">
        <f t="shared" si="14"/>
        <v>24.224999999999998</v>
      </c>
      <c r="K108" s="3"/>
      <c r="P108" s="72"/>
      <c r="Q108" s="57" t="s">
        <v>366</v>
      </c>
      <c r="R108" s="57" t="s">
        <v>422</v>
      </c>
      <c r="S108" s="20">
        <v>41642</v>
      </c>
      <c r="T108" s="20">
        <v>41673</v>
      </c>
      <c r="U108" s="1" t="s">
        <v>11</v>
      </c>
      <c r="V108" s="1">
        <v>41703</v>
      </c>
      <c r="W108" s="1">
        <v>41709</v>
      </c>
      <c r="X108" s="3" t="s">
        <v>18</v>
      </c>
      <c r="Y108" s="72">
        <v>61</v>
      </c>
      <c r="Z108" s="72">
        <v>67</v>
      </c>
    </row>
    <row r="109" spans="1:28" ht="19.5" customHeight="1" x14ac:dyDescent="0.25">
      <c r="A109">
        <v>108</v>
      </c>
      <c r="B109">
        <v>24</v>
      </c>
      <c r="C109" s="22">
        <v>3</v>
      </c>
      <c r="D109" s="22" t="s">
        <v>174</v>
      </c>
      <c r="E109" s="1">
        <v>41344</v>
      </c>
      <c r="F109" s="22">
        <v>85</v>
      </c>
      <c r="G109" s="32">
        <v>91</v>
      </c>
      <c r="H109" s="7">
        <v>23.5</v>
      </c>
      <c r="I109" s="28">
        <f t="shared" si="13"/>
        <v>19.974999999999998</v>
      </c>
      <c r="J109" s="28">
        <f t="shared" si="14"/>
        <v>22.324999999999999</v>
      </c>
      <c r="K109" s="3"/>
      <c r="P109" s="72"/>
      <c r="Q109" s="55" t="s">
        <v>410</v>
      </c>
      <c r="R109" s="55" t="s">
        <v>46</v>
      </c>
      <c r="S109" s="14">
        <v>41618</v>
      </c>
      <c r="T109" s="14">
        <v>41681</v>
      </c>
      <c r="U109" s="1">
        <v>41701</v>
      </c>
      <c r="V109" s="1">
        <v>41703</v>
      </c>
      <c r="W109" s="1">
        <v>41709</v>
      </c>
      <c r="X109" s="3" t="s">
        <v>19</v>
      </c>
      <c r="Y109" s="72">
        <v>85</v>
      </c>
      <c r="Z109" s="72">
        <v>91</v>
      </c>
    </row>
    <row r="110" spans="1:28" x14ac:dyDescent="0.25">
      <c r="A110">
        <v>109</v>
      </c>
      <c r="B110">
        <v>25</v>
      </c>
      <c r="C110" s="22">
        <v>3</v>
      </c>
      <c r="D110" s="22" t="s">
        <v>171</v>
      </c>
      <c r="E110" s="14">
        <v>41355</v>
      </c>
      <c r="F110" s="22">
        <v>74</v>
      </c>
      <c r="G110" s="33">
        <v>80</v>
      </c>
      <c r="H110" s="7">
        <v>23.5</v>
      </c>
      <c r="I110" s="28">
        <f t="shared" si="13"/>
        <v>19.974999999999998</v>
      </c>
      <c r="J110" s="28">
        <f t="shared" si="14"/>
        <v>22.324999999999999</v>
      </c>
      <c r="K110" s="3"/>
      <c r="Q110" s="55" t="s">
        <v>425</v>
      </c>
      <c r="R110" s="55" t="s">
        <v>46</v>
      </c>
      <c r="S110" s="14">
        <v>41653</v>
      </c>
      <c r="T110" s="14">
        <v>41695</v>
      </c>
      <c r="U110" s="1">
        <v>41710</v>
      </c>
      <c r="V110" s="1">
        <v>41710</v>
      </c>
      <c r="W110" s="1">
        <v>41716</v>
      </c>
      <c r="X110" s="3" t="s">
        <v>14</v>
      </c>
      <c r="Y110" s="58">
        <v>57</v>
      </c>
      <c r="Z110" s="58">
        <v>63</v>
      </c>
    </row>
    <row r="111" spans="1:28" x14ac:dyDescent="0.25">
      <c r="A111">
        <v>110</v>
      </c>
      <c r="B111">
        <v>26</v>
      </c>
      <c r="C111" s="22">
        <v>3</v>
      </c>
      <c r="D111" s="22" t="s">
        <v>171</v>
      </c>
      <c r="E111" s="14">
        <v>41355</v>
      </c>
      <c r="F111" s="22">
        <v>74</v>
      </c>
      <c r="G111" s="33">
        <v>80</v>
      </c>
      <c r="H111" s="7">
        <v>21.3</v>
      </c>
      <c r="I111" s="28">
        <f t="shared" si="13"/>
        <v>18.105</v>
      </c>
      <c r="J111" s="28">
        <f t="shared" si="14"/>
        <v>20.234999999999999</v>
      </c>
      <c r="K111" s="3"/>
      <c r="Q111" s="55" t="s">
        <v>426</v>
      </c>
      <c r="R111" s="55" t="s">
        <v>422</v>
      </c>
      <c r="S111" s="14">
        <v>41646</v>
      </c>
      <c r="T111" s="14">
        <v>41683</v>
      </c>
      <c r="U111" s="1" t="s">
        <v>11</v>
      </c>
      <c r="V111" s="1">
        <v>41710</v>
      </c>
      <c r="W111" s="1">
        <v>41716</v>
      </c>
      <c r="X111" s="3" t="s">
        <v>15</v>
      </c>
      <c r="Y111" s="72">
        <v>64</v>
      </c>
      <c r="Z111" s="72">
        <v>70</v>
      </c>
    </row>
    <row r="112" spans="1:28" x14ac:dyDescent="0.25">
      <c r="A112">
        <v>111</v>
      </c>
      <c r="B112">
        <v>27</v>
      </c>
      <c r="C112" s="22">
        <v>3</v>
      </c>
      <c r="D112" s="22" t="s">
        <v>171</v>
      </c>
      <c r="E112" s="14">
        <v>41355</v>
      </c>
      <c r="F112" s="22">
        <v>74</v>
      </c>
      <c r="G112" s="33">
        <v>80</v>
      </c>
      <c r="H112" s="7">
        <v>21.4</v>
      </c>
      <c r="I112" s="28">
        <f t="shared" si="13"/>
        <v>18.189999999999998</v>
      </c>
      <c r="J112" s="28">
        <f t="shared" si="14"/>
        <v>20.329999999999998</v>
      </c>
      <c r="K112" s="3"/>
      <c r="Q112" s="55" t="s">
        <v>410</v>
      </c>
      <c r="R112" s="55" t="s">
        <v>46</v>
      </c>
      <c r="S112" s="14">
        <v>41618</v>
      </c>
      <c r="T112" s="14">
        <v>41681</v>
      </c>
      <c r="U112" s="1">
        <v>41701</v>
      </c>
      <c r="V112" s="1">
        <v>41710</v>
      </c>
      <c r="W112" s="1">
        <v>41716</v>
      </c>
      <c r="X112" s="3" t="s">
        <v>16</v>
      </c>
      <c r="Y112" s="72">
        <v>92</v>
      </c>
      <c r="Z112" s="72">
        <v>98</v>
      </c>
    </row>
    <row r="113" spans="1:27" x14ac:dyDescent="0.25">
      <c r="A113" s="22">
        <v>112</v>
      </c>
      <c r="B113" s="22">
        <v>1</v>
      </c>
      <c r="C113">
        <v>4</v>
      </c>
      <c r="D113" s="22" t="s">
        <v>104</v>
      </c>
      <c r="E113" s="31">
        <v>41366</v>
      </c>
      <c r="F113" s="22">
        <v>67</v>
      </c>
      <c r="G113" s="22">
        <v>73</v>
      </c>
      <c r="H113" s="7">
        <v>25.2</v>
      </c>
      <c r="I113" s="28">
        <f t="shared" si="13"/>
        <v>21.419999999999998</v>
      </c>
      <c r="J113" s="28">
        <f t="shared" si="14"/>
        <v>23.939999999999998</v>
      </c>
      <c r="K113" s="3"/>
      <c r="N113" s="22"/>
      <c r="Q113" s="55" t="s">
        <v>423</v>
      </c>
      <c r="R113" s="55" t="s">
        <v>422</v>
      </c>
      <c r="S113" s="14">
        <v>41640</v>
      </c>
      <c r="T113" s="14">
        <v>41683</v>
      </c>
      <c r="U113" s="1">
        <v>41701</v>
      </c>
      <c r="V113" s="1">
        <v>41710</v>
      </c>
      <c r="W113" s="1">
        <v>41716</v>
      </c>
      <c r="X113" s="3" t="s">
        <v>17</v>
      </c>
      <c r="Y113" s="72">
        <v>70</v>
      </c>
      <c r="Z113" s="72">
        <v>76</v>
      </c>
    </row>
    <row r="114" spans="1:27" x14ac:dyDescent="0.25">
      <c r="A114" s="22">
        <v>113</v>
      </c>
      <c r="B114" s="22">
        <v>2</v>
      </c>
      <c r="C114" s="22">
        <v>4</v>
      </c>
      <c r="D114" s="22" t="s">
        <v>104</v>
      </c>
      <c r="E114" s="31">
        <v>41366</v>
      </c>
      <c r="F114" s="22">
        <v>67</v>
      </c>
      <c r="G114" s="22">
        <v>73</v>
      </c>
      <c r="H114" s="7">
        <v>27</v>
      </c>
      <c r="I114" s="28">
        <f t="shared" si="13"/>
        <v>22.95</v>
      </c>
      <c r="J114" s="28">
        <f t="shared" si="14"/>
        <v>25.65</v>
      </c>
      <c r="Q114" s="55" t="s">
        <v>56</v>
      </c>
      <c r="R114" s="55" t="s">
        <v>46</v>
      </c>
      <c r="S114" s="14">
        <v>41632</v>
      </c>
      <c r="T114" s="14">
        <v>41702</v>
      </c>
      <c r="U114" s="1" t="s">
        <v>11</v>
      </c>
      <c r="V114" s="1">
        <v>41710</v>
      </c>
      <c r="W114" s="1">
        <v>41716</v>
      </c>
      <c r="X114" s="3" t="s">
        <v>18</v>
      </c>
      <c r="Y114" s="72">
        <v>78</v>
      </c>
      <c r="Z114" s="72">
        <v>84</v>
      </c>
    </row>
    <row r="115" spans="1:27" x14ac:dyDescent="0.25">
      <c r="A115" s="22">
        <v>114</v>
      </c>
      <c r="B115" s="22">
        <v>3</v>
      </c>
      <c r="C115" s="22">
        <v>4</v>
      </c>
      <c r="D115" s="22" t="s">
        <v>105</v>
      </c>
      <c r="E115" s="31">
        <v>41366</v>
      </c>
      <c r="F115" s="22">
        <v>67</v>
      </c>
      <c r="G115" s="22">
        <v>73</v>
      </c>
      <c r="H115" s="7">
        <v>22.2</v>
      </c>
      <c r="I115" s="28">
        <f t="shared" si="13"/>
        <v>18.869999999999997</v>
      </c>
      <c r="J115" s="28">
        <f t="shared" si="14"/>
        <v>21.09</v>
      </c>
      <c r="K115" s="3"/>
      <c r="N115" s="22"/>
      <c r="Q115" s="55" t="s">
        <v>427</v>
      </c>
      <c r="R115" s="55" t="s">
        <v>422</v>
      </c>
      <c r="S115" s="14">
        <v>41651</v>
      </c>
      <c r="T115" s="14">
        <v>41683</v>
      </c>
      <c r="U115" s="1" t="s">
        <v>11</v>
      </c>
      <c r="V115" s="1">
        <v>41710</v>
      </c>
      <c r="W115" s="1">
        <v>41716</v>
      </c>
      <c r="X115" s="3" t="s">
        <v>19</v>
      </c>
      <c r="Y115" s="72">
        <v>59</v>
      </c>
      <c r="Z115" s="72">
        <v>65</v>
      </c>
    </row>
    <row r="116" spans="1:27" x14ac:dyDescent="0.25">
      <c r="A116" s="22">
        <v>115</v>
      </c>
      <c r="B116" s="22">
        <v>4</v>
      </c>
      <c r="C116" s="22">
        <v>4</v>
      </c>
      <c r="D116" s="22" t="s">
        <v>105</v>
      </c>
      <c r="E116" s="31">
        <v>41366</v>
      </c>
      <c r="F116" s="22">
        <v>67</v>
      </c>
      <c r="G116" s="22">
        <v>73</v>
      </c>
      <c r="H116" s="7">
        <v>21.2</v>
      </c>
      <c r="I116" s="28">
        <f t="shared" si="13"/>
        <v>18.02</v>
      </c>
      <c r="J116" s="28">
        <f t="shared" si="14"/>
        <v>20.139999999999997</v>
      </c>
      <c r="Q116" s="55" t="s">
        <v>428</v>
      </c>
      <c r="R116" s="55" t="s">
        <v>422</v>
      </c>
      <c r="S116" s="14">
        <v>41647</v>
      </c>
      <c r="T116" s="14">
        <v>41683</v>
      </c>
      <c r="U116" s="1">
        <v>41710</v>
      </c>
      <c r="V116" s="1">
        <v>41710</v>
      </c>
      <c r="W116" s="1">
        <v>41716</v>
      </c>
      <c r="X116" s="3" t="s">
        <v>20</v>
      </c>
      <c r="Y116" s="72">
        <v>63</v>
      </c>
      <c r="Z116" s="72">
        <v>69</v>
      </c>
    </row>
    <row r="117" spans="1:27" x14ac:dyDescent="0.25">
      <c r="A117" s="22">
        <v>116</v>
      </c>
      <c r="B117" s="22">
        <v>5</v>
      </c>
      <c r="C117" s="22">
        <v>4</v>
      </c>
      <c r="D117" s="22" t="s">
        <v>106</v>
      </c>
      <c r="E117" s="31">
        <v>41361</v>
      </c>
      <c r="F117" s="58">
        <v>72</v>
      </c>
      <c r="G117" s="22">
        <v>78</v>
      </c>
      <c r="H117" s="7">
        <v>35.4</v>
      </c>
      <c r="I117" s="28">
        <f t="shared" si="13"/>
        <v>30.089999999999996</v>
      </c>
      <c r="J117" s="28">
        <f t="shared" si="14"/>
        <v>33.629999999999995</v>
      </c>
      <c r="K117" s="3"/>
      <c r="N117" s="22"/>
      <c r="Q117" s="55" t="s">
        <v>411</v>
      </c>
      <c r="R117" s="55" t="s">
        <v>46</v>
      </c>
      <c r="S117" s="14">
        <v>41653</v>
      </c>
      <c r="T117" s="14">
        <v>41702</v>
      </c>
      <c r="U117" s="1">
        <v>41710</v>
      </c>
      <c r="V117" s="1">
        <v>41710</v>
      </c>
      <c r="W117" s="1">
        <v>41716</v>
      </c>
      <c r="X117" s="3" t="s">
        <v>21</v>
      </c>
      <c r="Y117" s="72">
        <v>57</v>
      </c>
      <c r="Z117" s="72">
        <v>63</v>
      </c>
    </row>
    <row r="118" spans="1:27" x14ac:dyDescent="0.25">
      <c r="A118" s="22">
        <v>117</v>
      </c>
      <c r="B118" s="22">
        <v>6</v>
      </c>
      <c r="C118" s="22">
        <v>4</v>
      </c>
      <c r="D118" s="22" t="s">
        <v>106</v>
      </c>
      <c r="E118" s="31">
        <v>41361</v>
      </c>
      <c r="F118" s="58">
        <v>72</v>
      </c>
      <c r="G118" s="22">
        <v>78</v>
      </c>
      <c r="H118" s="7">
        <v>37.1</v>
      </c>
      <c r="I118" s="28">
        <f t="shared" si="13"/>
        <v>31.535</v>
      </c>
      <c r="J118" s="28">
        <f t="shared" si="14"/>
        <v>35.244999999999997</v>
      </c>
      <c r="Q118" s="55" t="s">
        <v>428</v>
      </c>
      <c r="R118" s="55" t="s">
        <v>422</v>
      </c>
      <c r="S118" s="14">
        <v>41647</v>
      </c>
      <c r="T118" s="14">
        <v>41683</v>
      </c>
      <c r="U118" s="1">
        <v>41710</v>
      </c>
      <c r="V118" s="1">
        <v>41713</v>
      </c>
      <c r="W118" s="1">
        <v>41719</v>
      </c>
      <c r="X118" s="3" t="s">
        <v>14</v>
      </c>
      <c r="Y118" s="58">
        <v>66</v>
      </c>
      <c r="Z118" s="58">
        <v>72</v>
      </c>
    </row>
    <row r="119" spans="1:27" x14ac:dyDescent="0.25">
      <c r="A119" s="22">
        <v>118</v>
      </c>
      <c r="B119" s="22">
        <v>7</v>
      </c>
      <c r="C119" s="22">
        <v>4</v>
      </c>
      <c r="D119" s="22" t="s">
        <v>56</v>
      </c>
      <c r="E119" s="31">
        <v>41359</v>
      </c>
      <c r="F119" s="22">
        <v>74</v>
      </c>
      <c r="G119" s="22">
        <v>80</v>
      </c>
      <c r="H119" s="7">
        <v>28</v>
      </c>
      <c r="I119" s="28">
        <f t="shared" si="13"/>
        <v>23.8</v>
      </c>
      <c r="J119" s="28">
        <f t="shared" si="14"/>
        <v>26.599999999999998</v>
      </c>
      <c r="K119" s="3"/>
      <c r="N119" s="22"/>
      <c r="Q119" s="72" t="s">
        <v>411</v>
      </c>
      <c r="R119" s="55" t="s">
        <v>46</v>
      </c>
      <c r="S119" s="1">
        <v>41653</v>
      </c>
      <c r="T119" s="1">
        <v>41702</v>
      </c>
      <c r="U119" s="1">
        <v>41713</v>
      </c>
      <c r="V119" s="1">
        <v>41713</v>
      </c>
      <c r="W119" s="1">
        <v>41719</v>
      </c>
      <c r="X119" s="3" t="s">
        <v>15</v>
      </c>
      <c r="Y119" s="72">
        <v>60</v>
      </c>
      <c r="Z119" s="72">
        <v>66</v>
      </c>
    </row>
    <row r="120" spans="1:27" x14ac:dyDescent="0.25">
      <c r="A120" s="22">
        <v>119</v>
      </c>
      <c r="B120" s="22">
        <v>8</v>
      </c>
      <c r="C120" s="22">
        <v>4</v>
      </c>
      <c r="D120" s="22" t="s">
        <v>56</v>
      </c>
      <c r="E120" s="31">
        <v>41359</v>
      </c>
      <c r="F120" s="22">
        <v>74</v>
      </c>
      <c r="G120" s="22">
        <v>80</v>
      </c>
      <c r="H120" s="7">
        <v>27.5</v>
      </c>
      <c r="I120" s="28">
        <f t="shared" si="13"/>
        <v>23.375</v>
      </c>
      <c r="J120" s="28">
        <f t="shared" si="14"/>
        <v>26.125</v>
      </c>
      <c r="Q120" s="72" t="s">
        <v>425</v>
      </c>
      <c r="R120" s="55" t="s">
        <v>46</v>
      </c>
      <c r="S120" s="1">
        <v>41653</v>
      </c>
      <c r="T120" s="1">
        <v>41695</v>
      </c>
      <c r="U120" s="1">
        <v>41713</v>
      </c>
      <c r="V120" s="1">
        <v>41713</v>
      </c>
      <c r="W120" s="1">
        <v>41719</v>
      </c>
      <c r="X120" s="3" t="s">
        <v>443</v>
      </c>
      <c r="Y120" s="72">
        <v>60</v>
      </c>
      <c r="Z120" s="72">
        <v>66</v>
      </c>
    </row>
    <row r="121" spans="1:27" x14ac:dyDescent="0.25">
      <c r="A121" s="22">
        <v>120</v>
      </c>
      <c r="B121" s="22">
        <v>9</v>
      </c>
      <c r="C121" s="22">
        <v>4</v>
      </c>
      <c r="D121" s="22" t="s">
        <v>55</v>
      </c>
      <c r="E121" s="31">
        <v>41359</v>
      </c>
      <c r="F121" s="22">
        <v>74</v>
      </c>
      <c r="G121" s="22">
        <v>80</v>
      </c>
      <c r="H121" s="7">
        <v>26.2</v>
      </c>
      <c r="I121" s="28">
        <f t="shared" si="13"/>
        <v>22.27</v>
      </c>
      <c r="J121" s="28">
        <f t="shared" si="14"/>
        <v>24.889999999999997</v>
      </c>
      <c r="K121" s="3"/>
      <c r="N121" s="22"/>
      <c r="Q121" s="72" t="s">
        <v>437</v>
      </c>
      <c r="R121" s="55" t="s">
        <v>422</v>
      </c>
      <c r="S121" s="1">
        <v>41654</v>
      </c>
      <c r="T121" s="1">
        <v>41683</v>
      </c>
      <c r="U121" s="1" t="s">
        <v>11</v>
      </c>
      <c r="V121" s="1">
        <v>41713</v>
      </c>
      <c r="W121" s="1">
        <v>41719</v>
      </c>
      <c r="X121" s="3" t="s">
        <v>51</v>
      </c>
      <c r="Y121" s="72">
        <v>59</v>
      </c>
      <c r="Z121" s="72">
        <v>65</v>
      </c>
    </row>
    <row r="122" spans="1:27" x14ac:dyDescent="0.25">
      <c r="A122" s="22">
        <v>121</v>
      </c>
      <c r="B122" s="22">
        <v>10</v>
      </c>
      <c r="C122" s="22">
        <v>4</v>
      </c>
      <c r="D122" s="22" t="s">
        <v>55</v>
      </c>
      <c r="E122" s="31">
        <v>41359</v>
      </c>
      <c r="F122" s="22">
        <v>74</v>
      </c>
      <c r="G122" s="22">
        <v>80</v>
      </c>
      <c r="H122" s="7">
        <v>28.9</v>
      </c>
      <c r="I122" s="28">
        <f t="shared" si="13"/>
        <v>24.564999999999998</v>
      </c>
      <c r="J122" s="28">
        <f t="shared" si="14"/>
        <v>27.454999999999998</v>
      </c>
      <c r="L122" s="1"/>
      <c r="Q122" s="72" t="s">
        <v>438</v>
      </c>
      <c r="R122" s="55" t="s">
        <v>422</v>
      </c>
      <c r="S122" s="1">
        <v>41645</v>
      </c>
      <c r="T122" s="1">
        <v>41683</v>
      </c>
      <c r="U122" s="1" t="s">
        <v>11</v>
      </c>
      <c r="V122" s="1">
        <v>41713</v>
      </c>
      <c r="W122" s="1">
        <v>41719</v>
      </c>
      <c r="X122" s="3" t="s">
        <v>52</v>
      </c>
      <c r="Y122" s="72">
        <v>68</v>
      </c>
      <c r="Z122" s="72">
        <v>74</v>
      </c>
    </row>
    <row r="123" spans="1:27" ht="30" x14ac:dyDescent="0.25">
      <c r="A123" s="22">
        <v>122</v>
      </c>
      <c r="B123" s="22">
        <v>11</v>
      </c>
      <c r="C123" s="22">
        <v>4</v>
      </c>
      <c r="D123" s="6" t="s">
        <v>107</v>
      </c>
      <c r="E123" s="31">
        <v>41359</v>
      </c>
      <c r="F123" s="22">
        <v>74</v>
      </c>
      <c r="G123" s="22">
        <v>80</v>
      </c>
      <c r="H123" s="7">
        <v>28.5</v>
      </c>
      <c r="I123" s="28">
        <f t="shared" si="13"/>
        <v>24.224999999999998</v>
      </c>
      <c r="J123" s="28">
        <f t="shared" si="14"/>
        <v>27.074999999999999</v>
      </c>
      <c r="K123" s="5" t="s">
        <v>108</v>
      </c>
      <c r="Q123" s="96" t="s">
        <v>439</v>
      </c>
      <c r="R123" s="55" t="s">
        <v>422</v>
      </c>
      <c r="S123" s="95">
        <v>41658</v>
      </c>
      <c r="T123" s="20">
        <v>41694</v>
      </c>
      <c r="U123" s="1">
        <v>41713</v>
      </c>
      <c r="V123" s="1">
        <v>41713</v>
      </c>
      <c r="W123" s="1">
        <v>41719</v>
      </c>
      <c r="X123" s="3" t="s">
        <v>444</v>
      </c>
      <c r="Y123" s="72">
        <v>55</v>
      </c>
      <c r="Z123" s="72">
        <v>61</v>
      </c>
    </row>
    <row r="124" spans="1:27" x14ac:dyDescent="0.25">
      <c r="A124" s="22">
        <v>123</v>
      </c>
      <c r="B124" s="22">
        <v>12</v>
      </c>
      <c r="C124" s="22">
        <v>4</v>
      </c>
      <c r="D124" s="6" t="s">
        <v>107</v>
      </c>
      <c r="E124" s="31">
        <v>41359</v>
      </c>
      <c r="F124" s="22">
        <v>74</v>
      </c>
      <c r="G124" s="22">
        <v>80</v>
      </c>
      <c r="H124" s="7">
        <v>29.6</v>
      </c>
      <c r="I124" s="28">
        <f t="shared" si="13"/>
        <v>25.16</v>
      </c>
      <c r="J124" s="28">
        <f t="shared" si="14"/>
        <v>28.12</v>
      </c>
      <c r="K124" s="5" t="s">
        <v>108</v>
      </c>
      <c r="Q124" s="72" t="s">
        <v>440</v>
      </c>
      <c r="R124" s="55" t="s">
        <v>422</v>
      </c>
      <c r="S124" s="1">
        <v>41645</v>
      </c>
      <c r="T124" s="1">
        <v>41683</v>
      </c>
      <c r="U124" s="1" t="s">
        <v>11</v>
      </c>
      <c r="V124" s="1">
        <v>41713</v>
      </c>
      <c r="W124" s="1">
        <v>41719</v>
      </c>
      <c r="X124" s="3" t="s">
        <v>445</v>
      </c>
      <c r="Y124" s="72">
        <v>68</v>
      </c>
      <c r="Z124" s="72">
        <v>74</v>
      </c>
    </row>
    <row r="125" spans="1:27" x14ac:dyDescent="0.25">
      <c r="A125" s="22">
        <v>124</v>
      </c>
      <c r="B125" s="22">
        <v>13</v>
      </c>
      <c r="C125" s="22">
        <v>4</v>
      </c>
      <c r="D125" s="22" t="s">
        <v>110</v>
      </c>
      <c r="E125" s="31">
        <v>41373</v>
      </c>
      <c r="F125" s="22">
        <v>63</v>
      </c>
      <c r="G125" s="22">
        <v>69</v>
      </c>
      <c r="H125" s="7">
        <v>20.5</v>
      </c>
      <c r="I125" s="28">
        <f t="shared" ref="I125:I136" si="15">H125*0.85</f>
        <v>17.425000000000001</v>
      </c>
      <c r="J125" s="28">
        <f t="shared" ref="J125:J136" si="16">H125*0.95</f>
        <v>19.474999999999998</v>
      </c>
      <c r="K125" s="22"/>
      <c r="Q125" s="72" t="s">
        <v>145</v>
      </c>
      <c r="R125" s="55" t="s">
        <v>46</v>
      </c>
      <c r="S125" s="1">
        <v>41661</v>
      </c>
      <c r="T125" s="1">
        <v>41702</v>
      </c>
      <c r="U125" s="1" t="s">
        <v>11</v>
      </c>
      <c r="V125" s="1">
        <v>41731</v>
      </c>
      <c r="W125" s="1">
        <v>41737</v>
      </c>
      <c r="X125" s="3" t="s">
        <v>14</v>
      </c>
      <c r="Y125" s="58">
        <v>70</v>
      </c>
      <c r="Z125" s="58">
        <v>76</v>
      </c>
      <c r="AA125" s="109"/>
    </row>
    <row r="126" spans="1:27" x14ac:dyDescent="0.25">
      <c r="A126" s="22">
        <v>125</v>
      </c>
      <c r="B126" s="22">
        <v>14</v>
      </c>
      <c r="C126" s="22">
        <v>4</v>
      </c>
      <c r="D126" s="22" t="s">
        <v>110</v>
      </c>
      <c r="E126" s="31">
        <v>41373</v>
      </c>
      <c r="F126" s="22">
        <v>63</v>
      </c>
      <c r="G126" s="22">
        <v>69</v>
      </c>
      <c r="H126" s="7">
        <v>20.2</v>
      </c>
      <c r="I126" s="28">
        <f t="shared" si="15"/>
        <v>17.169999999999998</v>
      </c>
      <c r="J126" s="28">
        <f t="shared" si="16"/>
        <v>19.189999999999998</v>
      </c>
      <c r="Q126" s="101" t="s">
        <v>450</v>
      </c>
      <c r="R126" s="55" t="s">
        <v>422</v>
      </c>
      <c r="S126" s="14">
        <v>41666</v>
      </c>
      <c r="T126" s="14">
        <v>41701</v>
      </c>
      <c r="U126" s="1">
        <v>41731</v>
      </c>
      <c r="V126" s="1">
        <v>41731</v>
      </c>
      <c r="W126" s="1">
        <v>41737</v>
      </c>
      <c r="X126" s="3" t="s">
        <v>15</v>
      </c>
      <c r="Y126" s="58">
        <v>65</v>
      </c>
      <c r="Z126" s="58">
        <v>71</v>
      </c>
      <c r="AA126" s="109"/>
    </row>
    <row r="127" spans="1:27" x14ac:dyDescent="0.25">
      <c r="A127" s="22">
        <v>126</v>
      </c>
      <c r="B127" s="22">
        <v>15</v>
      </c>
      <c r="C127" s="22">
        <v>4</v>
      </c>
      <c r="D127" s="22" t="s">
        <v>111</v>
      </c>
      <c r="E127" s="31">
        <v>41373</v>
      </c>
      <c r="F127" s="22">
        <v>63</v>
      </c>
      <c r="G127" s="22">
        <v>69</v>
      </c>
      <c r="H127" s="7">
        <v>31.9</v>
      </c>
      <c r="I127" s="28">
        <f t="shared" si="15"/>
        <v>27.114999999999998</v>
      </c>
      <c r="J127" s="28">
        <f t="shared" si="16"/>
        <v>30.304999999999996</v>
      </c>
      <c r="K127" s="22"/>
      <c r="Q127" s="96" t="s">
        <v>453</v>
      </c>
      <c r="R127" s="55" t="s">
        <v>422</v>
      </c>
      <c r="S127" s="95">
        <v>41666</v>
      </c>
      <c r="T127" s="20">
        <v>41694</v>
      </c>
      <c r="U127" s="1" t="s">
        <v>11</v>
      </c>
      <c r="V127" s="1">
        <v>41731</v>
      </c>
      <c r="W127" s="1">
        <v>41737</v>
      </c>
      <c r="X127" s="3" t="s">
        <v>16</v>
      </c>
      <c r="Y127" s="58">
        <v>65</v>
      </c>
      <c r="Z127" s="58">
        <v>71</v>
      </c>
      <c r="AA127" s="109"/>
    </row>
    <row r="128" spans="1:27" ht="30" x14ac:dyDescent="0.25">
      <c r="A128" s="22">
        <v>127</v>
      </c>
      <c r="B128" s="22">
        <v>16</v>
      </c>
      <c r="C128" s="22">
        <v>4</v>
      </c>
      <c r="D128" s="22" t="s">
        <v>111</v>
      </c>
      <c r="E128" s="31">
        <v>41373</v>
      </c>
      <c r="F128" s="22">
        <v>63</v>
      </c>
      <c r="G128" s="22">
        <v>69</v>
      </c>
      <c r="H128" s="7">
        <v>27.2</v>
      </c>
      <c r="I128" s="28">
        <f t="shared" si="15"/>
        <v>23.119999999999997</v>
      </c>
      <c r="J128" s="28">
        <f t="shared" si="16"/>
        <v>25.84</v>
      </c>
      <c r="Q128" s="106" t="s">
        <v>452</v>
      </c>
      <c r="R128" s="55" t="s">
        <v>422</v>
      </c>
      <c r="S128" s="105">
        <v>41674</v>
      </c>
      <c r="T128" s="20">
        <v>41708</v>
      </c>
      <c r="U128" s="1">
        <v>41731</v>
      </c>
      <c r="V128" s="1">
        <v>41731</v>
      </c>
      <c r="W128" s="1">
        <v>41737</v>
      </c>
      <c r="X128" s="3" t="s">
        <v>17</v>
      </c>
      <c r="Y128" s="58">
        <v>57</v>
      </c>
      <c r="Z128" s="58">
        <v>63</v>
      </c>
      <c r="AA128" s="109"/>
    </row>
    <row r="129" spans="1:27" ht="30" x14ac:dyDescent="0.25">
      <c r="A129" s="22">
        <v>128</v>
      </c>
      <c r="B129" s="22">
        <v>17</v>
      </c>
      <c r="C129" s="22">
        <v>4</v>
      </c>
      <c r="D129" s="22" t="s">
        <v>501</v>
      </c>
      <c r="E129" s="31">
        <v>41373</v>
      </c>
      <c r="F129" s="58">
        <v>63</v>
      </c>
      <c r="G129" s="22">
        <v>69</v>
      </c>
      <c r="H129" s="7">
        <v>23</v>
      </c>
      <c r="I129" s="28">
        <f t="shared" si="15"/>
        <v>19.55</v>
      </c>
      <c r="J129" s="28">
        <f t="shared" si="16"/>
        <v>21.849999999999998</v>
      </c>
      <c r="K129" s="22"/>
      <c r="Q129" s="96" t="s">
        <v>439</v>
      </c>
      <c r="R129" s="55" t="s">
        <v>422</v>
      </c>
      <c r="S129" s="95">
        <v>41658</v>
      </c>
      <c r="T129" s="20">
        <v>41694</v>
      </c>
      <c r="U129" s="1">
        <v>41713</v>
      </c>
      <c r="V129" s="1">
        <v>41731</v>
      </c>
      <c r="W129" s="1">
        <v>41737</v>
      </c>
      <c r="X129" s="3" t="s">
        <v>18</v>
      </c>
      <c r="Y129" s="58">
        <v>73</v>
      </c>
      <c r="Z129" s="58">
        <v>79</v>
      </c>
      <c r="AA129" s="109"/>
    </row>
    <row r="130" spans="1:27" x14ac:dyDescent="0.25">
      <c r="A130" s="22">
        <v>129</v>
      </c>
      <c r="B130" s="22">
        <v>18</v>
      </c>
      <c r="C130" s="22">
        <v>4</v>
      </c>
      <c r="D130" s="22" t="s">
        <v>501</v>
      </c>
      <c r="E130" s="31">
        <v>41373</v>
      </c>
      <c r="F130" s="58">
        <v>63</v>
      </c>
      <c r="G130" s="22">
        <v>69</v>
      </c>
      <c r="H130" s="7">
        <v>22.1</v>
      </c>
      <c r="I130" s="28">
        <f t="shared" si="15"/>
        <v>18.785</v>
      </c>
      <c r="J130" s="28">
        <f t="shared" si="16"/>
        <v>20.995000000000001</v>
      </c>
      <c r="Q130" s="107" t="s">
        <v>454</v>
      </c>
      <c r="R130" s="57" t="s">
        <v>422</v>
      </c>
      <c r="S130" s="20">
        <v>41671</v>
      </c>
      <c r="T130" s="20">
        <v>41701</v>
      </c>
      <c r="U130" s="1" t="s">
        <v>11</v>
      </c>
      <c r="V130" s="1">
        <v>41731</v>
      </c>
      <c r="W130" s="1">
        <v>41737</v>
      </c>
      <c r="X130" s="3" t="s">
        <v>19</v>
      </c>
      <c r="Y130" s="58">
        <v>60</v>
      </c>
      <c r="Z130" s="58">
        <v>66</v>
      </c>
      <c r="AA130" s="109"/>
    </row>
    <row r="131" spans="1:27" ht="14.25" customHeight="1" x14ac:dyDescent="0.25">
      <c r="A131" s="22">
        <v>130</v>
      </c>
      <c r="B131" s="22">
        <v>19</v>
      </c>
      <c r="C131" s="22">
        <v>4</v>
      </c>
      <c r="D131" s="22" t="s">
        <v>112</v>
      </c>
      <c r="E131" s="31">
        <v>41366</v>
      </c>
      <c r="F131" s="22">
        <v>70</v>
      </c>
      <c r="G131" s="22">
        <v>76</v>
      </c>
      <c r="H131" s="7">
        <v>23.4</v>
      </c>
      <c r="I131" s="28">
        <f t="shared" si="15"/>
        <v>19.889999999999997</v>
      </c>
      <c r="J131" s="28">
        <f t="shared" si="16"/>
        <v>22.229999999999997</v>
      </c>
      <c r="K131" s="22"/>
      <c r="Q131" s="103" t="s">
        <v>451</v>
      </c>
      <c r="R131" s="104" t="s">
        <v>422</v>
      </c>
      <c r="S131" s="102">
        <v>41663</v>
      </c>
      <c r="T131" s="108">
        <v>41666</v>
      </c>
      <c r="U131" s="1" t="s">
        <v>11</v>
      </c>
      <c r="V131" s="1">
        <v>41731</v>
      </c>
      <c r="W131" s="1">
        <v>41737</v>
      </c>
      <c r="X131" s="3" t="s">
        <v>20</v>
      </c>
      <c r="Y131" s="58">
        <v>68</v>
      </c>
      <c r="Z131" s="58">
        <v>74</v>
      </c>
      <c r="AA131" s="109"/>
    </row>
    <row r="132" spans="1:27" x14ac:dyDescent="0.25">
      <c r="A132" s="22">
        <v>131</v>
      </c>
      <c r="B132" s="22">
        <v>20</v>
      </c>
      <c r="C132" s="22">
        <v>4</v>
      </c>
      <c r="D132" s="22" t="s">
        <v>112</v>
      </c>
      <c r="E132" s="31">
        <v>41366</v>
      </c>
      <c r="F132" s="22">
        <v>70</v>
      </c>
      <c r="G132" s="22">
        <v>76</v>
      </c>
      <c r="H132" s="7">
        <v>21</v>
      </c>
      <c r="I132" s="28">
        <f t="shared" si="15"/>
        <v>17.849999999999998</v>
      </c>
      <c r="J132" s="28">
        <f t="shared" si="16"/>
        <v>19.95</v>
      </c>
      <c r="Q132" s="72" t="s">
        <v>455</v>
      </c>
      <c r="R132" s="55" t="s">
        <v>46</v>
      </c>
      <c r="S132" s="1">
        <v>41667</v>
      </c>
      <c r="T132" s="1">
        <v>41709</v>
      </c>
      <c r="U132" s="1">
        <v>41731</v>
      </c>
      <c r="V132" s="1">
        <v>41731</v>
      </c>
      <c r="W132" s="1">
        <v>41737</v>
      </c>
      <c r="X132" s="3" t="s">
        <v>21</v>
      </c>
      <c r="Y132" s="58">
        <v>64</v>
      </c>
      <c r="Z132" s="101">
        <v>70</v>
      </c>
      <c r="AA132" s="109"/>
    </row>
    <row r="133" spans="1:27" x14ac:dyDescent="0.25">
      <c r="A133" s="13">
        <v>132</v>
      </c>
      <c r="B133" s="13">
        <v>21</v>
      </c>
      <c r="C133" s="13">
        <v>4</v>
      </c>
      <c r="D133" s="45" t="s">
        <v>113</v>
      </c>
      <c r="E133" s="46">
        <v>41366</v>
      </c>
      <c r="F133" s="56">
        <v>70</v>
      </c>
      <c r="G133" s="13">
        <v>76</v>
      </c>
      <c r="H133" s="36">
        <v>15.5</v>
      </c>
      <c r="I133" s="36">
        <f t="shared" si="15"/>
        <v>13.174999999999999</v>
      </c>
      <c r="J133" s="36">
        <f t="shared" si="16"/>
        <v>14.725</v>
      </c>
      <c r="K133" s="22"/>
      <c r="N133" s="22"/>
      <c r="Q133" s="111" t="s">
        <v>455</v>
      </c>
      <c r="R133" s="111" t="s">
        <v>46</v>
      </c>
      <c r="S133" s="112">
        <v>41667</v>
      </c>
      <c r="T133" s="1">
        <v>41709</v>
      </c>
      <c r="U133" s="1">
        <v>41731</v>
      </c>
      <c r="V133" s="1">
        <v>41734</v>
      </c>
      <c r="W133" s="1">
        <v>41740</v>
      </c>
      <c r="X133" s="3" t="s">
        <v>14</v>
      </c>
      <c r="Y133" s="58">
        <v>67</v>
      </c>
      <c r="Z133" s="58">
        <v>73</v>
      </c>
    </row>
    <row r="134" spans="1:27" x14ac:dyDescent="0.25">
      <c r="A134" s="13">
        <v>133</v>
      </c>
      <c r="B134" s="13">
        <v>22</v>
      </c>
      <c r="C134" s="13">
        <v>4</v>
      </c>
      <c r="D134" s="45" t="s">
        <v>113</v>
      </c>
      <c r="E134" s="46">
        <v>41366</v>
      </c>
      <c r="F134" s="56">
        <v>70</v>
      </c>
      <c r="G134" s="13">
        <v>76</v>
      </c>
      <c r="H134" s="36">
        <v>15.3</v>
      </c>
      <c r="I134" s="36">
        <f t="shared" si="15"/>
        <v>13.005000000000001</v>
      </c>
      <c r="J134" s="36">
        <f t="shared" si="16"/>
        <v>14.535</v>
      </c>
      <c r="N134" s="22"/>
      <c r="Q134" s="101" t="s">
        <v>454</v>
      </c>
      <c r="R134" s="55" t="s">
        <v>422</v>
      </c>
      <c r="S134" s="14">
        <v>41671</v>
      </c>
      <c r="T134" s="14">
        <v>41701</v>
      </c>
      <c r="U134" s="1">
        <v>41731</v>
      </c>
      <c r="V134" s="1">
        <v>41734</v>
      </c>
      <c r="W134" s="1">
        <v>41740</v>
      </c>
      <c r="X134" s="3" t="s">
        <v>15</v>
      </c>
      <c r="Y134" s="58">
        <v>63</v>
      </c>
      <c r="Z134" s="58">
        <v>69</v>
      </c>
    </row>
    <row r="135" spans="1:27" x14ac:dyDescent="0.25">
      <c r="A135" s="22">
        <v>134</v>
      </c>
      <c r="B135" s="22">
        <v>23</v>
      </c>
      <c r="C135" s="22">
        <v>4</v>
      </c>
      <c r="D135" s="22" t="s">
        <v>114</v>
      </c>
      <c r="E135" s="31">
        <v>41366</v>
      </c>
      <c r="F135" s="22">
        <v>70</v>
      </c>
      <c r="G135" s="22">
        <v>76</v>
      </c>
      <c r="H135" s="7">
        <v>25.7</v>
      </c>
      <c r="I135" s="28">
        <f t="shared" si="15"/>
        <v>21.844999999999999</v>
      </c>
      <c r="J135" s="28">
        <f t="shared" si="16"/>
        <v>24.414999999999999</v>
      </c>
      <c r="K135" s="22"/>
      <c r="Q135" s="106" t="s">
        <v>423</v>
      </c>
      <c r="R135" s="72" t="s">
        <v>422</v>
      </c>
      <c r="S135" s="105">
        <v>41674</v>
      </c>
      <c r="T135" s="20">
        <v>41708</v>
      </c>
      <c r="U135" s="1">
        <v>41734</v>
      </c>
      <c r="V135" s="1">
        <v>41734</v>
      </c>
      <c r="W135" s="1">
        <v>41740</v>
      </c>
      <c r="X135" s="3" t="s">
        <v>16</v>
      </c>
      <c r="Y135" s="72">
        <v>60</v>
      </c>
      <c r="Z135" s="58">
        <v>68</v>
      </c>
    </row>
    <row r="136" spans="1:27" x14ac:dyDescent="0.25">
      <c r="A136" s="22">
        <v>135</v>
      </c>
      <c r="B136" s="22">
        <v>24</v>
      </c>
      <c r="C136" s="22">
        <v>4</v>
      </c>
      <c r="D136" s="22" t="s">
        <v>114</v>
      </c>
      <c r="E136" s="31">
        <v>41366</v>
      </c>
      <c r="F136" s="58">
        <v>70</v>
      </c>
      <c r="G136" s="22">
        <v>76</v>
      </c>
      <c r="H136" s="7">
        <v>25.9</v>
      </c>
      <c r="I136" s="28">
        <f t="shared" si="15"/>
        <v>22.014999999999997</v>
      </c>
      <c r="J136" s="28">
        <f t="shared" si="16"/>
        <v>24.604999999999997</v>
      </c>
      <c r="Q136" s="55" t="s">
        <v>457</v>
      </c>
      <c r="R136" s="72" t="s">
        <v>422</v>
      </c>
      <c r="S136" s="14">
        <v>41672</v>
      </c>
      <c r="T136" s="14">
        <v>41728</v>
      </c>
      <c r="U136" s="1" t="s">
        <v>11</v>
      </c>
      <c r="V136" s="1">
        <v>41734</v>
      </c>
      <c r="W136" s="1">
        <v>41740</v>
      </c>
      <c r="X136" s="3" t="s">
        <v>17</v>
      </c>
      <c r="Y136" s="72">
        <v>62</v>
      </c>
      <c r="Z136" s="72">
        <v>68</v>
      </c>
    </row>
    <row r="137" spans="1:27" ht="30" x14ac:dyDescent="0.25">
      <c r="A137" s="13">
        <v>136</v>
      </c>
      <c r="B137" s="13">
        <v>1</v>
      </c>
      <c r="C137" s="13">
        <v>5</v>
      </c>
      <c r="D137" s="13" t="s">
        <v>117</v>
      </c>
      <c r="E137" s="46">
        <v>41370</v>
      </c>
      <c r="F137" s="56">
        <v>79</v>
      </c>
      <c r="G137" s="13">
        <v>85</v>
      </c>
      <c r="H137" s="36">
        <v>15.3</v>
      </c>
      <c r="I137" s="36">
        <f>H137*0.85</f>
        <v>13.005000000000001</v>
      </c>
      <c r="J137" s="36">
        <f>H137*0.95</f>
        <v>14.535</v>
      </c>
      <c r="K137" s="5" t="s">
        <v>118</v>
      </c>
      <c r="L137" s="59"/>
      <c r="N137" s="99" t="s">
        <v>461</v>
      </c>
      <c r="P137" s="1"/>
      <c r="Q137" s="106" t="s">
        <v>460</v>
      </c>
      <c r="R137" s="72" t="s">
        <v>422</v>
      </c>
      <c r="S137" s="105">
        <v>41675</v>
      </c>
      <c r="T137" s="20">
        <v>41708</v>
      </c>
      <c r="U137" s="1" t="s">
        <v>11</v>
      </c>
      <c r="V137" s="1">
        <v>41734</v>
      </c>
      <c r="W137" s="1">
        <v>41740</v>
      </c>
      <c r="X137" s="3" t="s">
        <v>18</v>
      </c>
      <c r="Y137" s="58">
        <v>59</v>
      </c>
      <c r="Z137" s="58">
        <v>65</v>
      </c>
    </row>
    <row r="138" spans="1:27" x14ac:dyDescent="0.25">
      <c r="A138" s="13">
        <v>137</v>
      </c>
      <c r="B138" s="13">
        <v>2</v>
      </c>
      <c r="C138" s="13">
        <v>5</v>
      </c>
      <c r="D138" s="13" t="s">
        <v>117</v>
      </c>
      <c r="E138" s="46">
        <v>41370</v>
      </c>
      <c r="F138" s="56">
        <v>79</v>
      </c>
      <c r="G138" s="13">
        <v>85</v>
      </c>
      <c r="H138" s="36">
        <v>16.8</v>
      </c>
      <c r="I138" s="36">
        <f>H138*0.85</f>
        <v>14.28</v>
      </c>
      <c r="J138" s="36">
        <f>H138*0.95</f>
        <v>15.959999999999999</v>
      </c>
      <c r="K138" s="5" t="s">
        <v>119</v>
      </c>
      <c r="L138" s="59"/>
      <c r="N138" s="99" t="s">
        <v>461</v>
      </c>
      <c r="Q138" s="101" t="s">
        <v>450</v>
      </c>
      <c r="R138" s="55" t="s">
        <v>422</v>
      </c>
      <c r="S138" s="14">
        <v>41666</v>
      </c>
      <c r="T138" s="14">
        <v>41701</v>
      </c>
      <c r="U138" s="1">
        <v>41731</v>
      </c>
      <c r="V138" s="1">
        <v>41734</v>
      </c>
      <c r="W138" s="1">
        <v>41740</v>
      </c>
      <c r="X138" s="3" t="s">
        <v>19</v>
      </c>
      <c r="Y138" s="58">
        <v>68</v>
      </c>
      <c r="Z138" s="58">
        <v>74</v>
      </c>
    </row>
    <row r="139" spans="1:27" ht="30" x14ac:dyDescent="0.25">
      <c r="A139" s="13">
        <v>138</v>
      </c>
      <c r="B139" s="13">
        <v>3</v>
      </c>
      <c r="C139" s="13">
        <v>5</v>
      </c>
      <c r="D139" s="13" t="s">
        <v>116</v>
      </c>
      <c r="E139" s="46">
        <v>41372</v>
      </c>
      <c r="F139" s="56">
        <v>77</v>
      </c>
      <c r="G139" s="13">
        <v>83</v>
      </c>
      <c r="H139" s="36">
        <v>17.2</v>
      </c>
      <c r="I139" s="36">
        <f>H139*0.85</f>
        <v>14.62</v>
      </c>
      <c r="J139" s="36">
        <f>H139*0.95</f>
        <v>16.34</v>
      </c>
      <c r="K139" s="5" t="s">
        <v>124</v>
      </c>
      <c r="L139" s="59"/>
      <c r="N139" s="99" t="s">
        <v>461</v>
      </c>
      <c r="P139" s="15" t="s">
        <v>459</v>
      </c>
      <c r="Q139" s="126" t="s">
        <v>458</v>
      </c>
      <c r="R139" s="116" t="s">
        <v>422</v>
      </c>
      <c r="S139" s="125">
        <v>41686</v>
      </c>
      <c r="T139" s="125">
        <v>41722</v>
      </c>
      <c r="U139" s="118">
        <v>41731</v>
      </c>
      <c r="V139" s="20">
        <v>41734</v>
      </c>
      <c r="W139" s="1">
        <v>41740</v>
      </c>
      <c r="X139" s="3" t="s">
        <v>20</v>
      </c>
      <c r="Y139" s="58">
        <v>48</v>
      </c>
      <c r="Z139" s="58">
        <v>54</v>
      </c>
    </row>
    <row r="140" spans="1:27" ht="30" x14ac:dyDescent="0.25">
      <c r="A140" s="13">
        <v>140</v>
      </c>
      <c r="B140" s="13">
        <v>5</v>
      </c>
      <c r="C140" s="13">
        <v>5</v>
      </c>
      <c r="D140" s="13" t="s">
        <v>135</v>
      </c>
      <c r="E140" s="46">
        <v>41384</v>
      </c>
      <c r="F140" s="56">
        <v>65</v>
      </c>
      <c r="G140" s="13">
        <v>71</v>
      </c>
      <c r="H140" s="36">
        <v>28.3</v>
      </c>
      <c r="I140" s="36">
        <f t="shared" ref="I140:I153" si="17">H140*0.85</f>
        <v>24.055</v>
      </c>
      <c r="J140" s="36">
        <f t="shared" ref="J140:J153" si="18">H140*0.95</f>
        <v>26.884999999999998</v>
      </c>
      <c r="Q140" s="120" t="s">
        <v>452</v>
      </c>
      <c r="R140" s="116" t="s">
        <v>422</v>
      </c>
      <c r="S140" s="121">
        <v>41674</v>
      </c>
      <c r="T140" s="118">
        <v>41708</v>
      </c>
      <c r="U140" s="118">
        <v>41731</v>
      </c>
      <c r="V140" s="20">
        <v>41734</v>
      </c>
      <c r="W140" s="1">
        <v>41740</v>
      </c>
      <c r="X140" s="3" t="s">
        <v>21</v>
      </c>
      <c r="Y140" s="58">
        <v>60</v>
      </c>
      <c r="Z140" s="58">
        <v>66</v>
      </c>
    </row>
    <row r="141" spans="1:27" x14ac:dyDescent="0.25">
      <c r="A141" s="13">
        <v>141</v>
      </c>
      <c r="B141" s="13">
        <v>6</v>
      </c>
      <c r="C141" s="13">
        <v>5</v>
      </c>
      <c r="D141" s="13" t="s">
        <v>135</v>
      </c>
      <c r="E141" s="46">
        <v>41384</v>
      </c>
      <c r="F141" s="56">
        <v>65</v>
      </c>
      <c r="G141" s="13">
        <v>71</v>
      </c>
      <c r="H141" s="36">
        <v>31</v>
      </c>
      <c r="I141" s="36">
        <f t="shared" si="17"/>
        <v>26.349999999999998</v>
      </c>
      <c r="J141" s="36">
        <f t="shared" si="18"/>
        <v>29.45</v>
      </c>
      <c r="P141" s="15" t="s">
        <v>459</v>
      </c>
      <c r="Q141" s="124" t="s">
        <v>439</v>
      </c>
      <c r="R141" s="116" t="s">
        <v>422</v>
      </c>
      <c r="S141" s="123">
        <v>41689</v>
      </c>
      <c r="T141" s="125">
        <v>41722</v>
      </c>
      <c r="U141" s="127" t="s">
        <v>11</v>
      </c>
      <c r="V141" s="1">
        <v>41738</v>
      </c>
      <c r="W141" s="1">
        <v>41744</v>
      </c>
      <c r="X141" s="3" t="s">
        <v>14</v>
      </c>
      <c r="Y141" s="58">
        <v>49</v>
      </c>
      <c r="Z141" s="58">
        <v>55</v>
      </c>
    </row>
    <row r="142" spans="1:27" x14ac:dyDescent="0.25">
      <c r="A142" s="22">
        <v>142</v>
      </c>
      <c r="B142">
        <v>7</v>
      </c>
      <c r="C142" s="22">
        <v>5</v>
      </c>
      <c r="D142" s="6" t="s">
        <v>173</v>
      </c>
      <c r="E142" s="31">
        <v>41387</v>
      </c>
      <c r="F142" s="22">
        <v>63</v>
      </c>
      <c r="G142" s="22">
        <v>69</v>
      </c>
      <c r="H142" s="7">
        <v>23.3</v>
      </c>
      <c r="I142" s="28">
        <f t="shared" si="17"/>
        <v>19.805</v>
      </c>
      <c r="J142" s="28">
        <f t="shared" si="18"/>
        <v>22.134999999999998</v>
      </c>
      <c r="P142" s="15" t="s">
        <v>459</v>
      </c>
      <c r="Q142" s="126" t="s">
        <v>462</v>
      </c>
      <c r="R142" s="116" t="s">
        <v>422</v>
      </c>
      <c r="S142" s="125">
        <v>41682</v>
      </c>
      <c r="T142" s="125">
        <v>41722</v>
      </c>
      <c r="U142" s="127" t="s">
        <v>11</v>
      </c>
      <c r="V142" s="1">
        <v>41738</v>
      </c>
      <c r="W142" s="1">
        <v>41744</v>
      </c>
      <c r="X142" s="3" t="s">
        <v>465</v>
      </c>
      <c r="Y142" s="58">
        <v>56</v>
      </c>
      <c r="Z142" s="58">
        <v>62</v>
      </c>
    </row>
    <row r="143" spans="1:27" ht="30" x14ac:dyDescent="0.25">
      <c r="A143" s="22">
        <v>143</v>
      </c>
      <c r="B143">
        <v>8</v>
      </c>
      <c r="C143" s="22">
        <v>5</v>
      </c>
      <c r="D143" s="6" t="s">
        <v>173</v>
      </c>
      <c r="E143" s="31">
        <v>41387</v>
      </c>
      <c r="F143" s="22">
        <v>63</v>
      </c>
      <c r="G143" s="22">
        <v>69</v>
      </c>
      <c r="H143" s="7">
        <v>24.5</v>
      </c>
      <c r="I143" s="28">
        <f t="shared" si="17"/>
        <v>20.824999999999999</v>
      </c>
      <c r="J143" s="28">
        <f t="shared" si="18"/>
        <v>23.274999999999999</v>
      </c>
      <c r="K143" s="3"/>
      <c r="P143" s="15" t="s">
        <v>459</v>
      </c>
      <c r="Q143" s="126" t="s">
        <v>458</v>
      </c>
      <c r="R143" s="116" t="s">
        <v>422</v>
      </c>
      <c r="S143" s="125">
        <v>41686</v>
      </c>
      <c r="T143" s="125">
        <v>41722</v>
      </c>
      <c r="U143" s="125">
        <v>41722</v>
      </c>
      <c r="V143" s="1">
        <v>41738</v>
      </c>
      <c r="W143" s="1">
        <v>41744</v>
      </c>
      <c r="X143" s="3" t="s">
        <v>466</v>
      </c>
      <c r="Y143" s="58">
        <v>52</v>
      </c>
      <c r="Z143" s="58">
        <v>58</v>
      </c>
    </row>
    <row r="144" spans="1:27" x14ac:dyDescent="0.25">
      <c r="A144" s="22">
        <v>144</v>
      </c>
      <c r="B144">
        <v>9</v>
      </c>
      <c r="C144" s="22">
        <v>5</v>
      </c>
      <c r="D144" s="6" t="s">
        <v>188</v>
      </c>
      <c r="E144" s="31">
        <v>41387</v>
      </c>
      <c r="F144" s="22">
        <v>63</v>
      </c>
      <c r="G144" s="22">
        <v>69</v>
      </c>
      <c r="H144" s="7">
        <v>29.8</v>
      </c>
      <c r="I144" s="28">
        <f t="shared" si="17"/>
        <v>25.33</v>
      </c>
      <c r="J144" s="28">
        <f t="shared" si="18"/>
        <v>28.31</v>
      </c>
      <c r="K144" s="3"/>
      <c r="Q144" s="107" t="s">
        <v>464</v>
      </c>
      <c r="R144" s="116" t="s">
        <v>422</v>
      </c>
      <c r="S144" s="118">
        <v>41670</v>
      </c>
      <c r="T144" s="118">
        <v>41701</v>
      </c>
      <c r="U144" s="127" t="s">
        <v>11</v>
      </c>
      <c r="V144" s="1">
        <v>41738</v>
      </c>
      <c r="W144" s="1">
        <v>41744</v>
      </c>
      <c r="X144" s="3" t="s">
        <v>18</v>
      </c>
      <c r="Y144" s="58">
        <v>68</v>
      </c>
      <c r="Z144" s="58">
        <v>74</v>
      </c>
      <c r="AA144" s="59" t="s">
        <v>470</v>
      </c>
    </row>
    <row r="145" spans="1:35" x14ac:dyDescent="0.25">
      <c r="A145" s="22">
        <v>145</v>
      </c>
      <c r="B145">
        <v>10</v>
      </c>
      <c r="C145" s="22">
        <v>5</v>
      </c>
      <c r="D145" s="6" t="s">
        <v>188</v>
      </c>
      <c r="E145" s="31">
        <v>41387</v>
      </c>
      <c r="F145" s="22">
        <v>63</v>
      </c>
      <c r="G145" s="22">
        <v>69</v>
      </c>
      <c r="H145" s="7">
        <v>25.1</v>
      </c>
      <c r="I145" s="28">
        <f t="shared" si="17"/>
        <v>21.335000000000001</v>
      </c>
      <c r="J145" s="28">
        <f t="shared" si="18"/>
        <v>23.844999999999999</v>
      </c>
      <c r="P145" s="15" t="s">
        <v>459</v>
      </c>
      <c r="Q145" s="124" t="s">
        <v>463</v>
      </c>
      <c r="R145" s="116" t="s">
        <v>422</v>
      </c>
      <c r="S145" s="123">
        <v>41689</v>
      </c>
      <c r="T145" s="125">
        <v>41722</v>
      </c>
      <c r="U145" s="127" t="s">
        <v>11</v>
      </c>
      <c r="V145" s="1">
        <v>41738</v>
      </c>
      <c r="W145" s="1">
        <v>41744</v>
      </c>
      <c r="X145" s="3" t="s">
        <v>444</v>
      </c>
      <c r="Y145" s="58">
        <v>49</v>
      </c>
      <c r="Z145" s="58">
        <v>55</v>
      </c>
    </row>
    <row r="146" spans="1:35" x14ac:dyDescent="0.25">
      <c r="A146">
        <v>146</v>
      </c>
      <c r="B146">
        <v>11</v>
      </c>
      <c r="C146">
        <v>5</v>
      </c>
      <c r="D146" s="6" t="s">
        <v>122</v>
      </c>
      <c r="E146" s="1">
        <v>41393</v>
      </c>
      <c r="F146" s="22">
        <v>59</v>
      </c>
      <c r="G146" s="22">
        <v>65</v>
      </c>
      <c r="H146" s="7">
        <v>20.2</v>
      </c>
      <c r="I146" s="28">
        <f t="shared" si="17"/>
        <v>17.169999999999998</v>
      </c>
      <c r="J146" s="28">
        <f t="shared" si="18"/>
        <v>19.189999999999998</v>
      </c>
      <c r="Q146" s="116" t="s">
        <v>145</v>
      </c>
      <c r="R146" s="116" t="s">
        <v>46</v>
      </c>
      <c r="S146" s="118">
        <v>41662</v>
      </c>
      <c r="T146" s="118">
        <v>41702</v>
      </c>
      <c r="U146" s="127" t="s">
        <v>11</v>
      </c>
      <c r="V146" s="1">
        <v>41738</v>
      </c>
      <c r="W146" s="1">
        <v>41744</v>
      </c>
      <c r="X146" s="3" t="s">
        <v>467</v>
      </c>
      <c r="Y146" s="55">
        <v>76</v>
      </c>
      <c r="Z146" s="106">
        <v>82</v>
      </c>
      <c r="AA146" s="105"/>
      <c r="AB146" s="72"/>
      <c r="AC146" s="55"/>
      <c r="AD146" s="57"/>
      <c r="AE146" s="57"/>
      <c r="AF146" s="57"/>
      <c r="AG146" s="57"/>
      <c r="AH146" s="57"/>
    </row>
    <row r="147" spans="1:35" x14ac:dyDescent="0.25">
      <c r="A147">
        <v>147</v>
      </c>
      <c r="B147" s="22">
        <v>12</v>
      </c>
      <c r="C147" s="22">
        <v>5</v>
      </c>
      <c r="D147" s="6" t="s">
        <v>122</v>
      </c>
      <c r="E147" s="1">
        <v>41393</v>
      </c>
      <c r="F147" s="22">
        <v>59</v>
      </c>
      <c r="G147" s="22">
        <v>65</v>
      </c>
      <c r="H147" s="7">
        <v>20.399999999999999</v>
      </c>
      <c r="I147" s="28">
        <f t="shared" si="17"/>
        <v>17.34</v>
      </c>
      <c r="J147" s="28">
        <f t="shared" si="18"/>
        <v>19.38</v>
      </c>
      <c r="K147" s="22"/>
      <c r="Q147" s="120" t="s">
        <v>423</v>
      </c>
      <c r="R147" s="116" t="s">
        <v>422</v>
      </c>
      <c r="S147" s="121">
        <v>41674</v>
      </c>
      <c r="T147" s="118">
        <v>41708</v>
      </c>
      <c r="U147" s="127" t="s">
        <v>468</v>
      </c>
      <c r="V147" s="1">
        <v>41738</v>
      </c>
      <c r="W147" s="1">
        <v>41744</v>
      </c>
      <c r="X147" s="87" t="s">
        <v>469</v>
      </c>
      <c r="Y147" s="55">
        <v>64</v>
      </c>
      <c r="Z147" s="106">
        <v>70</v>
      </c>
      <c r="AA147" s="105"/>
      <c r="AB147" s="72"/>
      <c r="AC147" s="55"/>
      <c r="AD147" s="110"/>
      <c r="AE147" s="115"/>
      <c r="AF147" s="57"/>
      <c r="AG147" s="57"/>
      <c r="AH147" s="57"/>
      <c r="AI147" s="58"/>
    </row>
    <row r="148" spans="1:35" x14ac:dyDescent="0.25">
      <c r="A148">
        <v>148</v>
      </c>
      <c r="B148" s="22">
        <v>13</v>
      </c>
      <c r="C148" s="22">
        <v>5</v>
      </c>
      <c r="D148" s="6" t="s">
        <v>123</v>
      </c>
      <c r="E148" s="1">
        <v>41401</v>
      </c>
      <c r="F148" s="22">
        <v>51</v>
      </c>
      <c r="G148" s="22">
        <v>57</v>
      </c>
      <c r="H148" s="7">
        <v>21.8</v>
      </c>
      <c r="I148" s="28">
        <f t="shared" si="17"/>
        <v>18.53</v>
      </c>
      <c r="J148" s="28">
        <f t="shared" si="18"/>
        <v>20.71</v>
      </c>
      <c r="K148" s="22"/>
      <c r="L148" s="22"/>
      <c r="Q148" s="72" t="s">
        <v>506</v>
      </c>
      <c r="R148" s="116" t="s">
        <v>46</v>
      </c>
      <c r="S148" s="1">
        <v>41730</v>
      </c>
      <c r="T148" s="1">
        <v>41779</v>
      </c>
      <c r="U148" s="127"/>
      <c r="V148" s="20">
        <v>41826</v>
      </c>
      <c r="W148" s="95">
        <v>41832</v>
      </c>
      <c r="X148" s="20" t="s">
        <v>509</v>
      </c>
      <c r="Y148" s="72">
        <v>96</v>
      </c>
      <c r="Z148" s="72">
        <v>102</v>
      </c>
      <c r="AB148" s="20"/>
      <c r="AC148" s="114"/>
      <c r="AD148" s="110"/>
      <c r="AE148" s="115"/>
      <c r="AF148" s="57"/>
      <c r="AG148" s="57"/>
      <c r="AH148" s="57"/>
      <c r="AI148" s="58"/>
    </row>
    <row r="149" spans="1:35" x14ac:dyDescent="0.25">
      <c r="A149">
        <v>149</v>
      </c>
      <c r="B149" s="22">
        <v>14</v>
      </c>
      <c r="C149" s="22">
        <v>5</v>
      </c>
      <c r="D149" s="6" t="s">
        <v>123</v>
      </c>
      <c r="E149" s="1">
        <v>41401</v>
      </c>
      <c r="F149" s="22">
        <v>51</v>
      </c>
      <c r="G149" s="22">
        <v>57</v>
      </c>
      <c r="H149" s="7">
        <v>22.2</v>
      </c>
      <c r="I149" s="28">
        <f t="shared" si="17"/>
        <v>18.869999999999997</v>
      </c>
      <c r="J149" s="28">
        <f t="shared" si="18"/>
        <v>21.09</v>
      </c>
      <c r="K149" s="22"/>
      <c r="L149" s="22"/>
      <c r="Q149" s="72" t="s">
        <v>490</v>
      </c>
      <c r="R149" s="116" t="s">
        <v>422</v>
      </c>
      <c r="S149" s="1">
        <v>41743</v>
      </c>
      <c r="T149" s="1">
        <v>41786</v>
      </c>
      <c r="U149" s="127"/>
      <c r="V149" s="20">
        <v>41826</v>
      </c>
      <c r="W149" s="95">
        <v>41834</v>
      </c>
      <c r="X149" s="3" t="s">
        <v>121</v>
      </c>
      <c r="Y149" s="72">
        <v>83</v>
      </c>
      <c r="Z149" s="72">
        <v>89</v>
      </c>
      <c r="AB149" s="20"/>
      <c r="AC149" s="114"/>
      <c r="AD149" s="110"/>
      <c r="AE149" s="115"/>
      <c r="AF149" s="106"/>
      <c r="AG149" s="106"/>
      <c r="AH149" s="57"/>
      <c r="AI149" s="58"/>
    </row>
    <row r="150" spans="1:35" x14ac:dyDescent="0.25">
      <c r="A150" s="22">
        <v>150</v>
      </c>
      <c r="B150" s="22">
        <v>1</v>
      </c>
      <c r="C150" s="22">
        <v>6</v>
      </c>
      <c r="D150" s="6" t="s">
        <v>136</v>
      </c>
      <c r="E150" s="1">
        <v>41388</v>
      </c>
      <c r="F150" s="22">
        <v>69</v>
      </c>
      <c r="G150" s="22">
        <v>75</v>
      </c>
      <c r="H150" s="7">
        <v>23.5</v>
      </c>
      <c r="I150" s="28">
        <f t="shared" si="17"/>
        <v>19.974999999999998</v>
      </c>
      <c r="J150" s="28">
        <f t="shared" si="18"/>
        <v>22.324999999999999</v>
      </c>
      <c r="K150" s="22"/>
      <c r="L150" s="22"/>
      <c r="Q150" s="72" t="s">
        <v>489</v>
      </c>
      <c r="R150" s="116" t="s">
        <v>422</v>
      </c>
      <c r="S150" s="1">
        <v>41771</v>
      </c>
      <c r="T150" s="1">
        <v>41799</v>
      </c>
      <c r="V150" s="20">
        <v>41826</v>
      </c>
      <c r="W150" s="95">
        <v>41835</v>
      </c>
      <c r="X150" s="3" t="s">
        <v>510</v>
      </c>
      <c r="Y150" s="72">
        <v>55</v>
      </c>
      <c r="Z150" s="72">
        <v>61</v>
      </c>
      <c r="AB150" s="20"/>
      <c r="AC150" s="114"/>
      <c r="AD150" s="110"/>
      <c r="AE150" s="115"/>
      <c r="AF150" s="57"/>
      <c r="AG150" s="57"/>
      <c r="AH150" s="57"/>
      <c r="AI150" s="58"/>
    </row>
    <row r="151" spans="1:35" x14ac:dyDescent="0.25">
      <c r="A151" s="22">
        <v>151</v>
      </c>
      <c r="B151" s="22">
        <v>2</v>
      </c>
      <c r="C151" s="22">
        <v>6</v>
      </c>
      <c r="D151" s="6" t="s">
        <v>136</v>
      </c>
      <c r="E151" s="1">
        <v>41388</v>
      </c>
      <c r="F151" s="22">
        <v>69</v>
      </c>
      <c r="G151" s="22">
        <v>75</v>
      </c>
      <c r="H151" s="7">
        <v>25</v>
      </c>
      <c r="I151" s="28">
        <f t="shared" si="17"/>
        <v>21.25</v>
      </c>
      <c r="J151" s="28">
        <f t="shared" si="18"/>
        <v>23.75</v>
      </c>
      <c r="L151" s="2"/>
      <c r="Q151" s="116" t="s">
        <v>507</v>
      </c>
      <c r="R151" s="116" t="s">
        <v>46</v>
      </c>
      <c r="S151" s="1">
        <v>41733</v>
      </c>
      <c r="T151" s="1">
        <v>41772</v>
      </c>
      <c r="U151" s="1">
        <v>41826</v>
      </c>
      <c r="V151" s="20">
        <v>41826</v>
      </c>
      <c r="W151" s="95">
        <v>41836</v>
      </c>
      <c r="X151" s="3" t="s">
        <v>16</v>
      </c>
      <c r="Y151" s="72">
        <v>93</v>
      </c>
      <c r="Z151" s="72">
        <v>99</v>
      </c>
      <c r="AB151" s="20"/>
      <c r="AC151" s="114"/>
      <c r="AD151" s="110"/>
      <c r="AE151" s="115"/>
      <c r="AF151" s="106"/>
      <c r="AG151" s="106"/>
      <c r="AH151" s="57"/>
      <c r="AI151" s="58"/>
    </row>
    <row r="152" spans="1:35" x14ac:dyDescent="0.25">
      <c r="A152" s="22">
        <v>152</v>
      </c>
      <c r="B152" s="22">
        <v>3</v>
      </c>
      <c r="C152" s="22">
        <v>6</v>
      </c>
      <c r="D152" s="6" t="s">
        <v>125</v>
      </c>
      <c r="E152" s="1">
        <v>41392</v>
      </c>
      <c r="F152" s="22">
        <v>65</v>
      </c>
      <c r="G152" s="22">
        <v>71</v>
      </c>
      <c r="H152" s="7">
        <v>23.6</v>
      </c>
      <c r="I152" s="28">
        <f t="shared" si="17"/>
        <v>20.060000000000002</v>
      </c>
      <c r="J152" s="28">
        <f t="shared" si="18"/>
        <v>22.42</v>
      </c>
      <c r="M152" s="72"/>
      <c r="Q152" s="72" t="s">
        <v>186</v>
      </c>
      <c r="R152" s="116" t="s">
        <v>422</v>
      </c>
      <c r="S152" s="1">
        <v>41693</v>
      </c>
      <c r="T152" s="138">
        <v>41730</v>
      </c>
      <c r="U152" s="1">
        <v>41826</v>
      </c>
      <c r="V152" s="20">
        <v>41826</v>
      </c>
      <c r="W152" s="95">
        <v>41838</v>
      </c>
      <c r="X152" s="3" t="s">
        <v>17</v>
      </c>
      <c r="Y152" s="72">
        <v>133</v>
      </c>
      <c r="Z152" s="72">
        <v>139</v>
      </c>
      <c r="AB152" s="20"/>
      <c r="AC152" s="114"/>
      <c r="AD152" s="110"/>
      <c r="AE152" s="115"/>
      <c r="AF152" s="57"/>
      <c r="AG152" s="57"/>
      <c r="AH152" s="57"/>
      <c r="AI152" s="58"/>
    </row>
    <row r="153" spans="1:35" x14ac:dyDescent="0.25">
      <c r="A153" s="22">
        <v>153</v>
      </c>
      <c r="B153" s="22">
        <v>4</v>
      </c>
      <c r="C153" s="22">
        <v>6</v>
      </c>
      <c r="D153" s="6" t="s">
        <v>125</v>
      </c>
      <c r="E153" s="1">
        <v>41390</v>
      </c>
      <c r="F153" s="22">
        <v>67</v>
      </c>
      <c r="G153" s="22">
        <v>73</v>
      </c>
      <c r="H153" s="7">
        <v>20.2</v>
      </c>
      <c r="I153" s="28">
        <f t="shared" si="17"/>
        <v>17.169999999999998</v>
      </c>
      <c r="J153" s="28">
        <f t="shared" si="18"/>
        <v>19.189999999999998</v>
      </c>
      <c r="Q153" s="116" t="s">
        <v>504</v>
      </c>
      <c r="R153" s="116" t="s">
        <v>422</v>
      </c>
      <c r="S153" s="118">
        <v>41772</v>
      </c>
      <c r="T153" s="1">
        <v>41799</v>
      </c>
      <c r="U153" s="1">
        <v>41826</v>
      </c>
      <c r="V153" s="20">
        <v>41826</v>
      </c>
      <c r="W153" s="95">
        <v>41840</v>
      </c>
      <c r="X153" s="3" t="s">
        <v>18</v>
      </c>
      <c r="Y153" s="72">
        <v>54</v>
      </c>
      <c r="Z153" s="72">
        <v>60</v>
      </c>
      <c r="AB153" s="57"/>
    </row>
    <row r="154" spans="1:35" x14ac:dyDescent="0.25">
      <c r="A154" s="22">
        <v>154</v>
      </c>
      <c r="B154" s="22">
        <v>5</v>
      </c>
      <c r="C154" s="22">
        <v>6</v>
      </c>
      <c r="D154" s="6" t="s">
        <v>141</v>
      </c>
      <c r="E154" s="1">
        <v>41399</v>
      </c>
      <c r="F154" s="22">
        <v>72</v>
      </c>
      <c r="G154">
        <v>78</v>
      </c>
      <c r="H154" s="7">
        <v>32.9</v>
      </c>
      <c r="I154" s="28">
        <f t="shared" ref="I154:I162" si="19">H154*0.85</f>
        <v>27.964999999999996</v>
      </c>
      <c r="J154" s="28">
        <f t="shared" ref="J154:J162" si="20">H154*0.95</f>
        <v>31.254999999999995</v>
      </c>
      <c r="Q154" s="116" t="s">
        <v>505</v>
      </c>
      <c r="R154" s="116" t="s">
        <v>46</v>
      </c>
      <c r="S154" s="1">
        <v>41667</v>
      </c>
      <c r="T154" s="1">
        <v>41744</v>
      </c>
      <c r="U154" s="1">
        <v>41826</v>
      </c>
      <c r="V154" s="20">
        <v>41826</v>
      </c>
      <c r="W154" s="95">
        <v>41842</v>
      </c>
      <c r="X154" s="3" t="s">
        <v>19</v>
      </c>
      <c r="Y154" s="72">
        <v>159</v>
      </c>
      <c r="Z154" s="72">
        <v>165</v>
      </c>
      <c r="AB154" s="57"/>
    </row>
    <row r="155" spans="1:35" x14ac:dyDescent="0.25">
      <c r="A155" s="22">
        <v>155</v>
      </c>
      <c r="B155" s="22">
        <v>6</v>
      </c>
      <c r="C155" s="22">
        <v>6</v>
      </c>
      <c r="D155" s="6" t="s">
        <v>141</v>
      </c>
      <c r="E155" s="1">
        <v>41399</v>
      </c>
      <c r="F155" s="22">
        <v>72</v>
      </c>
      <c r="G155">
        <v>78</v>
      </c>
      <c r="H155" s="7">
        <v>29.8</v>
      </c>
      <c r="I155" s="28">
        <f t="shared" si="19"/>
        <v>25.33</v>
      </c>
      <c r="J155" s="28">
        <f t="shared" si="20"/>
        <v>28.31</v>
      </c>
      <c r="L155" s="22"/>
      <c r="Q155" s="116" t="s">
        <v>505</v>
      </c>
      <c r="R155" s="116" t="s">
        <v>46</v>
      </c>
      <c r="S155" s="1">
        <v>41698</v>
      </c>
      <c r="T155" s="1">
        <v>41744</v>
      </c>
      <c r="U155" s="58" t="s">
        <v>508</v>
      </c>
      <c r="V155" s="20">
        <v>41826</v>
      </c>
      <c r="W155" s="95">
        <v>41844</v>
      </c>
      <c r="X155" s="3" t="s">
        <v>163</v>
      </c>
      <c r="Y155" s="72">
        <v>128</v>
      </c>
      <c r="Z155" s="72">
        <v>134</v>
      </c>
      <c r="AB155"/>
    </row>
    <row r="156" spans="1:35" x14ac:dyDescent="0.25">
      <c r="A156" s="13">
        <v>156</v>
      </c>
      <c r="B156" s="13">
        <v>7</v>
      </c>
      <c r="C156" s="13">
        <v>6</v>
      </c>
      <c r="D156" s="13" t="s">
        <v>140</v>
      </c>
      <c r="E156" s="45">
        <v>41405</v>
      </c>
      <c r="F156" s="56">
        <v>66</v>
      </c>
      <c r="G156" s="13">
        <v>72</v>
      </c>
      <c r="H156" s="36">
        <v>18</v>
      </c>
      <c r="I156" s="36">
        <f t="shared" si="19"/>
        <v>15.299999999999999</v>
      </c>
      <c r="J156" s="36">
        <f t="shared" si="20"/>
        <v>17.099999999999998</v>
      </c>
      <c r="K156" t="s">
        <v>143</v>
      </c>
      <c r="L156" s="22"/>
      <c r="Q156" s="116" t="s">
        <v>507</v>
      </c>
      <c r="R156" s="116" t="s">
        <v>46</v>
      </c>
      <c r="S156" s="1">
        <v>41739</v>
      </c>
      <c r="T156" s="1">
        <v>41772</v>
      </c>
      <c r="U156" s="1">
        <v>41826</v>
      </c>
      <c r="V156" s="20">
        <v>41826</v>
      </c>
      <c r="W156" s="95">
        <v>41845</v>
      </c>
      <c r="X156" s="3" t="s">
        <v>511</v>
      </c>
      <c r="Y156" s="72">
        <v>87</v>
      </c>
      <c r="Z156" s="72">
        <v>93</v>
      </c>
      <c r="AA156" s="15" t="s">
        <v>503</v>
      </c>
      <c r="AB156"/>
      <c r="AC156"/>
    </row>
    <row r="157" spans="1:35" x14ac:dyDescent="0.25">
      <c r="A157" s="22">
        <v>158</v>
      </c>
      <c r="B157" s="22">
        <v>9</v>
      </c>
      <c r="C157" s="22">
        <v>6</v>
      </c>
      <c r="D157" s="6" t="s">
        <v>171</v>
      </c>
      <c r="E157" s="1">
        <v>41395</v>
      </c>
      <c r="F157" s="22">
        <v>76</v>
      </c>
      <c r="G157" s="6">
        <v>82</v>
      </c>
      <c r="H157" s="28">
        <v>24.3</v>
      </c>
      <c r="I157" s="28">
        <f t="shared" si="19"/>
        <v>20.655000000000001</v>
      </c>
      <c r="J157" s="28">
        <f t="shared" si="20"/>
        <v>23.085000000000001</v>
      </c>
      <c r="L157" s="22"/>
      <c r="Q157" s="72"/>
      <c r="R157" s="116"/>
      <c r="S157" s="1"/>
      <c r="T157" s="1"/>
      <c r="V157" s="20"/>
      <c r="W157" s="95"/>
      <c r="X157" s="3"/>
      <c r="Y157" s="72"/>
      <c r="Z157" s="72"/>
      <c r="AB157"/>
      <c r="AC157"/>
    </row>
    <row r="158" spans="1:35" x14ac:dyDescent="0.25">
      <c r="A158" s="22">
        <v>159</v>
      </c>
      <c r="B158" s="22">
        <v>10</v>
      </c>
      <c r="C158" s="22">
        <v>6</v>
      </c>
      <c r="D158" s="6" t="s">
        <v>171</v>
      </c>
      <c r="E158" s="1">
        <v>41395</v>
      </c>
      <c r="F158" s="22">
        <v>76</v>
      </c>
      <c r="G158" s="22">
        <v>82</v>
      </c>
      <c r="H158" s="33">
        <v>24.2</v>
      </c>
      <c r="I158" s="28">
        <f t="shared" si="19"/>
        <v>20.57</v>
      </c>
      <c r="J158" s="28">
        <f t="shared" si="20"/>
        <v>22.99</v>
      </c>
      <c r="L158" s="22"/>
      <c r="AB158"/>
      <c r="AC158"/>
    </row>
    <row r="159" spans="1:35" x14ac:dyDescent="0.25">
      <c r="A159" s="22">
        <v>160</v>
      </c>
      <c r="B159" s="22">
        <v>11</v>
      </c>
      <c r="C159" s="22">
        <v>6</v>
      </c>
      <c r="D159" s="6" t="s">
        <v>171</v>
      </c>
      <c r="E159" s="1">
        <v>41395</v>
      </c>
      <c r="F159" s="22">
        <v>76</v>
      </c>
      <c r="G159">
        <v>82</v>
      </c>
      <c r="H159" s="28">
        <v>24.4</v>
      </c>
      <c r="I159" s="28">
        <f t="shared" si="19"/>
        <v>20.74</v>
      </c>
      <c r="J159" s="28">
        <f t="shared" si="20"/>
        <v>23.179999999999996</v>
      </c>
      <c r="L159" s="22"/>
      <c r="AB159"/>
      <c r="AC159"/>
    </row>
    <row r="160" spans="1:35" x14ac:dyDescent="0.25">
      <c r="A160" s="22">
        <v>161</v>
      </c>
      <c r="B160" s="22">
        <v>12</v>
      </c>
      <c r="C160" s="22">
        <v>6</v>
      </c>
      <c r="D160" s="6" t="s">
        <v>145</v>
      </c>
      <c r="E160" s="1">
        <v>41408</v>
      </c>
      <c r="F160" s="58">
        <v>70</v>
      </c>
      <c r="G160" s="22">
        <v>76</v>
      </c>
      <c r="H160" s="28">
        <v>25.9</v>
      </c>
      <c r="I160" s="28">
        <f t="shared" si="19"/>
        <v>22.014999999999997</v>
      </c>
      <c r="J160" s="28">
        <f t="shared" si="20"/>
        <v>24.604999999999997</v>
      </c>
      <c r="K160" s="3"/>
      <c r="L160" s="22"/>
      <c r="AC160"/>
    </row>
    <row r="161" spans="1:29" x14ac:dyDescent="0.25">
      <c r="A161" s="22">
        <v>162</v>
      </c>
      <c r="B161" s="22">
        <v>13</v>
      </c>
      <c r="C161" s="22">
        <v>6</v>
      </c>
      <c r="D161" s="6" t="s">
        <v>146</v>
      </c>
      <c r="E161" s="1">
        <v>41415</v>
      </c>
      <c r="F161" s="22">
        <v>63</v>
      </c>
      <c r="G161" s="22">
        <v>69</v>
      </c>
      <c r="H161" s="28">
        <v>25.5</v>
      </c>
      <c r="I161" s="28">
        <f t="shared" si="19"/>
        <v>21.675000000000001</v>
      </c>
      <c r="J161" s="28">
        <f t="shared" si="20"/>
        <v>24.224999999999998</v>
      </c>
      <c r="K161" s="3"/>
      <c r="L161" s="22"/>
      <c r="AB161"/>
      <c r="AC161"/>
    </row>
    <row r="162" spans="1:29" x14ac:dyDescent="0.25">
      <c r="A162" s="22">
        <v>163</v>
      </c>
      <c r="B162" s="22">
        <v>14</v>
      </c>
      <c r="C162" s="22">
        <v>6</v>
      </c>
      <c r="D162" s="6" t="s">
        <v>146</v>
      </c>
      <c r="E162" s="1">
        <v>41415</v>
      </c>
      <c r="F162" s="22">
        <v>63</v>
      </c>
      <c r="G162" s="22">
        <v>69</v>
      </c>
      <c r="H162" s="28">
        <v>24.9</v>
      </c>
      <c r="I162" s="28">
        <f t="shared" si="19"/>
        <v>21.164999999999999</v>
      </c>
      <c r="J162" s="28">
        <f t="shared" si="20"/>
        <v>23.654999999999998</v>
      </c>
      <c r="AB162"/>
      <c r="AC162"/>
    </row>
    <row r="163" spans="1:29" x14ac:dyDescent="0.25">
      <c r="A163" s="43">
        <v>164</v>
      </c>
      <c r="B163" s="43">
        <v>1</v>
      </c>
      <c r="C163" s="43">
        <v>7</v>
      </c>
      <c r="D163" s="55" t="s">
        <v>173</v>
      </c>
      <c r="E163" s="1">
        <v>41398</v>
      </c>
      <c r="F163" s="2">
        <v>115</v>
      </c>
      <c r="G163" s="2">
        <v>121</v>
      </c>
      <c r="H163" s="28">
        <v>24.5</v>
      </c>
      <c r="I163" s="28">
        <f t="shared" ref="I163:I228" si="21">H163*0.85</f>
        <v>20.824999999999999</v>
      </c>
      <c r="J163" s="28">
        <f t="shared" ref="J163:J228" si="22">H163*0.95</f>
        <v>23.274999999999999</v>
      </c>
      <c r="L163" s="2"/>
      <c r="Q163" s="72"/>
      <c r="R163" s="116"/>
      <c r="S163" s="1"/>
      <c r="V163" s="20"/>
      <c r="W163" s="95"/>
      <c r="X163" s="3"/>
      <c r="Y163" s="72"/>
      <c r="Z163" s="72"/>
      <c r="AB163"/>
      <c r="AC163"/>
    </row>
    <row r="164" spans="1:29" x14ac:dyDescent="0.25">
      <c r="A164" s="43">
        <v>165</v>
      </c>
      <c r="B164" s="43">
        <v>2</v>
      </c>
      <c r="C164" s="43">
        <v>7</v>
      </c>
      <c r="D164" t="s">
        <v>6</v>
      </c>
      <c r="E164" s="1">
        <v>41429</v>
      </c>
      <c r="F164" s="2">
        <v>84</v>
      </c>
      <c r="G164" s="2">
        <v>90</v>
      </c>
      <c r="H164" s="28">
        <v>27.4</v>
      </c>
      <c r="I164" s="28">
        <f t="shared" si="21"/>
        <v>23.29</v>
      </c>
      <c r="J164" s="28">
        <f t="shared" si="22"/>
        <v>26.029999999999998</v>
      </c>
      <c r="K164" s="3"/>
      <c r="L164" s="2"/>
      <c r="T164" s="57"/>
      <c r="U164" s="57"/>
      <c r="V164" s="57"/>
      <c r="W164" s="57"/>
      <c r="X164"/>
      <c r="Y164"/>
      <c r="Z164"/>
      <c r="AA164"/>
      <c r="AB164"/>
      <c r="AC164"/>
    </row>
    <row r="165" spans="1:29" x14ac:dyDescent="0.25">
      <c r="A165" s="62">
        <v>166</v>
      </c>
      <c r="B165" s="62">
        <v>3</v>
      </c>
      <c r="C165" s="62">
        <v>7</v>
      </c>
      <c r="D165" s="62" t="s">
        <v>6</v>
      </c>
      <c r="E165" s="66">
        <v>41429</v>
      </c>
      <c r="F165" s="62">
        <v>84</v>
      </c>
      <c r="G165" s="62">
        <v>90</v>
      </c>
      <c r="H165" s="62">
        <v>27</v>
      </c>
      <c r="I165" s="64">
        <f t="shared" si="21"/>
        <v>22.95</v>
      </c>
      <c r="J165" s="64">
        <f t="shared" si="22"/>
        <v>25.65</v>
      </c>
      <c r="K165" s="62" t="s">
        <v>401</v>
      </c>
      <c r="L165" s="2"/>
      <c r="T165" s="57"/>
      <c r="U165" s="57"/>
      <c r="V165" s="57"/>
      <c r="W165" s="57"/>
      <c r="X165"/>
      <c r="Y165"/>
      <c r="Z165"/>
      <c r="AA165"/>
      <c r="AB165"/>
      <c r="AC165"/>
    </row>
    <row r="166" spans="1:29" x14ac:dyDescent="0.25">
      <c r="A166" s="43">
        <v>167</v>
      </c>
      <c r="B166">
        <v>4</v>
      </c>
      <c r="C166" s="43">
        <v>7</v>
      </c>
      <c r="D166" t="s">
        <v>3</v>
      </c>
      <c r="E166" s="1">
        <v>41436</v>
      </c>
      <c r="F166" s="2">
        <v>77</v>
      </c>
      <c r="G166" s="2">
        <v>83</v>
      </c>
      <c r="H166" s="22">
        <v>27.1</v>
      </c>
      <c r="I166" s="28">
        <f t="shared" si="21"/>
        <v>23.035</v>
      </c>
      <c r="J166" s="28">
        <f t="shared" si="22"/>
        <v>25.745000000000001</v>
      </c>
      <c r="K166" s="3"/>
      <c r="L166" s="2"/>
      <c r="T166" s="57"/>
      <c r="U166" s="57"/>
      <c r="V166" s="57"/>
      <c r="W166" s="57"/>
      <c r="X166"/>
      <c r="Y166"/>
      <c r="Z166"/>
      <c r="AA166"/>
      <c r="AB166"/>
      <c r="AC166"/>
    </row>
    <row r="167" spans="1:29" x14ac:dyDescent="0.25">
      <c r="A167" s="43">
        <v>168</v>
      </c>
      <c r="B167">
        <v>5</v>
      </c>
      <c r="C167" s="43">
        <v>7</v>
      </c>
      <c r="D167" s="43" t="s">
        <v>3</v>
      </c>
      <c r="E167" s="1">
        <v>41436</v>
      </c>
      <c r="F167" s="2">
        <v>77</v>
      </c>
      <c r="G167" s="2">
        <v>83</v>
      </c>
      <c r="H167">
        <v>23.4</v>
      </c>
      <c r="I167" s="28">
        <f t="shared" si="21"/>
        <v>19.889999999999997</v>
      </c>
      <c r="J167" s="28">
        <f t="shared" si="22"/>
        <v>22.229999999999997</v>
      </c>
      <c r="L167" s="2"/>
      <c r="T167" s="57"/>
      <c r="U167" s="57"/>
      <c r="V167" s="57"/>
      <c r="W167" s="57"/>
      <c r="X167"/>
      <c r="Y167"/>
      <c r="Z167"/>
      <c r="AA167"/>
      <c r="AB167"/>
      <c r="AC167"/>
    </row>
    <row r="168" spans="1:29" x14ac:dyDescent="0.25">
      <c r="A168" s="43">
        <v>169</v>
      </c>
      <c r="B168">
        <v>6</v>
      </c>
      <c r="C168" s="43">
        <v>7</v>
      </c>
      <c r="D168" t="s">
        <v>5</v>
      </c>
      <c r="E168" s="1">
        <v>41436</v>
      </c>
      <c r="F168" s="2">
        <v>77</v>
      </c>
      <c r="G168" s="2">
        <v>83</v>
      </c>
      <c r="H168" s="28">
        <v>26.6</v>
      </c>
      <c r="I168" s="28">
        <f t="shared" si="21"/>
        <v>22.61</v>
      </c>
      <c r="J168" s="28">
        <f t="shared" si="22"/>
        <v>25.27</v>
      </c>
      <c r="L168" s="2"/>
      <c r="T168" s="57"/>
      <c r="U168" s="57"/>
      <c r="V168" s="57"/>
      <c r="W168" s="57"/>
      <c r="X168"/>
      <c r="Y168"/>
      <c r="Z168"/>
      <c r="AA168"/>
      <c r="AB168"/>
      <c r="AC168"/>
    </row>
    <row r="169" spans="1:29" x14ac:dyDescent="0.25">
      <c r="A169" s="43">
        <v>170</v>
      </c>
      <c r="B169">
        <v>7</v>
      </c>
      <c r="C169" s="43">
        <v>7</v>
      </c>
      <c r="D169" s="43" t="s">
        <v>5</v>
      </c>
      <c r="E169" s="1">
        <v>41436</v>
      </c>
      <c r="F169" s="2">
        <v>77</v>
      </c>
      <c r="G169" s="2">
        <v>83</v>
      </c>
      <c r="H169" s="28">
        <v>29.3</v>
      </c>
      <c r="I169" s="28">
        <f t="shared" si="21"/>
        <v>24.905000000000001</v>
      </c>
      <c r="J169" s="28">
        <f t="shared" si="22"/>
        <v>27.835000000000001</v>
      </c>
      <c r="L169" s="2"/>
      <c r="T169" s="57"/>
      <c r="U169" s="57"/>
      <c r="V169" s="57"/>
      <c r="W169" s="57"/>
      <c r="X169"/>
      <c r="Y169"/>
      <c r="Z169"/>
      <c r="AA169"/>
      <c r="AB169"/>
      <c r="AC169"/>
    </row>
    <row r="170" spans="1:29" x14ac:dyDescent="0.25">
      <c r="A170" s="43">
        <v>171</v>
      </c>
      <c r="B170">
        <v>1</v>
      </c>
      <c r="C170" s="43">
        <v>7</v>
      </c>
      <c r="D170" s="6" t="s">
        <v>147</v>
      </c>
      <c r="E170" s="1">
        <v>41447</v>
      </c>
      <c r="F170">
        <v>73</v>
      </c>
      <c r="G170">
        <v>79</v>
      </c>
      <c r="H170">
        <v>23.2</v>
      </c>
      <c r="I170" s="28">
        <f t="shared" si="21"/>
        <v>19.72</v>
      </c>
      <c r="J170" s="28">
        <f t="shared" si="22"/>
        <v>22.04</v>
      </c>
      <c r="L170" s="2"/>
      <c r="T170" s="57"/>
      <c r="U170" s="57"/>
      <c r="V170" s="57"/>
      <c r="W170" s="57"/>
      <c r="X170"/>
      <c r="Y170"/>
      <c r="Z170"/>
      <c r="AA170"/>
      <c r="AB170"/>
      <c r="AC170"/>
    </row>
    <row r="171" spans="1:29" x14ac:dyDescent="0.25">
      <c r="A171" s="43">
        <v>172</v>
      </c>
      <c r="B171">
        <v>2</v>
      </c>
      <c r="C171" s="43">
        <v>7</v>
      </c>
      <c r="D171" s="6" t="s">
        <v>147</v>
      </c>
      <c r="E171" s="1">
        <v>41447</v>
      </c>
      <c r="F171">
        <v>73</v>
      </c>
      <c r="G171" s="2">
        <v>79</v>
      </c>
      <c r="H171">
        <v>23.1</v>
      </c>
      <c r="I171" s="28">
        <f t="shared" si="21"/>
        <v>19.635000000000002</v>
      </c>
      <c r="J171" s="28">
        <f t="shared" si="22"/>
        <v>21.945</v>
      </c>
      <c r="L171" s="62">
        <v>166</v>
      </c>
      <c r="T171" s="57"/>
      <c r="U171" s="57"/>
      <c r="V171" s="57"/>
      <c r="W171" s="57"/>
      <c r="X171"/>
      <c r="Y171"/>
      <c r="Z171"/>
      <c r="AA171"/>
      <c r="AB171"/>
      <c r="AC171"/>
    </row>
    <row r="172" spans="1:29" x14ac:dyDescent="0.25">
      <c r="A172" s="62">
        <v>173</v>
      </c>
      <c r="B172" s="62">
        <v>3</v>
      </c>
      <c r="C172" s="62">
        <v>7</v>
      </c>
      <c r="D172" s="62" t="s">
        <v>9</v>
      </c>
      <c r="E172" s="66">
        <v>41450</v>
      </c>
      <c r="F172" s="62">
        <v>70</v>
      </c>
      <c r="G172" s="62">
        <v>76</v>
      </c>
      <c r="H172" s="62">
        <v>27.4</v>
      </c>
      <c r="I172" s="64">
        <f t="shared" si="21"/>
        <v>23.29</v>
      </c>
      <c r="J172" s="64">
        <f t="shared" si="22"/>
        <v>26.029999999999998</v>
      </c>
      <c r="K172" s="62" t="s">
        <v>401</v>
      </c>
      <c r="L172" s="62">
        <v>173</v>
      </c>
      <c r="T172" s="57"/>
      <c r="U172" s="57"/>
      <c r="V172" s="57"/>
      <c r="W172" s="57"/>
      <c r="X172"/>
      <c r="Y172"/>
      <c r="Z172"/>
      <c r="AA172"/>
      <c r="AB172"/>
      <c r="AC172"/>
    </row>
    <row r="173" spans="1:29" x14ac:dyDescent="0.25">
      <c r="A173" s="13">
        <v>174</v>
      </c>
      <c r="B173" s="13">
        <v>4</v>
      </c>
      <c r="C173" s="13">
        <v>7</v>
      </c>
      <c r="D173" s="13" t="s">
        <v>113</v>
      </c>
      <c r="E173" s="54">
        <v>41450</v>
      </c>
      <c r="F173" s="56">
        <v>70</v>
      </c>
      <c r="G173" s="47">
        <v>76</v>
      </c>
      <c r="H173" s="13">
        <v>14.1</v>
      </c>
      <c r="I173" s="36">
        <f t="shared" si="21"/>
        <v>11.984999999999999</v>
      </c>
      <c r="J173" s="36">
        <f t="shared" si="22"/>
        <v>13.395</v>
      </c>
      <c r="L173" s="62">
        <v>184</v>
      </c>
      <c r="T173" s="57"/>
      <c r="U173" s="57"/>
      <c r="V173" s="57"/>
      <c r="W173" s="57"/>
      <c r="X173"/>
      <c r="Y173"/>
      <c r="Z173"/>
      <c r="AA173"/>
      <c r="AB173"/>
      <c r="AC173"/>
    </row>
    <row r="174" spans="1:29" x14ac:dyDescent="0.25">
      <c r="A174" s="43">
        <v>175</v>
      </c>
      <c r="B174">
        <v>5</v>
      </c>
      <c r="C174" s="43">
        <v>7</v>
      </c>
      <c r="D174" t="s">
        <v>112</v>
      </c>
      <c r="E174" s="1">
        <v>41450</v>
      </c>
      <c r="F174">
        <v>70</v>
      </c>
      <c r="G174" s="2">
        <v>76</v>
      </c>
      <c r="H174">
        <v>23.5</v>
      </c>
      <c r="I174" s="28">
        <f t="shared" si="21"/>
        <v>19.974999999999998</v>
      </c>
      <c r="J174" s="28">
        <f t="shared" si="22"/>
        <v>22.324999999999999</v>
      </c>
      <c r="L174" s="2"/>
      <c r="T174" s="57"/>
      <c r="U174" s="57"/>
      <c r="V174" s="57"/>
      <c r="W174" s="57"/>
      <c r="X174"/>
      <c r="Y174"/>
      <c r="Z174"/>
      <c r="AA174"/>
      <c r="AB174"/>
      <c r="AC174"/>
    </row>
    <row r="175" spans="1:29" x14ac:dyDescent="0.25">
      <c r="A175" s="43">
        <v>176</v>
      </c>
      <c r="B175">
        <v>6</v>
      </c>
      <c r="C175" s="43">
        <v>7</v>
      </c>
      <c r="D175" t="s">
        <v>110</v>
      </c>
      <c r="E175" s="1">
        <v>41457</v>
      </c>
      <c r="F175">
        <v>63</v>
      </c>
      <c r="G175" s="2">
        <v>69</v>
      </c>
      <c r="H175">
        <v>21.7</v>
      </c>
      <c r="I175" s="28">
        <f t="shared" si="21"/>
        <v>18.445</v>
      </c>
      <c r="J175" s="28">
        <f t="shared" si="22"/>
        <v>20.614999999999998</v>
      </c>
      <c r="L175" s="2"/>
      <c r="R175" s="55"/>
      <c r="T175" s="57"/>
      <c r="U175" s="57"/>
      <c r="V175" s="57"/>
      <c r="W175" s="57"/>
      <c r="X175"/>
      <c r="Y175"/>
      <c r="Z175"/>
      <c r="AA175"/>
      <c r="AB175"/>
      <c r="AC175"/>
    </row>
    <row r="176" spans="1:29" x14ac:dyDescent="0.25">
      <c r="A176" s="58">
        <v>177</v>
      </c>
      <c r="B176" s="58">
        <v>1</v>
      </c>
      <c r="C176">
        <v>8</v>
      </c>
      <c r="D176" s="55" t="s">
        <v>366</v>
      </c>
      <c r="E176" s="1">
        <v>41551</v>
      </c>
      <c r="F176">
        <v>66</v>
      </c>
      <c r="G176">
        <v>72</v>
      </c>
      <c r="H176">
        <v>21</v>
      </c>
      <c r="I176" s="28">
        <f t="shared" si="21"/>
        <v>17.849999999999998</v>
      </c>
      <c r="J176" s="28">
        <f t="shared" si="22"/>
        <v>19.95</v>
      </c>
      <c r="R176" s="55"/>
      <c r="T176" s="57"/>
      <c r="U176" s="57"/>
      <c r="V176" s="57"/>
      <c r="W176" s="57"/>
      <c r="X176"/>
      <c r="Y176"/>
      <c r="Z176"/>
      <c r="AA176"/>
      <c r="AB176"/>
      <c r="AC176"/>
    </row>
    <row r="177" spans="1:29" x14ac:dyDescent="0.25">
      <c r="A177" s="58">
        <v>178</v>
      </c>
      <c r="B177" s="58">
        <v>2</v>
      </c>
      <c r="C177" s="58">
        <v>8</v>
      </c>
      <c r="D177" s="55" t="s">
        <v>366</v>
      </c>
      <c r="E177" s="1">
        <v>41551</v>
      </c>
      <c r="F177" s="58">
        <v>66</v>
      </c>
      <c r="G177" s="58">
        <v>72</v>
      </c>
      <c r="H177">
        <v>20.7</v>
      </c>
      <c r="I177" s="28">
        <f t="shared" si="21"/>
        <v>17.594999999999999</v>
      </c>
      <c r="J177" s="28">
        <f t="shared" si="22"/>
        <v>19.664999999999999</v>
      </c>
      <c r="R177" s="55"/>
      <c r="T177" s="57"/>
      <c r="U177" s="57"/>
      <c r="V177" s="57"/>
      <c r="W177" s="57"/>
      <c r="X177"/>
      <c r="Y177"/>
      <c r="Z177"/>
      <c r="AA177"/>
      <c r="AB177"/>
      <c r="AC177"/>
    </row>
    <row r="178" spans="1:29" ht="15.75" customHeight="1" x14ac:dyDescent="0.25">
      <c r="A178" s="58">
        <v>179</v>
      </c>
      <c r="B178" s="58">
        <v>3</v>
      </c>
      <c r="C178" s="58">
        <v>8</v>
      </c>
      <c r="D178" s="55" t="s">
        <v>366</v>
      </c>
      <c r="E178" s="1">
        <v>41551</v>
      </c>
      <c r="F178" s="58">
        <v>66</v>
      </c>
      <c r="G178" s="58">
        <v>72</v>
      </c>
      <c r="H178">
        <v>21.3</v>
      </c>
      <c r="I178" s="28">
        <f t="shared" si="21"/>
        <v>18.105</v>
      </c>
      <c r="J178" s="28">
        <f t="shared" si="22"/>
        <v>20.234999999999999</v>
      </c>
      <c r="R178" s="55"/>
      <c r="T178" s="57"/>
      <c r="U178" s="57"/>
      <c r="V178" s="57"/>
      <c r="W178" s="57"/>
      <c r="X178"/>
      <c r="Y178"/>
      <c r="Z178"/>
      <c r="AA178"/>
      <c r="AB178"/>
      <c r="AC178"/>
    </row>
    <row r="179" spans="1:29" ht="14.25" customHeight="1" x14ac:dyDescent="0.25">
      <c r="A179" s="58">
        <v>180</v>
      </c>
      <c r="B179" s="58">
        <v>4</v>
      </c>
      <c r="C179" s="58">
        <v>8</v>
      </c>
      <c r="D179" s="55" t="s">
        <v>366</v>
      </c>
      <c r="E179" s="1">
        <v>41551</v>
      </c>
      <c r="F179" s="58">
        <v>66</v>
      </c>
      <c r="G179" s="58">
        <v>72</v>
      </c>
      <c r="H179">
        <v>20.6</v>
      </c>
      <c r="I179" s="28">
        <f t="shared" si="21"/>
        <v>17.510000000000002</v>
      </c>
      <c r="J179" s="28">
        <f t="shared" si="22"/>
        <v>19.57</v>
      </c>
      <c r="R179" s="55"/>
      <c r="T179" s="57"/>
      <c r="U179" s="57"/>
      <c r="V179" s="57"/>
      <c r="W179" s="57"/>
      <c r="X179"/>
      <c r="Y179"/>
      <c r="Z179"/>
      <c r="AA179"/>
      <c r="AB179"/>
      <c r="AC179"/>
    </row>
    <row r="180" spans="1:29" x14ac:dyDescent="0.25">
      <c r="A180" s="58">
        <v>181</v>
      </c>
      <c r="B180" s="58">
        <v>5</v>
      </c>
      <c r="C180" s="58">
        <v>8</v>
      </c>
      <c r="D180" s="55" t="s">
        <v>122</v>
      </c>
      <c r="E180" s="1">
        <v>41544</v>
      </c>
      <c r="F180">
        <v>73</v>
      </c>
      <c r="G180">
        <v>79</v>
      </c>
      <c r="H180">
        <v>20.3</v>
      </c>
      <c r="I180" s="28">
        <f t="shared" si="21"/>
        <v>17.254999999999999</v>
      </c>
      <c r="J180" s="28">
        <f t="shared" si="22"/>
        <v>19.285</v>
      </c>
      <c r="R180" s="55"/>
      <c r="T180" s="57"/>
      <c r="U180" s="57"/>
      <c r="V180" s="57"/>
      <c r="W180" s="57"/>
      <c r="X180"/>
      <c r="Y180"/>
      <c r="Z180"/>
      <c r="AA180"/>
      <c r="AB180"/>
      <c r="AC180"/>
    </row>
    <row r="181" spans="1:29" x14ac:dyDescent="0.25">
      <c r="A181" s="58">
        <v>182</v>
      </c>
      <c r="B181" s="58">
        <v>6</v>
      </c>
      <c r="C181" s="58">
        <v>8</v>
      </c>
      <c r="D181" s="55" t="s">
        <v>122</v>
      </c>
      <c r="E181" s="1">
        <v>41544</v>
      </c>
      <c r="F181" s="58">
        <v>73</v>
      </c>
      <c r="G181" s="58">
        <v>79</v>
      </c>
      <c r="H181">
        <v>20.3</v>
      </c>
      <c r="I181" s="28">
        <f t="shared" si="21"/>
        <v>17.254999999999999</v>
      </c>
      <c r="J181" s="28">
        <f t="shared" si="22"/>
        <v>19.285</v>
      </c>
      <c r="R181" s="55"/>
      <c r="T181" s="57"/>
      <c r="U181" s="57"/>
      <c r="V181" s="57"/>
      <c r="W181" s="57"/>
      <c r="X181"/>
      <c r="Y181"/>
      <c r="Z181"/>
      <c r="AA181"/>
      <c r="AB181"/>
      <c r="AC181"/>
    </row>
    <row r="182" spans="1:29" x14ac:dyDescent="0.25">
      <c r="A182" s="58">
        <v>183</v>
      </c>
      <c r="B182" s="58">
        <v>7</v>
      </c>
      <c r="C182" s="58">
        <v>8</v>
      </c>
      <c r="D182" s="55" t="s">
        <v>122</v>
      </c>
      <c r="E182" s="1">
        <v>41544</v>
      </c>
      <c r="F182" s="58">
        <v>73</v>
      </c>
      <c r="G182" s="58">
        <v>79</v>
      </c>
      <c r="H182">
        <v>20.2</v>
      </c>
      <c r="I182" s="28">
        <f t="shared" si="21"/>
        <v>17.169999999999998</v>
      </c>
      <c r="J182" s="28">
        <f t="shared" si="22"/>
        <v>19.189999999999998</v>
      </c>
      <c r="R182" s="55"/>
      <c r="T182" s="57"/>
      <c r="U182" s="57"/>
      <c r="V182" s="57"/>
      <c r="W182" s="57"/>
      <c r="X182"/>
      <c r="Y182"/>
      <c r="Z182"/>
      <c r="AA182"/>
      <c r="AB182"/>
      <c r="AC182"/>
    </row>
    <row r="183" spans="1:29" x14ac:dyDescent="0.25">
      <c r="A183" s="62">
        <v>184</v>
      </c>
      <c r="B183" s="62">
        <v>8</v>
      </c>
      <c r="C183" s="62">
        <v>8</v>
      </c>
      <c r="D183" s="62" t="s">
        <v>122</v>
      </c>
      <c r="E183" s="66">
        <v>41544</v>
      </c>
      <c r="F183" s="62">
        <v>73</v>
      </c>
      <c r="G183" s="62">
        <v>79</v>
      </c>
      <c r="H183" s="62">
        <v>21.5</v>
      </c>
      <c r="I183" s="64">
        <f t="shared" si="21"/>
        <v>18.274999999999999</v>
      </c>
      <c r="J183" s="64">
        <f t="shared" si="22"/>
        <v>20.425000000000001</v>
      </c>
      <c r="K183" s="62" t="s">
        <v>401</v>
      </c>
      <c r="R183" s="55"/>
      <c r="T183" s="57"/>
      <c r="U183" s="57"/>
      <c r="V183" s="57"/>
      <c r="W183" s="57"/>
      <c r="X183"/>
      <c r="Y183"/>
      <c r="Z183"/>
      <c r="AA183"/>
      <c r="AB183"/>
      <c r="AC183"/>
    </row>
    <row r="184" spans="1:29" x14ac:dyDescent="0.25">
      <c r="A184" s="58">
        <v>185</v>
      </c>
      <c r="B184">
        <v>1</v>
      </c>
      <c r="C184">
        <v>9</v>
      </c>
      <c r="D184" t="s">
        <v>8</v>
      </c>
      <c r="E184" s="1">
        <v>41555</v>
      </c>
      <c r="F184">
        <v>83</v>
      </c>
      <c r="G184" s="58">
        <v>89</v>
      </c>
      <c r="H184" s="58">
        <v>28</v>
      </c>
      <c r="I184" s="28">
        <f t="shared" si="21"/>
        <v>23.8</v>
      </c>
      <c r="J184" s="28">
        <f t="shared" si="22"/>
        <v>26.599999999999998</v>
      </c>
      <c r="R184" s="55"/>
      <c r="T184" s="57"/>
      <c r="U184" s="57"/>
      <c r="V184" s="57"/>
      <c r="W184" s="57"/>
      <c r="X184"/>
      <c r="Y184"/>
      <c r="Z184"/>
      <c r="AA184"/>
      <c r="AB184"/>
      <c r="AC184"/>
    </row>
    <row r="185" spans="1:29" x14ac:dyDescent="0.25">
      <c r="A185" s="58">
        <v>186</v>
      </c>
      <c r="B185">
        <v>2</v>
      </c>
      <c r="C185" s="58">
        <v>9</v>
      </c>
      <c r="D185" s="58" t="s">
        <v>8</v>
      </c>
      <c r="E185" s="1">
        <v>41555</v>
      </c>
      <c r="F185" s="58">
        <v>83</v>
      </c>
      <c r="G185" s="58">
        <v>89</v>
      </c>
      <c r="H185" s="58">
        <v>26.3</v>
      </c>
      <c r="I185" s="28">
        <f t="shared" si="21"/>
        <v>22.355</v>
      </c>
      <c r="J185" s="28">
        <f t="shared" si="22"/>
        <v>24.984999999999999</v>
      </c>
      <c r="R185" s="55"/>
      <c r="V185" s="57"/>
      <c r="W185" s="57"/>
      <c r="X185"/>
      <c r="Y185"/>
      <c r="Z185"/>
      <c r="AA185"/>
      <c r="AB185"/>
      <c r="AC185"/>
    </row>
    <row r="186" spans="1:29" x14ac:dyDescent="0.25">
      <c r="A186" s="58">
        <v>187</v>
      </c>
      <c r="B186" s="58">
        <v>3</v>
      </c>
      <c r="C186" s="58">
        <v>9</v>
      </c>
      <c r="D186" s="58" t="s">
        <v>8</v>
      </c>
      <c r="E186" s="1">
        <v>41555</v>
      </c>
      <c r="F186" s="58">
        <v>83</v>
      </c>
      <c r="G186" s="58">
        <v>89</v>
      </c>
      <c r="H186" s="58">
        <v>25.3</v>
      </c>
      <c r="I186" s="28">
        <f t="shared" si="21"/>
        <v>21.504999999999999</v>
      </c>
      <c r="J186" s="28">
        <f t="shared" si="22"/>
        <v>24.035</v>
      </c>
      <c r="R186" s="55"/>
      <c r="V186" s="57"/>
      <c r="W186" s="57"/>
      <c r="X186"/>
      <c r="Y186"/>
      <c r="Z186"/>
      <c r="AA186"/>
      <c r="AB186"/>
      <c r="AC186"/>
    </row>
    <row r="187" spans="1:29" x14ac:dyDescent="0.25">
      <c r="A187" s="58">
        <v>188</v>
      </c>
      <c r="B187" s="58">
        <v>4</v>
      </c>
      <c r="C187" s="58">
        <v>9</v>
      </c>
      <c r="D187" s="58" t="s">
        <v>129</v>
      </c>
      <c r="E187" s="1">
        <v>41548</v>
      </c>
      <c r="F187" s="58">
        <v>90</v>
      </c>
      <c r="G187" s="58">
        <v>96</v>
      </c>
      <c r="H187">
        <v>28.9</v>
      </c>
      <c r="I187" s="28">
        <f t="shared" si="21"/>
        <v>24.564999999999998</v>
      </c>
      <c r="J187" s="28">
        <f t="shared" si="22"/>
        <v>27.454999999999998</v>
      </c>
      <c r="R187" s="55"/>
      <c r="V187" s="57"/>
      <c r="W187" s="57"/>
      <c r="X187"/>
      <c r="Y187"/>
      <c r="Z187"/>
      <c r="AA187"/>
      <c r="AB187"/>
      <c r="AC187"/>
    </row>
    <row r="188" spans="1:29" x14ac:dyDescent="0.25">
      <c r="A188" s="58">
        <v>189</v>
      </c>
      <c r="B188" s="58">
        <v>5</v>
      </c>
      <c r="C188" s="58">
        <v>9</v>
      </c>
      <c r="D188" s="58" t="s">
        <v>129</v>
      </c>
      <c r="E188" s="1">
        <v>41548</v>
      </c>
      <c r="F188" s="58">
        <v>90</v>
      </c>
      <c r="G188" s="58">
        <v>96</v>
      </c>
      <c r="H188">
        <v>28.1</v>
      </c>
      <c r="I188" s="28">
        <f t="shared" si="21"/>
        <v>23.885000000000002</v>
      </c>
      <c r="J188" s="28">
        <f t="shared" si="22"/>
        <v>26.695</v>
      </c>
      <c r="R188" s="55"/>
      <c r="V188" s="57"/>
      <c r="W188" s="57"/>
      <c r="X188"/>
      <c r="Y188"/>
      <c r="Z188"/>
      <c r="AA188"/>
      <c r="AB188"/>
      <c r="AC188"/>
    </row>
    <row r="189" spans="1:29" x14ac:dyDescent="0.25">
      <c r="A189" s="58">
        <v>190</v>
      </c>
      <c r="B189" s="58">
        <v>6</v>
      </c>
      <c r="C189" s="58">
        <v>9</v>
      </c>
      <c r="D189" s="58" t="s">
        <v>129</v>
      </c>
      <c r="E189" s="1">
        <v>41548</v>
      </c>
      <c r="F189" s="58">
        <v>90</v>
      </c>
      <c r="G189" s="58">
        <v>96</v>
      </c>
      <c r="H189">
        <v>28</v>
      </c>
      <c r="I189" s="28">
        <f t="shared" si="21"/>
        <v>23.8</v>
      </c>
      <c r="J189" s="28">
        <f t="shared" si="22"/>
        <v>26.599999999999998</v>
      </c>
      <c r="R189" s="55"/>
      <c r="V189" s="57"/>
      <c r="W189" s="57"/>
      <c r="X189"/>
      <c r="Y189"/>
      <c r="Z189"/>
      <c r="AA189"/>
      <c r="AB189"/>
      <c r="AC189"/>
    </row>
    <row r="190" spans="1:29" x14ac:dyDescent="0.25">
      <c r="A190" s="58">
        <v>191</v>
      </c>
      <c r="B190" s="58">
        <v>7</v>
      </c>
      <c r="C190" s="58">
        <v>9</v>
      </c>
      <c r="D190" s="58" t="s">
        <v>50</v>
      </c>
      <c r="E190" s="1">
        <v>41555</v>
      </c>
      <c r="F190" s="58">
        <v>83</v>
      </c>
      <c r="G190" s="58">
        <v>89</v>
      </c>
      <c r="H190">
        <v>22</v>
      </c>
      <c r="I190" s="28">
        <f t="shared" si="21"/>
        <v>18.7</v>
      </c>
      <c r="J190" s="28">
        <f t="shared" si="22"/>
        <v>20.9</v>
      </c>
      <c r="R190" s="55"/>
      <c r="V190" s="57"/>
      <c r="W190" s="57"/>
      <c r="X190"/>
      <c r="Y190"/>
      <c r="Z190"/>
      <c r="AA190"/>
      <c r="AB190"/>
      <c r="AC190"/>
    </row>
    <row r="191" spans="1:29" x14ac:dyDescent="0.25">
      <c r="A191" s="58">
        <v>192</v>
      </c>
      <c r="B191" s="58">
        <v>8</v>
      </c>
      <c r="C191" s="58">
        <v>9</v>
      </c>
      <c r="D191" s="58" t="s">
        <v>50</v>
      </c>
      <c r="E191" s="1">
        <v>41555</v>
      </c>
      <c r="F191" s="58">
        <v>83</v>
      </c>
      <c r="G191" s="58">
        <v>89</v>
      </c>
      <c r="H191">
        <v>21.8</v>
      </c>
      <c r="I191" s="28">
        <f t="shared" si="21"/>
        <v>18.53</v>
      </c>
      <c r="J191" s="28">
        <f t="shared" si="22"/>
        <v>20.71</v>
      </c>
      <c r="R191" s="55"/>
      <c r="V191" s="57"/>
      <c r="W191" s="57"/>
      <c r="X191"/>
      <c r="Y191"/>
      <c r="Z191"/>
      <c r="AA191"/>
      <c r="AB191"/>
      <c r="AC191"/>
    </row>
    <row r="192" spans="1:29" x14ac:dyDescent="0.25">
      <c r="A192" s="58">
        <v>193</v>
      </c>
      <c r="B192" s="58">
        <v>9</v>
      </c>
      <c r="C192" s="58">
        <v>9</v>
      </c>
      <c r="D192" s="58" t="s">
        <v>50</v>
      </c>
      <c r="E192" s="1">
        <v>41555</v>
      </c>
      <c r="F192" s="58">
        <v>83</v>
      </c>
      <c r="G192" s="58">
        <v>89</v>
      </c>
      <c r="H192">
        <v>26</v>
      </c>
      <c r="I192" s="28">
        <f t="shared" si="21"/>
        <v>22.099999999999998</v>
      </c>
      <c r="J192" s="28">
        <f t="shared" si="22"/>
        <v>24.7</v>
      </c>
      <c r="R192" s="55"/>
      <c r="V192" s="57"/>
      <c r="W192" s="57"/>
      <c r="X192"/>
      <c r="Y192"/>
      <c r="Z192"/>
      <c r="AA192"/>
      <c r="AB192"/>
      <c r="AC192"/>
    </row>
    <row r="193" spans="1:29" x14ac:dyDescent="0.25">
      <c r="A193" s="58">
        <v>194</v>
      </c>
      <c r="B193" s="58">
        <v>10</v>
      </c>
      <c r="C193" s="58">
        <v>9</v>
      </c>
      <c r="D193" s="58" t="s">
        <v>173</v>
      </c>
      <c r="E193" s="1">
        <v>41530</v>
      </c>
      <c r="F193" s="58">
        <v>108</v>
      </c>
      <c r="G193" s="58">
        <v>114</v>
      </c>
      <c r="H193">
        <v>30.1</v>
      </c>
      <c r="I193" s="28">
        <f t="shared" si="21"/>
        <v>25.585000000000001</v>
      </c>
      <c r="J193" s="28">
        <f t="shared" si="22"/>
        <v>28.594999999999999</v>
      </c>
      <c r="R193" s="55"/>
      <c r="V193" s="57"/>
      <c r="W193" s="57"/>
      <c r="X193"/>
      <c r="Y193"/>
      <c r="Z193"/>
      <c r="AA193"/>
      <c r="AB193"/>
      <c r="AC193"/>
    </row>
    <row r="194" spans="1:29" x14ac:dyDescent="0.25">
      <c r="A194" s="58">
        <v>195</v>
      </c>
      <c r="B194" s="58">
        <v>11</v>
      </c>
      <c r="C194" s="58">
        <v>9</v>
      </c>
      <c r="D194" s="58" t="s">
        <v>173</v>
      </c>
      <c r="E194" s="1">
        <v>41530</v>
      </c>
      <c r="F194" s="58">
        <v>108</v>
      </c>
      <c r="G194" s="58">
        <v>114</v>
      </c>
      <c r="H194">
        <v>28.5</v>
      </c>
      <c r="I194" s="28">
        <f t="shared" si="21"/>
        <v>24.224999999999998</v>
      </c>
      <c r="J194" s="28">
        <f t="shared" si="22"/>
        <v>27.074999999999999</v>
      </c>
      <c r="R194" s="55"/>
      <c r="V194" s="57"/>
      <c r="W194" s="57"/>
      <c r="X194"/>
      <c r="Y194"/>
      <c r="Z194"/>
      <c r="AA194"/>
      <c r="AB194"/>
      <c r="AC194"/>
    </row>
    <row r="195" spans="1:29" x14ac:dyDescent="0.25">
      <c r="A195" s="58">
        <v>196</v>
      </c>
      <c r="B195" s="58">
        <v>12</v>
      </c>
      <c r="C195" s="58">
        <v>9</v>
      </c>
      <c r="D195" s="58" t="s">
        <v>173</v>
      </c>
      <c r="E195" s="1">
        <v>41530</v>
      </c>
      <c r="F195" s="58">
        <v>108</v>
      </c>
      <c r="G195" s="58">
        <v>114</v>
      </c>
      <c r="H195">
        <v>24.7</v>
      </c>
      <c r="I195" s="28">
        <f t="shared" si="21"/>
        <v>20.994999999999997</v>
      </c>
      <c r="J195" s="28">
        <f t="shared" si="22"/>
        <v>23.465</v>
      </c>
      <c r="R195" s="55"/>
      <c r="V195" s="57"/>
      <c r="W195" s="57"/>
      <c r="X195"/>
      <c r="Y195"/>
      <c r="Z195"/>
      <c r="AA195"/>
      <c r="AB195"/>
      <c r="AC195"/>
    </row>
    <row r="196" spans="1:29" x14ac:dyDescent="0.25">
      <c r="A196" s="58">
        <v>197</v>
      </c>
      <c r="B196" s="58">
        <v>13</v>
      </c>
      <c r="C196" s="58">
        <v>9</v>
      </c>
      <c r="D196" s="58" t="s">
        <v>5</v>
      </c>
      <c r="E196" s="1">
        <v>41555</v>
      </c>
      <c r="F196" s="58">
        <v>83</v>
      </c>
      <c r="G196" s="58">
        <v>89</v>
      </c>
      <c r="H196">
        <v>22.9</v>
      </c>
      <c r="I196" s="28">
        <f t="shared" si="21"/>
        <v>19.465</v>
      </c>
      <c r="J196" s="28">
        <f t="shared" si="22"/>
        <v>21.754999999999999</v>
      </c>
      <c r="K196" s="56" t="s">
        <v>394</v>
      </c>
      <c r="R196" s="55"/>
      <c r="V196" s="57"/>
      <c r="W196" s="57"/>
      <c r="X196" s="57"/>
      <c r="Y196" s="57"/>
      <c r="Z196" s="57"/>
      <c r="AA196" s="57"/>
      <c r="AB196" s="57"/>
      <c r="AC196" s="57"/>
    </row>
    <row r="197" spans="1:29" x14ac:dyDescent="0.25">
      <c r="A197" s="58">
        <v>198</v>
      </c>
      <c r="B197" s="58">
        <v>14</v>
      </c>
      <c r="C197" s="58">
        <v>9</v>
      </c>
      <c r="D197" s="58" t="s">
        <v>5</v>
      </c>
      <c r="E197" s="1">
        <v>41555</v>
      </c>
      <c r="F197" s="58">
        <v>83</v>
      </c>
      <c r="G197" s="58">
        <v>89</v>
      </c>
      <c r="H197">
        <v>26.1</v>
      </c>
      <c r="I197" s="28">
        <f t="shared" si="21"/>
        <v>22.185000000000002</v>
      </c>
      <c r="J197" s="28">
        <f t="shared" si="22"/>
        <v>24.795000000000002</v>
      </c>
      <c r="K197" s="56" t="s">
        <v>394</v>
      </c>
      <c r="R197" s="55"/>
      <c r="V197" s="57"/>
      <c r="W197" s="57"/>
      <c r="X197" s="57"/>
      <c r="Y197" s="57"/>
      <c r="Z197" s="57"/>
      <c r="AA197" s="57"/>
      <c r="AB197" s="57"/>
      <c r="AC197" s="57"/>
    </row>
    <row r="198" spans="1:29" x14ac:dyDescent="0.25">
      <c r="A198" s="58">
        <v>199</v>
      </c>
      <c r="B198" s="58">
        <v>15</v>
      </c>
      <c r="C198" s="58">
        <v>9</v>
      </c>
      <c r="D198" s="58" t="s">
        <v>4</v>
      </c>
      <c r="E198" s="1">
        <v>41562</v>
      </c>
      <c r="F198" s="58">
        <v>80</v>
      </c>
      <c r="G198">
        <v>86</v>
      </c>
      <c r="H198">
        <v>26.4</v>
      </c>
      <c r="I198" s="28">
        <f t="shared" si="21"/>
        <v>22.439999999999998</v>
      </c>
      <c r="J198" s="28">
        <f t="shared" si="22"/>
        <v>25.08</v>
      </c>
      <c r="R198" s="55"/>
      <c r="V198" s="57"/>
      <c r="W198" s="57"/>
      <c r="X198" s="57"/>
      <c r="Y198" s="57"/>
      <c r="Z198" s="57"/>
      <c r="AA198" s="57"/>
      <c r="AB198" s="57"/>
      <c r="AC198" s="57"/>
    </row>
    <row r="199" spans="1:29" ht="14.25" customHeight="1" x14ac:dyDescent="0.25">
      <c r="A199" s="58">
        <v>200</v>
      </c>
      <c r="B199" s="58">
        <v>16</v>
      </c>
      <c r="C199" s="58">
        <v>9</v>
      </c>
      <c r="D199" s="58" t="s">
        <v>4</v>
      </c>
      <c r="E199" s="1">
        <v>41562</v>
      </c>
      <c r="F199" s="58">
        <v>80</v>
      </c>
      <c r="G199" s="58">
        <v>86</v>
      </c>
      <c r="H199">
        <v>22.5</v>
      </c>
      <c r="I199" s="28">
        <f t="shared" si="21"/>
        <v>19.125</v>
      </c>
      <c r="J199" s="28">
        <f t="shared" si="22"/>
        <v>21.375</v>
      </c>
      <c r="R199" s="55"/>
      <c r="V199" s="57"/>
      <c r="W199" s="57"/>
      <c r="X199" s="57"/>
      <c r="Y199" s="57"/>
      <c r="Z199" s="57"/>
      <c r="AA199" s="57"/>
      <c r="AB199" s="57"/>
      <c r="AC199" s="57"/>
    </row>
    <row r="200" spans="1:29" x14ac:dyDescent="0.25">
      <c r="A200" s="58">
        <v>201</v>
      </c>
      <c r="B200" s="58">
        <v>17</v>
      </c>
      <c r="C200" s="58">
        <v>9</v>
      </c>
      <c r="D200" s="58" t="s">
        <v>4</v>
      </c>
      <c r="E200" s="1">
        <v>41562</v>
      </c>
      <c r="F200" s="58">
        <v>80</v>
      </c>
      <c r="G200" s="58">
        <v>86</v>
      </c>
      <c r="H200">
        <v>23.9</v>
      </c>
      <c r="I200" s="28">
        <f t="shared" si="21"/>
        <v>20.314999999999998</v>
      </c>
      <c r="J200" s="28">
        <f t="shared" si="22"/>
        <v>22.704999999999998</v>
      </c>
      <c r="R200" s="55"/>
      <c r="V200" s="57"/>
      <c r="W200" s="57"/>
      <c r="X200" s="57"/>
      <c r="Y200" s="57"/>
      <c r="Z200" s="57"/>
      <c r="AA200" s="57"/>
      <c r="AB200" s="57"/>
      <c r="AC200" s="57"/>
    </row>
    <row r="201" spans="1:29" x14ac:dyDescent="0.25">
      <c r="A201" s="58">
        <v>202</v>
      </c>
      <c r="B201" s="58">
        <v>18</v>
      </c>
      <c r="C201" s="58">
        <v>9</v>
      </c>
      <c r="D201" s="58" t="s">
        <v>2</v>
      </c>
      <c r="E201" s="1">
        <v>41555</v>
      </c>
      <c r="F201" s="58">
        <v>87</v>
      </c>
      <c r="G201" s="58">
        <v>93</v>
      </c>
      <c r="H201">
        <v>25.7</v>
      </c>
      <c r="I201" s="28">
        <f t="shared" si="21"/>
        <v>21.844999999999999</v>
      </c>
      <c r="J201" s="28">
        <f t="shared" si="22"/>
        <v>24.414999999999999</v>
      </c>
      <c r="Q201" s="55"/>
      <c r="R201" s="55"/>
    </row>
    <row r="202" spans="1:29" x14ac:dyDescent="0.25">
      <c r="A202" s="58">
        <v>203</v>
      </c>
      <c r="B202" s="58">
        <v>19</v>
      </c>
      <c r="C202" s="58">
        <v>9</v>
      </c>
      <c r="D202" s="58" t="s">
        <v>2</v>
      </c>
      <c r="E202" s="1">
        <v>41555</v>
      </c>
      <c r="F202" s="58">
        <v>87</v>
      </c>
      <c r="G202" s="58">
        <v>93</v>
      </c>
      <c r="H202">
        <v>24.9</v>
      </c>
      <c r="I202" s="28">
        <f t="shared" si="21"/>
        <v>21.164999999999999</v>
      </c>
      <c r="J202" s="28">
        <f t="shared" si="22"/>
        <v>23.654999999999998</v>
      </c>
      <c r="Q202" s="55"/>
      <c r="R202" s="55"/>
    </row>
    <row r="203" spans="1:29" x14ac:dyDescent="0.25">
      <c r="A203" s="58">
        <v>204</v>
      </c>
      <c r="B203" s="58">
        <v>20</v>
      </c>
      <c r="C203" s="58">
        <v>9</v>
      </c>
      <c r="D203" s="58" t="s">
        <v>2</v>
      </c>
      <c r="E203" s="1">
        <v>41555</v>
      </c>
      <c r="F203" s="58">
        <v>87</v>
      </c>
      <c r="G203" s="58">
        <v>93</v>
      </c>
      <c r="H203">
        <v>23.9</v>
      </c>
      <c r="I203" s="28">
        <f t="shared" si="21"/>
        <v>20.314999999999998</v>
      </c>
      <c r="J203" s="28">
        <f t="shared" si="22"/>
        <v>22.704999999999998</v>
      </c>
      <c r="Q203" s="55"/>
      <c r="R203" s="55"/>
    </row>
    <row r="204" spans="1:29" x14ac:dyDescent="0.25">
      <c r="A204" s="58">
        <v>205</v>
      </c>
      <c r="B204" s="58">
        <v>21</v>
      </c>
      <c r="C204" s="58">
        <v>9</v>
      </c>
      <c r="D204" s="58" t="s">
        <v>5</v>
      </c>
      <c r="E204" s="1">
        <v>41555</v>
      </c>
      <c r="F204" s="58">
        <v>87</v>
      </c>
      <c r="G204" s="58">
        <v>93</v>
      </c>
      <c r="H204">
        <v>28.8</v>
      </c>
      <c r="I204" s="28">
        <f t="shared" si="21"/>
        <v>24.48</v>
      </c>
      <c r="J204" s="28">
        <f t="shared" si="22"/>
        <v>27.36</v>
      </c>
      <c r="K204" s="56" t="s">
        <v>395</v>
      </c>
    </row>
    <row r="205" spans="1:29" x14ac:dyDescent="0.25">
      <c r="A205" s="58">
        <v>206</v>
      </c>
      <c r="B205" s="58">
        <v>22</v>
      </c>
      <c r="C205" s="58">
        <v>9</v>
      </c>
      <c r="D205" s="58" t="s">
        <v>3</v>
      </c>
      <c r="E205" s="1">
        <v>41555</v>
      </c>
      <c r="F205" s="58">
        <v>87</v>
      </c>
      <c r="G205" s="58">
        <v>93</v>
      </c>
      <c r="H205">
        <v>25.8</v>
      </c>
      <c r="I205" s="28">
        <f t="shared" si="21"/>
        <v>21.93</v>
      </c>
      <c r="J205" s="28">
        <f t="shared" si="22"/>
        <v>24.509999999999998</v>
      </c>
    </row>
    <row r="206" spans="1:29" x14ac:dyDescent="0.25">
      <c r="A206" s="58">
        <v>207</v>
      </c>
      <c r="B206" s="58">
        <v>23</v>
      </c>
      <c r="C206" s="58">
        <v>9</v>
      </c>
      <c r="D206" s="58" t="s">
        <v>3</v>
      </c>
      <c r="E206" s="1">
        <v>41555</v>
      </c>
      <c r="F206" s="58">
        <v>87</v>
      </c>
      <c r="G206" s="58">
        <v>93</v>
      </c>
      <c r="H206">
        <v>24.9</v>
      </c>
      <c r="I206" s="28">
        <f t="shared" si="21"/>
        <v>21.164999999999999</v>
      </c>
      <c r="J206" s="28">
        <f t="shared" si="22"/>
        <v>23.654999999999998</v>
      </c>
    </row>
    <row r="207" spans="1:29" x14ac:dyDescent="0.25">
      <c r="A207" s="58">
        <v>208</v>
      </c>
      <c r="B207" s="58">
        <v>24</v>
      </c>
      <c r="C207" s="58">
        <v>9</v>
      </c>
      <c r="D207" s="58" t="s">
        <v>56</v>
      </c>
      <c r="E207" s="1">
        <v>41562</v>
      </c>
      <c r="F207" s="58">
        <v>80</v>
      </c>
      <c r="G207" s="58">
        <v>86</v>
      </c>
      <c r="H207">
        <v>27.4</v>
      </c>
      <c r="I207" s="28">
        <f t="shared" si="21"/>
        <v>23.29</v>
      </c>
      <c r="J207" s="28">
        <f t="shared" si="22"/>
        <v>26.029999999999998</v>
      </c>
    </row>
    <row r="208" spans="1:29" x14ac:dyDescent="0.25">
      <c r="A208" s="58">
        <v>209</v>
      </c>
      <c r="B208" s="58">
        <v>25</v>
      </c>
      <c r="C208" s="58">
        <v>9</v>
      </c>
      <c r="D208" s="58" t="s">
        <v>56</v>
      </c>
      <c r="E208" s="1">
        <v>41562</v>
      </c>
      <c r="F208" s="58">
        <v>80</v>
      </c>
      <c r="G208" s="58">
        <v>86</v>
      </c>
      <c r="H208">
        <v>25.8</v>
      </c>
      <c r="I208" s="28">
        <f t="shared" si="21"/>
        <v>21.93</v>
      </c>
      <c r="J208" s="28">
        <f t="shared" si="22"/>
        <v>24.509999999999998</v>
      </c>
    </row>
    <row r="209" spans="1:23" x14ac:dyDescent="0.25">
      <c r="A209" s="58">
        <v>210</v>
      </c>
      <c r="B209" s="58">
        <v>26</v>
      </c>
      <c r="C209" s="58">
        <v>9</v>
      </c>
      <c r="D209" s="58" t="s">
        <v>56</v>
      </c>
      <c r="E209" s="1">
        <v>41562</v>
      </c>
      <c r="F209" s="58">
        <v>80</v>
      </c>
      <c r="G209" s="58">
        <v>86</v>
      </c>
      <c r="H209">
        <v>24.2</v>
      </c>
      <c r="I209" s="28">
        <f t="shared" si="21"/>
        <v>20.57</v>
      </c>
      <c r="J209" s="28">
        <f t="shared" si="22"/>
        <v>22.99</v>
      </c>
    </row>
    <row r="210" spans="1:23" x14ac:dyDescent="0.25">
      <c r="A210" s="58">
        <v>211</v>
      </c>
      <c r="B210">
        <v>1</v>
      </c>
      <c r="C210">
        <v>10</v>
      </c>
      <c r="D210" s="58" t="s">
        <v>6</v>
      </c>
      <c r="E210" s="1">
        <v>41569</v>
      </c>
      <c r="F210" s="58">
        <v>83</v>
      </c>
      <c r="G210">
        <v>89</v>
      </c>
      <c r="H210">
        <v>29.5</v>
      </c>
      <c r="I210" s="28">
        <f t="shared" si="21"/>
        <v>25.074999999999999</v>
      </c>
      <c r="J210" s="28">
        <f t="shared" si="22"/>
        <v>28.024999999999999</v>
      </c>
      <c r="Q210" s="58" t="s">
        <v>408</v>
      </c>
    </row>
    <row r="211" spans="1:23" x14ac:dyDescent="0.25">
      <c r="A211" s="58">
        <v>212</v>
      </c>
      <c r="B211">
        <v>2</v>
      </c>
      <c r="C211" s="58">
        <v>10</v>
      </c>
      <c r="D211" s="58" t="s">
        <v>6</v>
      </c>
      <c r="E211" s="1">
        <v>41569</v>
      </c>
      <c r="F211" s="58">
        <v>83</v>
      </c>
      <c r="G211" s="65">
        <v>89</v>
      </c>
      <c r="H211">
        <v>29.9</v>
      </c>
      <c r="I211" s="28">
        <f t="shared" si="21"/>
        <v>25.414999999999999</v>
      </c>
      <c r="J211" s="28">
        <f t="shared" si="22"/>
        <v>28.404999999999998</v>
      </c>
      <c r="Q211" s="58" t="s">
        <v>407</v>
      </c>
    </row>
    <row r="212" spans="1:23" x14ac:dyDescent="0.25">
      <c r="A212" s="58">
        <v>213</v>
      </c>
      <c r="B212" s="58">
        <v>3</v>
      </c>
      <c r="C212" s="58">
        <v>10</v>
      </c>
      <c r="D212" s="58" t="s">
        <v>6</v>
      </c>
      <c r="E212" s="1">
        <v>41569</v>
      </c>
      <c r="F212" s="58">
        <v>83</v>
      </c>
      <c r="G212" s="65">
        <v>89</v>
      </c>
      <c r="H212">
        <v>31.1</v>
      </c>
      <c r="I212" s="28">
        <f t="shared" si="21"/>
        <v>26.435000000000002</v>
      </c>
      <c r="J212" s="28">
        <f t="shared" si="22"/>
        <v>29.545000000000002</v>
      </c>
      <c r="Q212" s="59" t="s">
        <v>406</v>
      </c>
      <c r="R212" s="59"/>
      <c r="S212" s="59"/>
      <c r="T212" s="59"/>
      <c r="U212" s="59"/>
    </row>
    <row r="213" spans="1:23" x14ac:dyDescent="0.25">
      <c r="A213" s="58">
        <v>214</v>
      </c>
      <c r="B213" s="58">
        <v>4</v>
      </c>
      <c r="C213" s="58">
        <v>10</v>
      </c>
      <c r="D213" s="58" t="s">
        <v>187</v>
      </c>
      <c r="E213" s="1">
        <v>41563</v>
      </c>
      <c r="F213" s="58">
        <v>89</v>
      </c>
      <c r="G213" s="65">
        <v>95</v>
      </c>
      <c r="H213">
        <v>25.7</v>
      </c>
      <c r="I213" s="28">
        <f t="shared" si="21"/>
        <v>21.844999999999999</v>
      </c>
      <c r="J213" s="28">
        <f t="shared" si="22"/>
        <v>24.414999999999999</v>
      </c>
    </row>
    <row r="214" spans="1:23" x14ac:dyDescent="0.25">
      <c r="A214" s="58">
        <v>215</v>
      </c>
      <c r="B214" s="58">
        <v>5</v>
      </c>
      <c r="C214" s="58">
        <v>10</v>
      </c>
      <c r="D214" s="58" t="s">
        <v>187</v>
      </c>
      <c r="E214" s="1">
        <v>41563</v>
      </c>
      <c r="F214" s="58">
        <v>89</v>
      </c>
      <c r="G214" s="65">
        <v>95</v>
      </c>
      <c r="H214">
        <v>25</v>
      </c>
      <c r="I214" s="28">
        <f t="shared" si="21"/>
        <v>21.25</v>
      </c>
      <c r="J214" s="28">
        <f t="shared" si="22"/>
        <v>23.75</v>
      </c>
    </row>
    <row r="215" spans="1:23" x14ac:dyDescent="0.25">
      <c r="A215" s="58">
        <v>216</v>
      </c>
      <c r="B215" s="58">
        <v>6</v>
      </c>
      <c r="C215" s="58">
        <v>10</v>
      </c>
      <c r="D215" s="58" t="s">
        <v>187</v>
      </c>
      <c r="E215" s="1">
        <v>41563</v>
      </c>
      <c r="F215" s="58">
        <v>89</v>
      </c>
      <c r="G215" s="65">
        <v>95</v>
      </c>
      <c r="H215">
        <v>27.9</v>
      </c>
      <c r="I215" s="28">
        <f t="shared" si="21"/>
        <v>23.715</v>
      </c>
      <c r="J215" s="28">
        <f t="shared" si="22"/>
        <v>26.504999999999999</v>
      </c>
    </row>
    <row r="216" spans="1:23" x14ac:dyDescent="0.25">
      <c r="A216" s="58">
        <v>217</v>
      </c>
      <c r="B216" s="58">
        <v>7</v>
      </c>
      <c r="C216" s="58">
        <v>10</v>
      </c>
      <c r="D216" s="58" t="s">
        <v>1</v>
      </c>
      <c r="E216" s="1">
        <v>41590</v>
      </c>
      <c r="F216" s="58">
        <v>62</v>
      </c>
      <c r="G216" s="65">
        <v>68</v>
      </c>
      <c r="H216">
        <v>24.1</v>
      </c>
      <c r="I216" s="28">
        <f t="shared" si="21"/>
        <v>20.484999999999999</v>
      </c>
      <c r="J216" s="28">
        <f t="shared" si="22"/>
        <v>22.895</v>
      </c>
      <c r="K216" s="56" t="s">
        <v>402</v>
      </c>
    </row>
    <row r="217" spans="1:23" x14ac:dyDescent="0.25">
      <c r="A217" s="58">
        <v>218</v>
      </c>
      <c r="B217" s="58">
        <v>8</v>
      </c>
      <c r="C217" s="58">
        <v>10</v>
      </c>
      <c r="D217" s="58" t="s">
        <v>1</v>
      </c>
      <c r="E217" s="1">
        <v>41590</v>
      </c>
      <c r="F217" s="58">
        <v>62</v>
      </c>
      <c r="G217" s="65">
        <v>68</v>
      </c>
      <c r="H217" s="58">
        <v>23.9</v>
      </c>
      <c r="I217" s="28">
        <f t="shared" si="21"/>
        <v>20.314999999999998</v>
      </c>
      <c r="J217" s="28">
        <f t="shared" si="22"/>
        <v>22.704999999999998</v>
      </c>
      <c r="K217" s="56" t="s">
        <v>403</v>
      </c>
      <c r="L217" s="58"/>
      <c r="M217" s="58"/>
    </row>
    <row r="218" spans="1:23" x14ac:dyDescent="0.25">
      <c r="A218">
        <v>219</v>
      </c>
      <c r="B218" s="58">
        <v>9</v>
      </c>
      <c r="C218" s="58">
        <v>10</v>
      </c>
      <c r="D218" s="58" t="s">
        <v>1</v>
      </c>
      <c r="E218" s="1">
        <v>41590</v>
      </c>
      <c r="F218" s="58">
        <v>62</v>
      </c>
      <c r="G218" s="65">
        <v>68</v>
      </c>
      <c r="H218" s="58">
        <v>25</v>
      </c>
      <c r="I218" s="28">
        <f t="shared" si="21"/>
        <v>21.25</v>
      </c>
      <c r="J218" s="28">
        <f t="shared" si="22"/>
        <v>23.75</v>
      </c>
      <c r="K218" s="56" t="s">
        <v>400</v>
      </c>
      <c r="L218" s="58"/>
      <c r="M218" s="58"/>
      <c r="N218" s="56" t="s">
        <v>405</v>
      </c>
    </row>
    <row r="219" spans="1:23" x14ac:dyDescent="0.25">
      <c r="A219" s="72">
        <v>220</v>
      </c>
      <c r="B219" s="72">
        <v>1</v>
      </c>
      <c r="C219" s="72">
        <v>11</v>
      </c>
      <c r="D219" s="55" t="s">
        <v>424</v>
      </c>
      <c r="E219" s="14">
        <v>41630</v>
      </c>
      <c r="F219" s="72">
        <v>73</v>
      </c>
      <c r="G219" s="72">
        <v>79</v>
      </c>
      <c r="H219" s="7">
        <v>20.2</v>
      </c>
      <c r="I219" s="28">
        <f t="shared" si="21"/>
        <v>17.169999999999998</v>
      </c>
      <c r="J219" s="7">
        <f t="shared" si="22"/>
        <v>19.189999999999998</v>
      </c>
      <c r="K219" s="58"/>
      <c r="L219" s="58"/>
      <c r="V219" s="55"/>
      <c r="W219" s="3"/>
    </row>
    <row r="220" spans="1:23" x14ac:dyDescent="0.25">
      <c r="A220" s="72">
        <v>221</v>
      </c>
      <c r="B220" s="72">
        <v>2</v>
      </c>
      <c r="C220" s="72">
        <v>11</v>
      </c>
      <c r="D220" s="55" t="s">
        <v>424</v>
      </c>
      <c r="E220" s="14">
        <v>41630</v>
      </c>
      <c r="F220" s="72">
        <v>73</v>
      </c>
      <c r="G220" s="72">
        <v>79</v>
      </c>
      <c r="H220" s="7">
        <v>24</v>
      </c>
      <c r="I220" s="7">
        <f t="shared" si="21"/>
        <v>20.399999999999999</v>
      </c>
      <c r="J220" s="7">
        <f t="shared" si="22"/>
        <v>22.799999999999997</v>
      </c>
      <c r="V220" s="55"/>
      <c r="W220" s="3"/>
    </row>
    <row r="221" spans="1:23" x14ac:dyDescent="0.25">
      <c r="A221" s="72">
        <v>222</v>
      </c>
      <c r="B221" s="72">
        <v>3</v>
      </c>
      <c r="C221" s="72">
        <v>11</v>
      </c>
      <c r="D221" s="55" t="s">
        <v>424</v>
      </c>
      <c r="E221" s="14">
        <v>41630</v>
      </c>
      <c r="F221" s="72">
        <v>73</v>
      </c>
      <c r="G221" s="72">
        <v>79</v>
      </c>
      <c r="H221" s="7">
        <v>21.4</v>
      </c>
      <c r="I221" s="7">
        <f t="shared" si="21"/>
        <v>18.189999999999998</v>
      </c>
      <c r="J221" s="7">
        <f t="shared" si="22"/>
        <v>20.329999999999998</v>
      </c>
      <c r="V221" s="57"/>
      <c r="W221" s="3"/>
    </row>
    <row r="222" spans="1:23" x14ac:dyDescent="0.25">
      <c r="A222" s="72">
        <v>223</v>
      </c>
      <c r="B222" s="72">
        <v>4</v>
      </c>
      <c r="C222" s="72">
        <v>11</v>
      </c>
      <c r="D222" s="55" t="s">
        <v>129</v>
      </c>
      <c r="E222" s="14">
        <v>41577</v>
      </c>
      <c r="F222" s="72">
        <v>126</v>
      </c>
      <c r="G222" s="72">
        <v>132</v>
      </c>
      <c r="H222" s="7">
        <v>24.5</v>
      </c>
      <c r="I222" s="7">
        <f t="shared" si="21"/>
        <v>20.824999999999999</v>
      </c>
      <c r="J222" s="7">
        <f t="shared" si="22"/>
        <v>23.274999999999999</v>
      </c>
      <c r="N222" s="14"/>
      <c r="O222" s="55"/>
      <c r="P222" s="14"/>
      <c r="V222" s="57"/>
      <c r="W222" s="3"/>
    </row>
    <row r="223" spans="1:23" x14ac:dyDescent="0.25">
      <c r="A223" s="72">
        <v>224</v>
      </c>
      <c r="B223" s="72">
        <v>5</v>
      </c>
      <c r="C223" s="72">
        <v>11</v>
      </c>
      <c r="D223" s="55" t="s">
        <v>129</v>
      </c>
      <c r="E223" s="14">
        <v>41577</v>
      </c>
      <c r="F223" s="72">
        <v>126</v>
      </c>
      <c r="G223" s="72">
        <v>132</v>
      </c>
      <c r="H223" s="7">
        <v>27.2</v>
      </c>
      <c r="I223" s="7">
        <f t="shared" si="21"/>
        <v>23.119999999999997</v>
      </c>
      <c r="J223" s="7">
        <f t="shared" si="22"/>
        <v>25.84</v>
      </c>
      <c r="N223" s="14"/>
      <c r="O223" s="55"/>
      <c r="P223" s="14"/>
      <c r="V223" s="55"/>
      <c r="W223" s="3"/>
    </row>
    <row r="224" spans="1:23" x14ac:dyDescent="0.25">
      <c r="A224" s="72">
        <v>225</v>
      </c>
      <c r="B224" s="72">
        <v>6</v>
      </c>
      <c r="C224" s="72">
        <v>11</v>
      </c>
      <c r="D224" s="55" t="s">
        <v>129</v>
      </c>
      <c r="E224" s="14">
        <v>41577</v>
      </c>
      <c r="F224" s="72">
        <v>126</v>
      </c>
      <c r="G224" s="72">
        <v>132</v>
      </c>
      <c r="H224" s="7">
        <v>29.3</v>
      </c>
      <c r="I224" s="7">
        <f t="shared" si="21"/>
        <v>24.905000000000001</v>
      </c>
      <c r="J224" s="7">
        <f t="shared" si="22"/>
        <v>27.835000000000001</v>
      </c>
      <c r="K224" s="72"/>
      <c r="L224" s="72"/>
      <c r="N224" s="20"/>
      <c r="O224" s="57"/>
      <c r="P224" s="20"/>
      <c r="V224" s="57"/>
    </row>
    <row r="225" spans="1:19" x14ac:dyDescent="0.25">
      <c r="A225" s="72">
        <v>226</v>
      </c>
      <c r="B225" s="72">
        <v>7</v>
      </c>
      <c r="C225" s="72">
        <v>11</v>
      </c>
      <c r="D225" s="55" t="s">
        <v>423</v>
      </c>
      <c r="E225" s="20">
        <v>41640</v>
      </c>
      <c r="F225" s="72">
        <v>63</v>
      </c>
      <c r="G225" s="72">
        <v>69</v>
      </c>
      <c r="H225" s="7">
        <v>26</v>
      </c>
      <c r="I225" s="7">
        <f t="shared" si="21"/>
        <v>22.099999999999998</v>
      </c>
      <c r="J225" s="7">
        <f t="shared" si="22"/>
        <v>24.7</v>
      </c>
      <c r="K225" s="99" t="s">
        <v>448</v>
      </c>
      <c r="L225" s="56"/>
      <c r="M225" s="56"/>
      <c r="N225" s="100"/>
      <c r="O225" s="94"/>
      <c r="P225" s="100"/>
    </row>
    <row r="226" spans="1:19" x14ac:dyDescent="0.25">
      <c r="A226" s="72">
        <v>227</v>
      </c>
      <c r="B226" s="72">
        <v>8</v>
      </c>
      <c r="C226" s="72">
        <v>11</v>
      </c>
      <c r="D226" s="55" t="s">
        <v>423</v>
      </c>
      <c r="E226" s="20">
        <v>41640</v>
      </c>
      <c r="F226" s="72">
        <v>63</v>
      </c>
      <c r="G226" s="72">
        <v>69</v>
      </c>
      <c r="H226" s="7">
        <v>26.1</v>
      </c>
      <c r="I226" s="7">
        <f t="shared" si="21"/>
        <v>22.185000000000002</v>
      </c>
      <c r="J226" s="7">
        <f t="shared" si="22"/>
        <v>24.795000000000002</v>
      </c>
      <c r="K226" s="99" t="s">
        <v>448</v>
      </c>
      <c r="L226" s="56"/>
      <c r="M226" s="56"/>
      <c r="N226" s="54"/>
      <c r="O226" s="56"/>
      <c r="P226" s="54"/>
    </row>
    <row r="227" spans="1:19" x14ac:dyDescent="0.25">
      <c r="A227" s="72">
        <v>228</v>
      </c>
      <c r="B227" s="72">
        <v>9</v>
      </c>
      <c r="C227" s="72">
        <v>11</v>
      </c>
      <c r="D227" s="57" t="s">
        <v>366</v>
      </c>
      <c r="E227" s="20">
        <v>41642</v>
      </c>
      <c r="F227" s="72">
        <v>61</v>
      </c>
      <c r="G227" s="72">
        <v>67</v>
      </c>
      <c r="H227" s="7">
        <v>21.3</v>
      </c>
      <c r="I227" s="7">
        <f t="shared" si="21"/>
        <v>18.105</v>
      </c>
      <c r="J227" s="7">
        <f t="shared" si="22"/>
        <v>20.234999999999999</v>
      </c>
      <c r="K227" s="99" t="s">
        <v>448</v>
      </c>
      <c r="L227" s="56"/>
      <c r="M227" s="56"/>
      <c r="N227" s="56"/>
      <c r="O227" s="56"/>
      <c r="P227" s="56"/>
      <c r="R227" s="94" t="s">
        <v>447</v>
      </c>
    </row>
    <row r="228" spans="1:19" x14ac:dyDescent="0.25">
      <c r="A228" s="72">
        <v>229</v>
      </c>
      <c r="B228" s="72">
        <v>10</v>
      </c>
      <c r="C228" s="72">
        <v>11</v>
      </c>
      <c r="D228" s="57" t="s">
        <v>366</v>
      </c>
      <c r="E228" s="20">
        <v>41642</v>
      </c>
      <c r="F228" s="72">
        <v>61</v>
      </c>
      <c r="G228" s="72">
        <v>67</v>
      </c>
      <c r="H228" s="7">
        <v>21.6</v>
      </c>
      <c r="I228" s="7">
        <f t="shared" si="21"/>
        <v>18.36</v>
      </c>
      <c r="J228" s="7">
        <f t="shared" si="22"/>
        <v>20.52</v>
      </c>
      <c r="K228" s="99" t="s">
        <v>448</v>
      </c>
      <c r="L228" s="56"/>
      <c r="M228" s="56"/>
      <c r="N228" s="56"/>
      <c r="O228" s="56"/>
      <c r="P228" s="56"/>
    </row>
    <row r="229" spans="1:19" x14ac:dyDescent="0.25">
      <c r="A229" s="72">
        <v>230</v>
      </c>
      <c r="B229" s="72">
        <v>11</v>
      </c>
      <c r="C229" s="72">
        <v>11</v>
      </c>
      <c r="D229" s="55" t="s">
        <v>410</v>
      </c>
      <c r="E229" s="14">
        <v>41618</v>
      </c>
      <c r="F229" s="72">
        <v>85</v>
      </c>
      <c r="G229" s="72">
        <v>91</v>
      </c>
      <c r="H229" s="7">
        <v>30.7</v>
      </c>
      <c r="I229" s="7">
        <f t="shared" ref="I229:I246" si="23">H229*0.85</f>
        <v>26.094999999999999</v>
      </c>
      <c r="J229" s="7">
        <f t="shared" ref="J229:J246" si="24">H229*0.95</f>
        <v>29.164999999999999</v>
      </c>
      <c r="L229" s="72"/>
      <c r="M229" s="72"/>
    </row>
    <row r="230" spans="1:19" x14ac:dyDescent="0.25">
      <c r="A230" s="72">
        <v>231</v>
      </c>
      <c r="B230" s="72">
        <v>12</v>
      </c>
      <c r="C230" s="72">
        <v>11</v>
      </c>
      <c r="D230" s="55" t="s">
        <v>410</v>
      </c>
      <c r="E230" s="20">
        <v>41618</v>
      </c>
      <c r="F230" s="72">
        <v>85</v>
      </c>
      <c r="G230" s="72">
        <v>91</v>
      </c>
      <c r="H230" s="84">
        <v>29.9</v>
      </c>
      <c r="I230" s="84">
        <f t="shared" si="23"/>
        <v>25.414999999999999</v>
      </c>
      <c r="J230" s="84">
        <f t="shared" si="24"/>
        <v>28.404999999999998</v>
      </c>
      <c r="L230" s="72"/>
      <c r="M230" s="72"/>
    </row>
    <row r="231" spans="1:19" x14ac:dyDescent="0.25">
      <c r="A231" s="72">
        <v>232</v>
      </c>
      <c r="B231" s="72">
        <v>1</v>
      </c>
      <c r="C231">
        <v>12</v>
      </c>
      <c r="D231" s="55" t="s">
        <v>425</v>
      </c>
      <c r="E231" s="20">
        <v>41653</v>
      </c>
      <c r="F231" s="2">
        <v>57</v>
      </c>
      <c r="G231" s="83">
        <v>63</v>
      </c>
      <c r="H231" s="84">
        <v>19.100000000000001</v>
      </c>
      <c r="I231" s="84">
        <f t="shared" si="23"/>
        <v>16.234999999999999</v>
      </c>
      <c r="J231" s="84">
        <f t="shared" si="24"/>
        <v>18.145</v>
      </c>
      <c r="K231" s="87" t="s">
        <v>429</v>
      </c>
      <c r="L231" s="90" t="s">
        <v>446</v>
      </c>
      <c r="Q231" s="55"/>
      <c r="R231" s="3"/>
    </row>
    <row r="232" spans="1:19" x14ac:dyDescent="0.25">
      <c r="A232" s="72">
        <v>233</v>
      </c>
      <c r="B232" s="72">
        <v>2</v>
      </c>
      <c r="C232" s="72">
        <v>12</v>
      </c>
      <c r="D232" s="55" t="s">
        <v>425</v>
      </c>
      <c r="E232" s="20">
        <v>41653</v>
      </c>
      <c r="F232" s="2">
        <v>57</v>
      </c>
      <c r="G232" s="83">
        <v>63</v>
      </c>
      <c r="H232" s="84">
        <v>18.3</v>
      </c>
      <c r="I232" s="84">
        <f t="shared" si="23"/>
        <v>15.555</v>
      </c>
      <c r="J232" s="84">
        <f t="shared" si="24"/>
        <v>17.385000000000002</v>
      </c>
      <c r="K232" s="87"/>
      <c r="L232" s="90" t="s">
        <v>446</v>
      </c>
      <c r="Q232" s="55"/>
      <c r="R232" s="3"/>
    </row>
    <row r="233" spans="1:19" x14ac:dyDescent="0.25">
      <c r="A233" s="72">
        <v>234</v>
      </c>
      <c r="B233" s="72">
        <v>3</v>
      </c>
      <c r="C233" s="72">
        <v>12</v>
      </c>
      <c r="D233" s="55" t="s">
        <v>426</v>
      </c>
      <c r="E233" s="20">
        <v>41646</v>
      </c>
      <c r="F233" s="2">
        <v>64</v>
      </c>
      <c r="G233" s="83">
        <v>70</v>
      </c>
      <c r="H233" s="84">
        <v>24.8</v>
      </c>
      <c r="I233" s="84">
        <f t="shared" si="23"/>
        <v>21.08</v>
      </c>
      <c r="J233" s="84">
        <f t="shared" si="24"/>
        <v>23.56</v>
      </c>
      <c r="K233" s="87"/>
      <c r="Q233" s="55"/>
      <c r="R233" s="3"/>
    </row>
    <row r="234" spans="1:19" x14ac:dyDescent="0.25">
      <c r="A234" s="72">
        <v>235</v>
      </c>
      <c r="B234" s="72">
        <v>4</v>
      </c>
      <c r="C234" s="72">
        <v>12</v>
      </c>
      <c r="D234" s="55" t="s">
        <v>426</v>
      </c>
      <c r="E234" s="20">
        <v>41646</v>
      </c>
      <c r="F234" s="2">
        <v>64</v>
      </c>
      <c r="G234" s="83">
        <v>70</v>
      </c>
      <c r="H234" s="84">
        <v>24.1</v>
      </c>
      <c r="I234" s="84">
        <f t="shared" si="23"/>
        <v>20.484999999999999</v>
      </c>
      <c r="J234" s="84">
        <f t="shared" si="24"/>
        <v>22.895</v>
      </c>
      <c r="K234" s="87" t="s">
        <v>430</v>
      </c>
      <c r="Q234" s="55"/>
      <c r="R234" s="3"/>
    </row>
    <row r="235" spans="1:19" x14ac:dyDescent="0.25">
      <c r="A235" s="72">
        <v>236</v>
      </c>
      <c r="B235" s="72">
        <v>5</v>
      </c>
      <c r="C235" s="72">
        <v>12</v>
      </c>
      <c r="D235" s="55" t="s">
        <v>410</v>
      </c>
      <c r="E235" s="20">
        <v>41618</v>
      </c>
      <c r="F235" s="2">
        <v>92</v>
      </c>
      <c r="G235" s="83">
        <v>98</v>
      </c>
      <c r="H235" s="84">
        <v>31.3</v>
      </c>
      <c r="I235" s="84">
        <f t="shared" si="23"/>
        <v>26.605</v>
      </c>
      <c r="J235" s="84">
        <f t="shared" si="24"/>
        <v>29.734999999999999</v>
      </c>
      <c r="K235" s="87" t="s">
        <v>431</v>
      </c>
      <c r="Q235" s="55"/>
      <c r="R235" s="3"/>
    </row>
    <row r="236" spans="1:19" x14ac:dyDescent="0.25">
      <c r="A236" s="72">
        <v>237</v>
      </c>
      <c r="B236" s="72">
        <v>6</v>
      </c>
      <c r="C236" s="72">
        <v>12</v>
      </c>
      <c r="D236" s="55" t="s">
        <v>410</v>
      </c>
      <c r="E236" s="20">
        <v>41618</v>
      </c>
      <c r="F236" s="2">
        <v>92</v>
      </c>
      <c r="G236" s="83">
        <v>98</v>
      </c>
      <c r="H236" s="84">
        <v>34.1</v>
      </c>
      <c r="I236" s="84">
        <f t="shared" si="23"/>
        <v>28.984999999999999</v>
      </c>
      <c r="J236" s="84">
        <f t="shared" si="24"/>
        <v>32.395000000000003</v>
      </c>
      <c r="K236" s="87" t="s">
        <v>432</v>
      </c>
      <c r="L236" s="57"/>
      <c r="M236" s="57"/>
      <c r="N236" s="57"/>
      <c r="O236" s="57"/>
      <c r="P236" s="57"/>
      <c r="Q236" s="55"/>
      <c r="R236" s="3"/>
      <c r="S236" s="57"/>
    </row>
    <row r="237" spans="1:19" x14ac:dyDescent="0.25">
      <c r="A237" s="72">
        <v>238</v>
      </c>
      <c r="B237" s="72">
        <v>7</v>
      </c>
      <c r="C237" s="72">
        <v>12</v>
      </c>
      <c r="D237" s="55" t="s">
        <v>423</v>
      </c>
      <c r="E237" s="20">
        <v>41640</v>
      </c>
      <c r="F237" s="2">
        <v>70</v>
      </c>
      <c r="G237" s="83">
        <v>76</v>
      </c>
      <c r="H237" s="84">
        <v>20.5</v>
      </c>
      <c r="I237" s="84">
        <f t="shared" si="23"/>
        <v>17.425000000000001</v>
      </c>
      <c r="J237" s="84">
        <f t="shared" si="24"/>
        <v>19.474999999999998</v>
      </c>
      <c r="K237" s="87" t="s">
        <v>433</v>
      </c>
      <c r="L237" s="57"/>
      <c r="M237" s="72"/>
      <c r="N237" s="20"/>
      <c r="O237" s="57"/>
      <c r="P237" s="57"/>
      <c r="Q237" s="55"/>
      <c r="R237" s="3"/>
      <c r="S237" s="57"/>
    </row>
    <row r="238" spans="1:19" x14ac:dyDescent="0.25">
      <c r="A238" s="72">
        <v>239</v>
      </c>
      <c r="B238" s="72">
        <v>8</v>
      </c>
      <c r="C238" s="72">
        <v>12</v>
      </c>
      <c r="D238" s="55" t="s">
        <v>423</v>
      </c>
      <c r="E238" s="20">
        <v>41640</v>
      </c>
      <c r="F238" s="2">
        <v>70</v>
      </c>
      <c r="G238" s="83">
        <v>76</v>
      </c>
      <c r="H238" s="84">
        <v>24.2</v>
      </c>
      <c r="I238" s="84">
        <f t="shared" si="23"/>
        <v>20.57</v>
      </c>
      <c r="J238" s="84">
        <f t="shared" si="24"/>
        <v>22.99</v>
      </c>
      <c r="K238" s="87" t="s">
        <v>434</v>
      </c>
      <c r="L238" s="98"/>
      <c r="M238" s="72"/>
      <c r="N238" s="81"/>
      <c r="O238" s="57"/>
      <c r="P238" s="57"/>
      <c r="Q238" s="55"/>
      <c r="R238" s="3"/>
      <c r="S238" s="57"/>
    </row>
    <row r="239" spans="1:19" x14ac:dyDescent="0.25">
      <c r="A239" s="72">
        <v>240</v>
      </c>
      <c r="B239" s="72">
        <v>9</v>
      </c>
      <c r="C239" s="72">
        <v>12</v>
      </c>
      <c r="D239" t="s">
        <v>56</v>
      </c>
      <c r="E239" s="20">
        <v>41632</v>
      </c>
      <c r="F239">
        <v>78</v>
      </c>
      <c r="G239">
        <v>84</v>
      </c>
      <c r="H239" s="84">
        <v>28.8</v>
      </c>
      <c r="I239" s="85">
        <f t="shared" si="23"/>
        <v>24.48</v>
      </c>
      <c r="J239" s="85">
        <f t="shared" si="24"/>
        <v>27.36</v>
      </c>
      <c r="K239" s="88" t="s">
        <v>435</v>
      </c>
      <c r="M239" s="72"/>
      <c r="N239" s="20"/>
      <c r="O239" s="57"/>
      <c r="P239" s="57"/>
      <c r="Q239" s="72"/>
      <c r="S239" s="57"/>
    </row>
    <row r="240" spans="1:19" x14ac:dyDescent="0.25">
      <c r="A240" s="72">
        <v>241</v>
      </c>
      <c r="B240" s="72">
        <v>10</v>
      </c>
      <c r="C240" s="72">
        <v>12</v>
      </c>
      <c r="D240" s="72" t="s">
        <v>56</v>
      </c>
      <c r="E240" s="20">
        <v>41632</v>
      </c>
      <c r="F240" s="72">
        <v>78</v>
      </c>
      <c r="G240" s="72">
        <v>84</v>
      </c>
      <c r="H240" s="84">
        <v>26.8</v>
      </c>
      <c r="I240" s="85">
        <f t="shared" si="23"/>
        <v>22.78</v>
      </c>
      <c r="J240" s="85">
        <f t="shared" si="24"/>
        <v>25.46</v>
      </c>
      <c r="K240" s="89"/>
      <c r="L240" s="82"/>
      <c r="M240" s="72"/>
      <c r="N240" s="81"/>
      <c r="O240" s="57"/>
      <c r="P240" s="57"/>
      <c r="Q240" s="55"/>
      <c r="R240" s="3"/>
      <c r="S240" s="57"/>
    </row>
    <row r="241" spans="1:21" x14ac:dyDescent="0.25">
      <c r="A241" s="72">
        <v>242</v>
      </c>
      <c r="B241" s="72">
        <v>11</v>
      </c>
      <c r="C241" s="72">
        <v>12</v>
      </c>
      <c r="D241" t="s">
        <v>427</v>
      </c>
      <c r="E241" s="20">
        <v>41651</v>
      </c>
      <c r="F241">
        <v>59</v>
      </c>
      <c r="G241">
        <v>65</v>
      </c>
      <c r="H241" s="84">
        <v>26.7</v>
      </c>
      <c r="I241" s="85">
        <f t="shared" si="23"/>
        <v>22.695</v>
      </c>
      <c r="J241" s="85">
        <f t="shared" si="24"/>
        <v>25.364999999999998</v>
      </c>
      <c r="K241" s="89"/>
      <c r="L241" s="98"/>
      <c r="M241" s="72"/>
      <c r="N241" s="81"/>
      <c r="O241" s="57"/>
      <c r="P241" s="57"/>
      <c r="Q241" s="72"/>
      <c r="R241" s="3"/>
      <c r="S241" s="57"/>
    </row>
    <row r="242" spans="1:21" x14ac:dyDescent="0.25">
      <c r="A242" s="72">
        <v>243</v>
      </c>
      <c r="B242" s="72">
        <v>12</v>
      </c>
      <c r="C242" s="72">
        <v>12</v>
      </c>
      <c r="D242" t="s">
        <v>427</v>
      </c>
      <c r="E242" s="20">
        <v>41651</v>
      </c>
      <c r="F242">
        <v>59</v>
      </c>
      <c r="G242">
        <v>65</v>
      </c>
      <c r="H242" s="84">
        <v>20.8</v>
      </c>
      <c r="I242" s="85">
        <f t="shared" si="23"/>
        <v>17.68</v>
      </c>
      <c r="J242" s="85">
        <f t="shared" si="24"/>
        <v>19.759999999999998</v>
      </c>
      <c r="K242" s="89"/>
      <c r="L242" s="98"/>
      <c r="M242" s="72"/>
      <c r="N242" s="81"/>
      <c r="O242" s="57"/>
      <c r="P242" s="57"/>
      <c r="Q242" s="72"/>
      <c r="R242" s="3"/>
      <c r="S242" s="57"/>
    </row>
    <row r="243" spans="1:21" x14ac:dyDescent="0.25">
      <c r="A243" s="72">
        <v>244</v>
      </c>
      <c r="B243">
        <v>13</v>
      </c>
      <c r="C243" s="72">
        <v>12</v>
      </c>
      <c r="D243" t="s">
        <v>428</v>
      </c>
      <c r="E243" s="20">
        <v>41647</v>
      </c>
      <c r="F243">
        <v>63</v>
      </c>
      <c r="G243">
        <v>69</v>
      </c>
      <c r="H243" s="84">
        <v>19.899999999999999</v>
      </c>
      <c r="I243" s="85">
        <f t="shared" si="23"/>
        <v>16.914999999999999</v>
      </c>
      <c r="J243" s="85">
        <f t="shared" si="24"/>
        <v>18.904999999999998</v>
      </c>
      <c r="K243" s="88"/>
      <c r="L243" s="57"/>
      <c r="M243" s="57"/>
      <c r="N243" s="20"/>
      <c r="O243" s="57"/>
      <c r="P243" s="57"/>
      <c r="Q243" s="72"/>
      <c r="R243" s="3"/>
      <c r="S243" s="57"/>
    </row>
    <row r="244" spans="1:21" x14ac:dyDescent="0.25">
      <c r="A244" s="72">
        <v>245</v>
      </c>
      <c r="B244">
        <v>14</v>
      </c>
      <c r="C244" s="72">
        <v>12</v>
      </c>
      <c r="D244" t="s">
        <v>428</v>
      </c>
      <c r="E244" s="20">
        <v>41647</v>
      </c>
      <c r="F244">
        <v>63</v>
      </c>
      <c r="G244">
        <v>69</v>
      </c>
      <c r="H244" s="84">
        <v>21.7</v>
      </c>
      <c r="I244" s="85">
        <f t="shared" si="23"/>
        <v>18.445</v>
      </c>
      <c r="J244" s="85">
        <f t="shared" si="24"/>
        <v>20.614999999999998</v>
      </c>
      <c r="K244" s="89"/>
      <c r="L244" s="82"/>
      <c r="M244" s="82"/>
      <c r="N244" s="81"/>
      <c r="O244" s="57"/>
      <c r="P244" s="57"/>
      <c r="Q244" s="72"/>
      <c r="R244" s="3"/>
      <c r="S244" s="57"/>
    </row>
    <row r="245" spans="1:21" x14ac:dyDescent="0.25">
      <c r="A245" s="72">
        <v>246</v>
      </c>
      <c r="B245">
        <v>15</v>
      </c>
      <c r="C245" s="72">
        <v>12</v>
      </c>
      <c r="D245" s="72" t="s">
        <v>411</v>
      </c>
      <c r="E245" s="20">
        <v>41653</v>
      </c>
      <c r="F245" s="72">
        <v>57</v>
      </c>
      <c r="G245" s="72">
        <v>63</v>
      </c>
      <c r="H245" s="84">
        <v>35.4</v>
      </c>
      <c r="I245" s="85">
        <f t="shared" si="23"/>
        <v>30.089999999999996</v>
      </c>
      <c r="J245" s="85">
        <f t="shared" si="24"/>
        <v>33.629999999999995</v>
      </c>
      <c r="K245" s="89"/>
      <c r="Q245" s="96"/>
      <c r="R245" s="3"/>
    </row>
    <row r="246" spans="1:21" x14ac:dyDescent="0.25">
      <c r="A246" s="72">
        <v>247</v>
      </c>
      <c r="B246">
        <v>16</v>
      </c>
      <c r="C246" s="72">
        <v>12</v>
      </c>
      <c r="D246" t="s">
        <v>411</v>
      </c>
      <c r="E246" s="20">
        <v>41653</v>
      </c>
      <c r="F246">
        <v>57</v>
      </c>
      <c r="G246">
        <v>63</v>
      </c>
      <c r="H246" s="84">
        <v>33.9</v>
      </c>
      <c r="I246" s="85">
        <f t="shared" si="23"/>
        <v>28.814999999999998</v>
      </c>
      <c r="J246" s="86">
        <f t="shared" si="24"/>
        <v>32.204999999999998</v>
      </c>
      <c r="K246" s="92" t="s">
        <v>436</v>
      </c>
      <c r="L246" s="91"/>
      <c r="M246" s="91"/>
      <c r="N246" s="93"/>
      <c r="O246" s="94"/>
      <c r="P246" s="94"/>
      <c r="Q246" s="72"/>
      <c r="R246" s="3"/>
      <c r="S246" s="94"/>
      <c r="T246" s="56"/>
      <c r="U246" s="56"/>
    </row>
    <row r="247" spans="1:21" x14ac:dyDescent="0.25">
      <c r="A247" s="72">
        <v>248</v>
      </c>
      <c r="B247" s="55">
        <v>1</v>
      </c>
      <c r="C247" s="55">
        <v>13</v>
      </c>
      <c r="D247" s="55" t="s">
        <v>428</v>
      </c>
      <c r="E247" s="14">
        <v>41647</v>
      </c>
      <c r="F247" s="55">
        <v>66</v>
      </c>
      <c r="G247" s="55">
        <v>72</v>
      </c>
      <c r="H247" s="97">
        <v>20</v>
      </c>
      <c r="I247" s="85">
        <f t="shared" ref="I247:I314" si="25">H247*0.85</f>
        <v>17</v>
      </c>
      <c r="J247" s="85">
        <f t="shared" ref="J247:J314" si="26">H247*0.95</f>
        <v>19</v>
      </c>
      <c r="K247" s="57"/>
      <c r="L247" s="57"/>
      <c r="M247" s="57"/>
      <c r="N247" s="20"/>
      <c r="O247" s="57"/>
      <c r="P247" s="57"/>
      <c r="Q247" s="72"/>
      <c r="S247" s="57"/>
    </row>
    <row r="248" spans="1:21" x14ac:dyDescent="0.25">
      <c r="A248" s="72">
        <v>249</v>
      </c>
      <c r="B248" s="55">
        <v>2</v>
      </c>
      <c r="C248" s="55">
        <v>13</v>
      </c>
      <c r="D248" s="55" t="s">
        <v>428</v>
      </c>
      <c r="E248" s="14">
        <v>41647</v>
      </c>
      <c r="F248" s="55">
        <v>66</v>
      </c>
      <c r="G248" s="55">
        <v>72</v>
      </c>
      <c r="H248" s="97">
        <v>22.8</v>
      </c>
      <c r="I248" s="85">
        <f t="shared" si="25"/>
        <v>19.38</v>
      </c>
      <c r="J248" s="85">
        <f t="shared" si="26"/>
        <v>21.66</v>
      </c>
      <c r="K248" s="57"/>
      <c r="L248" s="57"/>
      <c r="M248" s="57"/>
      <c r="N248" s="20"/>
      <c r="O248" s="57"/>
      <c r="P248" s="57"/>
      <c r="Q248" s="72"/>
      <c r="R248" s="3"/>
      <c r="S248" s="57"/>
    </row>
    <row r="249" spans="1:21" x14ac:dyDescent="0.25">
      <c r="A249" s="72">
        <v>250</v>
      </c>
      <c r="B249" s="55">
        <v>3</v>
      </c>
      <c r="C249" s="55">
        <v>13</v>
      </c>
      <c r="D249" s="55" t="s">
        <v>411</v>
      </c>
      <c r="E249" s="14">
        <v>41653</v>
      </c>
      <c r="F249" s="55">
        <v>60</v>
      </c>
      <c r="G249" s="55">
        <v>66</v>
      </c>
      <c r="H249" s="97">
        <v>33.299999999999997</v>
      </c>
      <c r="I249" s="85">
        <f t="shared" si="25"/>
        <v>28.304999999999996</v>
      </c>
      <c r="J249" s="85">
        <f t="shared" si="26"/>
        <v>31.634999999999994</v>
      </c>
      <c r="K249" s="57"/>
      <c r="L249" s="57"/>
      <c r="M249" s="57"/>
      <c r="N249" s="57"/>
      <c r="O249" s="57"/>
      <c r="P249" s="57"/>
      <c r="Q249" s="101"/>
      <c r="R249" s="3"/>
      <c r="S249" s="57"/>
    </row>
    <row r="250" spans="1:21" x14ac:dyDescent="0.25">
      <c r="A250" s="72">
        <v>251</v>
      </c>
      <c r="B250" s="55">
        <v>4</v>
      </c>
      <c r="C250" s="55">
        <v>13</v>
      </c>
      <c r="D250" s="55" t="s">
        <v>411</v>
      </c>
      <c r="E250" s="14">
        <v>41653</v>
      </c>
      <c r="F250" s="55">
        <v>60</v>
      </c>
      <c r="G250" s="55">
        <v>66</v>
      </c>
      <c r="H250" s="97">
        <v>40.799999999999997</v>
      </c>
      <c r="I250" s="85">
        <f t="shared" si="25"/>
        <v>34.68</v>
      </c>
      <c r="J250" s="85">
        <f t="shared" si="26"/>
        <v>38.76</v>
      </c>
      <c r="K250" s="57"/>
      <c r="L250" s="57"/>
      <c r="M250" s="57"/>
      <c r="N250" s="57"/>
      <c r="O250" s="57"/>
      <c r="P250" s="57"/>
      <c r="Q250" s="96"/>
      <c r="R250" s="3"/>
      <c r="S250" s="57"/>
    </row>
    <row r="251" spans="1:21" x14ac:dyDescent="0.25">
      <c r="A251" s="72">
        <v>252</v>
      </c>
      <c r="B251" s="55">
        <v>5</v>
      </c>
      <c r="C251" s="55">
        <v>13</v>
      </c>
      <c r="D251" s="55" t="s">
        <v>425</v>
      </c>
      <c r="E251" s="14">
        <v>41653</v>
      </c>
      <c r="F251" s="55">
        <v>60</v>
      </c>
      <c r="G251" s="55">
        <v>66</v>
      </c>
      <c r="H251" s="97">
        <v>19</v>
      </c>
      <c r="I251" s="85">
        <f t="shared" si="25"/>
        <v>16.149999999999999</v>
      </c>
      <c r="J251" s="85">
        <f t="shared" si="26"/>
        <v>18.05</v>
      </c>
      <c r="K251" s="57"/>
      <c r="L251" s="57"/>
      <c r="M251" s="57"/>
      <c r="N251" s="57"/>
      <c r="O251" s="57"/>
      <c r="P251" s="57"/>
      <c r="Q251" s="106"/>
      <c r="R251" s="3"/>
      <c r="S251" s="57"/>
    </row>
    <row r="252" spans="1:21" x14ac:dyDescent="0.25">
      <c r="A252" s="72">
        <v>253</v>
      </c>
      <c r="B252" s="55">
        <v>6</v>
      </c>
      <c r="C252" s="55">
        <v>13</v>
      </c>
      <c r="D252" s="55" t="s">
        <v>425</v>
      </c>
      <c r="E252" s="14">
        <v>41653</v>
      </c>
      <c r="F252" s="55">
        <v>60</v>
      </c>
      <c r="G252" s="55">
        <v>66</v>
      </c>
      <c r="H252" s="97">
        <v>19.2</v>
      </c>
      <c r="I252" s="85">
        <f t="shared" si="25"/>
        <v>16.32</v>
      </c>
      <c r="J252" s="85">
        <f t="shared" si="26"/>
        <v>18.239999999999998</v>
      </c>
      <c r="K252" s="57" t="s">
        <v>441</v>
      </c>
      <c r="L252" s="57"/>
      <c r="M252" s="57"/>
      <c r="N252" s="57"/>
      <c r="O252" s="57"/>
      <c r="P252" s="57"/>
      <c r="Q252" s="96"/>
      <c r="R252" s="3"/>
      <c r="S252" s="57"/>
    </row>
    <row r="253" spans="1:21" x14ac:dyDescent="0.25">
      <c r="A253" s="72">
        <v>254</v>
      </c>
      <c r="B253" s="55">
        <v>7</v>
      </c>
      <c r="C253" s="55">
        <v>13</v>
      </c>
      <c r="D253" s="55" t="s">
        <v>425</v>
      </c>
      <c r="E253" s="14">
        <v>41653</v>
      </c>
      <c r="F253" s="55">
        <v>60</v>
      </c>
      <c r="G253" s="55">
        <v>66</v>
      </c>
      <c r="H253" s="97">
        <v>18.399999999999999</v>
      </c>
      <c r="I253" s="85">
        <f t="shared" si="25"/>
        <v>15.639999999999999</v>
      </c>
      <c r="J253" s="85">
        <f t="shared" si="26"/>
        <v>17.479999999999997</v>
      </c>
      <c r="K253" s="57"/>
      <c r="L253" s="57"/>
      <c r="M253" s="57"/>
      <c r="N253" s="57"/>
      <c r="O253" s="57"/>
      <c r="P253" s="57"/>
      <c r="Q253" s="107"/>
      <c r="R253" s="3"/>
      <c r="S253" s="57"/>
    </row>
    <row r="254" spans="1:21" x14ac:dyDescent="0.25">
      <c r="A254" s="72">
        <v>255</v>
      </c>
      <c r="B254" s="55">
        <v>8</v>
      </c>
      <c r="C254" s="55">
        <v>13</v>
      </c>
      <c r="D254" s="55" t="s">
        <v>437</v>
      </c>
      <c r="E254" s="14">
        <v>41654</v>
      </c>
      <c r="F254" s="55">
        <v>59</v>
      </c>
      <c r="G254" s="55">
        <v>65</v>
      </c>
      <c r="H254" s="97">
        <v>26.7</v>
      </c>
      <c r="I254" s="85">
        <f t="shared" si="25"/>
        <v>22.695</v>
      </c>
      <c r="J254" s="85">
        <f t="shared" si="26"/>
        <v>25.364999999999998</v>
      </c>
      <c r="K254" s="57"/>
      <c r="L254" s="57"/>
      <c r="M254" s="57"/>
      <c r="N254" s="57"/>
      <c r="O254" s="57"/>
      <c r="P254" s="57"/>
      <c r="Q254" s="103"/>
      <c r="R254" s="3"/>
      <c r="S254" s="57"/>
    </row>
    <row r="255" spans="1:21" x14ac:dyDescent="0.25">
      <c r="A255" s="72">
        <v>256</v>
      </c>
      <c r="B255" s="55">
        <v>9</v>
      </c>
      <c r="C255" s="55">
        <v>13</v>
      </c>
      <c r="D255" s="55" t="s">
        <v>437</v>
      </c>
      <c r="E255" s="14">
        <v>41654</v>
      </c>
      <c r="F255" s="55">
        <v>59</v>
      </c>
      <c r="G255" s="55">
        <v>65</v>
      </c>
      <c r="H255" s="97">
        <v>27.7</v>
      </c>
      <c r="I255" s="85">
        <f t="shared" si="25"/>
        <v>23.544999999999998</v>
      </c>
      <c r="J255" s="85">
        <f t="shared" si="26"/>
        <v>26.314999999999998</v>
      </c>
      <c r="K255" s="57"/>
      <c r="L255" s="57"/>
      <c r="M255" s="57"/>
      <c r="N255" s="57"/>
      <c r="O255" s="57"/>
      <c r="P255" s="57"/>
      <c r="Q255" s="72"/>
      <c r="R255" s="3"/>
      <c r="S255" s="57"/>
    </row>
    <row r="256" spans="1:21" x14ac:dyDescent="0.25">
      <c r="A256" s="72">
        <v>257</v>
      </c>
      <c r="B256" s="55">
        <v>10</v>
      </c>
      <c r="C256" s="55">
        <v>13</v>
      </c>
      <c r="D256" s="55" t="s">
        <v>437</v>
      </c>
      <c r="E256" s="14">
        <v>41654</v>
      </c>
      <c r="F256" s="55">
        <v>59</v>
      </c>
      <c r="G256" s="55">
        <v>65</v>
      </c>
      <c r="H256" s="97">
        <v>23.5</v>
      </c>
      <c r="I256" s="85">
        <f t="shared" si="25"/>
        <v>19.974999999999998</v>
      </c>
      <c r="J256" s="85">
        <f t="shared" si="26"/>
        <v>22.324999999999999</v>
      </c>
      <c r="Q256" s="57"/>
    </row>
    <row r="257" spans="1:18" x14ac:dyDescent="0.25">
      <c r="A257" s="72">
        <v>258</v>
      </c>
      <c r="B257" s="55">
        <v>11</v>
      </c>
      <c r="C257" s="55">
        <v>13</v>
      </c>
      <c r="D257" s="55" t="s">
        <v>438</v>
      </c>
      <c r="E257" s="14">
        <v>41645</v>
      </c>
      <c r="F257" s="55">
        <v>68</v>
      </c>
      <c r="G257" s="55">
        <v>74</v>
      </c>
      <c r="H257" s="85">
        <v>25.4</v>
      </c>
      <c r="I257" s="85">
        <f t="shared" si="25"/>
        <v>21.59</v>
      </c>
      <c r="J257" s="85">
        <f t="shared" si="26"/>
        <v>24.13</v>
      </c>
      <c r="K257" s="56" t="s">
        <v>442</v>
      </c>
      <c r="L257" s="56"/>
      <c r="M257" s="56"/>
      <c r="Q257" s="111"/>
      <c r="R257" s="3"/>
    </row>
    <row r="258" spans="1:18" x14ac:dyDescent="0.25">
      <c r="A258" s="72">
        <v>259</v>
      </c>
      <c r="B258" s="55">
        <v>12</v>
      </c>
      <c r="C258" s="55">
        <v>13</v>
      </c>
      <c r="D258" s="96" t="s">
        <v>439</v>
      </c>
      <c r="E258" s="95">
        <v>41658</v>
      </c>
      <c r="F258" s="55">
        <v>55</v>
      </c>
      <c r="G258" s="55">
        <v>61</v>
      </c>
      <c r="H258" s="85">
        <v>24.8</v>
      </c>
      <c r="I258" s="85">
        <f t="shared" si="25"/>
        <v>21.08</v>
      </c>
      <c r="J258" s="85">
        <f t="shared" si="26"/>
        <v>23.56</v>
      </c>
      <c r="Q258" s="101"/>
      <c r="R258" s="3"/>
    </row>
    <row r="259" spans="1:18" x14ac:dyDescent="0.25">
      <c r="A259" s="72">
        <v>260</v>
      </c>
      <c r="B259" s="55">
        <v>13</v>
      </c>
      <c r="C259" s="55">
        <v>13</v>
      </c>
      <c r="D259" s="96" t="s">
        <v>439</v>
      </c>
      <c r="E259" s="95">
        <v>41658</v>
      </c>
      <c r="F259" s="55">
        <v>55</v>
      </c>
      <c r="G259" s="55">
        <v>61</v>
      </c>
      <c r="H259" s="85">
        <v>19.8</v>
      </c>
      <c r="I259" s="85">
        <f t="shared" si="25"/>
        <v>16.830000000000002</v>
      </c>
      <c r="J259" s="85">
        <f t="shared" si="26"/>
        <v>18.809999999999999</v>
      </c>
      <c r="Q259" s="106"/>
      <c r="R259" s="3"/>
    </row>
    <row r="260" spans="1:18" x14ac:dyDescent="0.25">
      <c r="A260" s="72">
        <v>261</v>
      </c>
      <c r="B260" s="55">
        <v>14</v>
      </c>
      <c r="C260" s="55">
        <v>13</v>
      </c>
      <c r="D260" s="55" t="s">
        <v>440</v>
      </c>
      <c r="E260" s="14">
        <v>41645</v>
      </c>
      <c r="F260" s="55">
        <v>68</v>
      </c>
      <c r="G260" s="55">
        <v>74</v>
      </c>
      <c r="H260" s="85">
        <v>20.2</v>
      </c>
      <c r="I260" s="85">
        <f t="shared" si="25"/>
        <v>17.169999999999998</v>
      </c>
      <c r="J260" s="85">
        <f t="shared" si="26"/>
        <v>19.189999999999998</v>
      </c>
      <c r="Q260" s="55"/>
      <c r="R260" s="3"/>
    </row>
    <row r="261" spans="1:18" x14ac:dyDescent="0.25">
      <c r="A261" s="72">
        <v>262</v>
      </c>
      <c r="B261" s="55">
        <v>15</v>
      </c>
      <c r="C261" s="55">
        <v>13</v>
      </c>
      <c r="D261" s="55" t="s">
        <v>440</v>
      </c>
      <c r="E261" s="14">
        <v>41645</v>
      </c>
      <c r="F261" s="55">
        <v>68</v>
      </c>
      <c r="G261" s="55">
        <v>74</v>
      </c>
      <c r="H261" s="85">
        <v>21.3</v>
      </c>
      <c r="I261" s="85">
        <f t="shared" si="25"/>
        <v>18.105</v>
      </c>
      <c r="J261" s="85">
        <f t="shared" si="26"/>
        <v>20.234999999999999</v>
      </c>
      <c r="Q261" s="106"/>
      <c r="R261" s="3"/>
    </row>
    <row r="262" spans="1:18" x14ac:dyDescent="0.25">
      <c r="A262" s="72">
        <v>263</v>
      </c>
      <c r="B262" s="55">
        <v>16</v>
      </c>
      <c r="C262" s="55">
        <v>13</v>
      </c>
      <c r="D262" s="55" t="s">
        <v>440</v>
      </c>
      <c r="E262" s="14">
        <v>41645</v>
      </c>
      <c r="F262" s="55">
        <v>68</v>
      </c>
      <c r="G262" s="55">
        <v>74</v>
      </c>
      <c r="H262" s="85">
        <v>23</v>
      </c>
      <c r="I262" s="85">
        <f t="shared" si="25"/>
        <v>19.55</v>
      </c>
      <c r="J262" s="85">
        <f t="shared" si="26"/>
        <v>21.849999999999998</v>
      </c>
      <c r="Q262" s="101"/>
      <c r="R262" s="3"/>
    </row>
    <row r="263" spans="1:18" x14ac:dyDescent="0.25">
      <c r="A263" s="72">
        <v>264</v>
      </c>
      <c r="B263" s="55">
        <v>1</v>
      </c>
      <c r="C263" s="55">
        <v>14</v>
      </c>
      <c r="D263" s="55" t="s">
        <v>145</v>
      </c>
      <c r="E263" s="14">
        <v>41661</v>
      </c>
      <c r="F263" s="55">
        <v>70</v>
      </c>
      <c r="G263" s="55">
        <v>76</v>
      </c>
      <c r="H263" s="85">
        <v>22.2</v>
      </c>
      <c r="I263" s="85">
        <f t="shared" si="25"/>
        <v>18.869999999999997</v>
      </c>
      <c r="J263" s="85">
        <f t="shared" si="26"/>
        <v>21.09</v>
      </c>
      <c r="K263" s="55"/>
      <c r="L263" s="55"/>
      <c r="M263" s="55"/>
      <c r="Q263" s="126"/>
      <c r="R263" s="3"/>
    </row>
    <row r="264" spans="1:18" x14ac:dyDescent="0.25">
      <c r="A264" s="72">
        <v>265</v>
      </c>
      <c r="B264" s="55">
        <v>2</v>
      </c>
      <c r="C264" s="55">
        <v>14</v>
      </c>
      <c r="D264" s="55" t="s">
        <v>145</v>
      </c>
      <c r="E264" s="14">
        <v>41661</v>
      </c>
      <c r="F264" s="55">
        <v>70</v>
      </c>
      <c r="G264" s="55">
        <v>76</v>
      </c>
      <c r="H264" s="85">
        <v>23.3</v>
      </c>
      <c r="I264" s="85">
        <f t="shared" si="25"/>
        <v>19.805</v>
      </c>
      <c r="J264" s="85">
        <f t="shared" si="26"/>
        <v>22.134999999999998</v>
      </c>
      <c r="K264" s="55"/>
      <c r="L264" s="55"/>
      <c r="M264" s="55"/>
      <c r="Q264" s="120"/>
      <c r="R264" s="3"/>
    </row>
    <row r="265" spans="1:18" x14ac:dyDescent="0.25">
      <c r="A265" s="72">
        <v>266</v>
      </c>
      <c r="B265" s="55">
        <v>3</v>
      </c>
      <c r="C265" s="55">
        <v>14</v>
      </c>
      <c r="D265" s="101" t="s">
        <v>450</v>
      </c>
      <c r="E265" s="14">
        <v>41666</v>
      </c>
      <c r="F265" s="55">
        <v>65</v>
      </c>
      <c r="G265" s="55">
        <v>71</v>
      </c>
      <c r="H265" s="85">
        <v>25.8</v>
      </c>
      <c r="I265" s="85">
        <f t="shared" si="25"/>
        <v>21.93</v>
      </c>
      <c r="J265" s="85">
        <f t="shared" si="26"/>
        <v>24.509999999999998</v>
      </c>
      <c r="K265" s="55"/>
      <c r="L265" s="55"/>
      <c r="M265" s="55"/>
      <c r="Q265" s="57"/>
    </row>
    <row r="266" spans="1:18" x14ac:dyDescent="0.25">
      <c r="A266" s="72">
        <v>267</v>
      </c>
      <c r="B266" s="55">
        <v>4</v>
      </c>
      <c r="C266" s="55">
        <v>14</v>
      </c>
      <c r="D266" s="101" t="s">
        <v>450</v>
      </c>
      <c r="E266" s="14">
        <v>41666</v>
      </c>
      <c r="F266" s="55">
        <v>65</v>
      </c>
      <c r="G266" s="55">
        <v>71</v>
      </c>
      <c r="H266" s="85">
        <v>26.1</v>
      </c>
      <c r="I266" s="85">
        <f t="shared" si="25"/>
        <v>22.185000000000002</v>
      </c>
      <c r="J266" s="85">
        <f t="shared" si="26"/>
        <v>24.795000000000002</v>
      </c>
      <c r="K266" s="55"/>
      <c r="L266" s="55"/>
      <c r="M266" s="55"/>
    </row>
    <row r="267" spans="1:18" x14ac:dyDescent="0.25">
      <c r="A267" s="72">
        <v>268</v>
      </c>
      <c r="B267" s="55">
        <v>5</v>
      </c>
      <c r="C267" s="55">
        <v>14</v>
      </c>
      <c r="D267" s="96" t="s">
        <v>453</v>
      </c>
      <c r="E267" s="95">
        <v>41666</v>
      </c>
      <c r="F267" s="55">
        <v>65</v>
      </c>
      <c r="G267" s="55">
        <v>71</v>
      </c>
      <c r="H267" s="85">
        <v>19.7</v>
      </c>
      <c r="I267" s="85">
        <f t="shared" si="25"/>
        <v>16.744999999999997</v>
      </c>
      <c r="J267" s="85">
        <f t="shared" si="26"/>
        <v>18.715</v>
      </c>
      <c r="K267" s="99" t="s">
        <v>456</v>
      </c>
      <c r="L267" s="55"/>
      <c r="M267" s="55"/>
    </row>
    <row r="268" spans="1:18" x14ac:dyDescent="0.25">
      <c r="A268" s="72">
        <v>269</v>
      </c>
      <c r="B268" s="55">
        <v>6</v>
      </c>
      <c r="C268" s="55">
        <v>14</v>
      </c>
      <c r="D268" s="96" t="s">
        <v>453</v>
      </c>
      <c r="E268" s="95">
        <v>41666</v>
      </c>
      <c r="F268" s="55">
        <v>65</v>
      </c>
      <c r="G268" s="55">
        <v>71</v>
      </c>
      <c r="H268" s="85">
        <v>24.7</v>
      </c>
      <c r="I268" s="85">
        <f t="shared" si="25"/>
        <v>20.994999999999997</v>
      </c>
      <c r="J268" s="85">
        <f t="shared" si="26"/>
        <v>23.465</v>
      </c>
      <c r="K268" s="99" t="s">
        <v>456</v>
      </c>
      <c r="L268" s="55"/>
      <c r="M268" s="55"/>
    </row>
    <row r="269" spans="1:18" x14ac:dyDescent="0.25">
      <c r="A269" s="72">
        <v>270</v>
      </c>
      <c r="B269" s="55">
        <v>7</v>
      </c>
      <c r="C269" s="55">
        <v>14</v>
      </c>
      <c r="D269" s="106" t="s">
        <v>452</v>
      </c>
      <c r="E269" s="105">
        <v>41674</v>
      </c>
      <c r="F269" s="55">
        <v>57</v>
      </c>
      <c r="G269" s="55">
        <v>63</v>
      </c>
      <c r="H269" s="85">
        <v>25.5</v>
      </c>
      <c r="I269" s="85">
        <f t="shared" si="25"/>
        <v>21.675000000000001</v>
      </c>
      <c r="J269" s="85">
        <f t="shared" si="26"/>
        <v>24.224999999999998</v>
      </c>
      <c r="K269" s="55"/>
      <c r="L269" s="55"/>
      <c r="M269" s="55"/>
    </row>
    <row r="270" spans="1:18" x14ac:dyDescent="0.25">
      <c r="A270" s="72">
        <v>271</v>
      </c>
      <c r="B270" s="55">
        <v>8</v>
      </c>
      <c r="C270" s="55">
        <v>14</v>
      </c>
      <c r="D270" s="106" t="s">
        <v>452</v>
      </c>
      <c r="E270" s="105">
        <v>41674</v>
      </c>
      <c r="F270" s="55">
        <v>57</v>
      </c>
      <c r="G270" s="55">
        <v>63</v>
      </c>
      <c r="H270" s="85">
        <v>24.8</v>
      </c>
      <c r="I270" s="85">
        <f t="shared" si="25"/>
        <v>21.08</v>
      </c>
      <c r="J270" s="85">
        <f t="shared" si="26"/>
        <v>23.56</v>
      </c>
      <c r="K270" s="55"/>
      <c r="L270" s="55"/>
      <c r="M270" s="55"/>
    </row>
    <row r="271" spans="1:18" x14ac:dyDescent="0.25">
      <c r="A271" s="72">
        <v>272</v>
      </c>
      <c r="B271" s="55">
        <v>9</v>
      </c>
      <c r="C271" s="55">
        <v>14</v>
      </c>
      <c r="D271" s="96" t="s">
        <v>439</v>
      </c>
      <c r="E271" s="95">
        <v>41658</v>
      </c>
      <c r="F271" s="55">
        <v>73</v>
      </c>
      <c r="G271" s="55">
        <v>79</v>
      </c>
      <c r="H271" s="85">
        <v>22.4</v>
      </c>
      <c r="I271" s="85">
        <f t="shared" si="25"/>
        <v>19.04</v>
      </c>
      <c r="J271" s="85">
        <f t="shared" si="26"/>
        <v>21.279999999999998</v>
      </c>
      <c r="K271" s="55"/>
      <c r="L271" s="55"/>
    </row>
    <row r="272" spans="1:18" x14ac:dyDescent="0.25">
      <c r="A272" s="72">
        <v>273</v>
      </c>
      <c r="B272" s="55">
        <v>10</v>
      </c>
      <c r="C272" s="55">
        <v>14</v>
      </c>
      <c r="D272" s="96" t="s">
        <v>439</v>
      </c>
      <c r="E272" s="95">
        <v>41658</v>
      </c>
      <c r="F272" s="55">
        <v>73</v>
      </c>
      <c r="G272" s="55">
        <v>79</v>
      </c>
      <c r="H272" s="85">
        <v>24.9</v>
      </c>
      <c r="I272" s="85">
        <f t="shared" si="25"/>
        <v>21.164999999999999</v>
      </c>
      <c r="J272" s="85">
        <f t="shared" si="26"/>
        <v>23.654999999999998</v>
      </c>
      <c r="K272" s="55"/>
      <c r="L272" s="55"/>
    </row>
    <row r="273" spans="1:26" x14ac:dyDescent="0.25">
      <c r="A273" s="72">
        <v>274</v>
      </c>
      <c r="B273" s="55">
        <v>11</v>
      </c>
      <c r="C273" s="55">
        <v>14</v>
      </c>
      <c r="D273" s="107" t="s">
        <v>454</v>
      </c>
      <c r="E273" s="20">
        <v>41671</v>
      </c>
      <c r="F273" s="55">
        <v>60</v>
      </c>
      <c r="G273" s="55">
        <v>66</v>
      </c>
      <c r="H273" s="85">
        <v>25</v>
      </c>
      <c r="I273" s="85">
        <f t="shared" si="25"/>
        <v>21.25</v>
      </c>
      <c r="J273" s="85">
        <f t="shared" si="26"/>
        <v>23.75</v>
      </c>
      <c r="K273" s="55"/>
      <c r="L273" s="55"/>
    </row>
    <row r="274" spans="1:26" x14ac:dyDescent="0.25">
      <c r="A274" s="72">
        <v>275</v>
      </c>
      <c r="B274" s="55">
        <v>12</v>
      </c>
      <c r="C274" s="55">
        <v>14</v>
      </c>
      <c r="D274" s="107" t="s">
        <v>454</v>
      </c>
      <c r="E274" s="20">
        <v>41671</v>
      </c>
      <c r="F274" s="55">
        <v>60</v>
      </c>
      <c r="G274" s="55">
        <v>66</v>
      </c>
      <c r="H274" s="85">
        <v>25</v>
      </c>
      <c r="I274" s="85">
        <f t="shared" si="25"/>
        <v>21.25</v>
      </c>
      <c r="J274" s="85">
        <f t="shared" si="26"/>
        <v>23.75</v>
      </c>
      <c r="K274" s="55"/>
      <c r="L274" s="55"/>
    </row>
    <row r="275" spans="1:26" x14ac:dyDescent="0.25">
      <c r="A275" s="72">
        <v>276</v>
      </c>
      <c r="B275" s="55">
        <v>13</v>
      </c>
      <c r="C275" s="55">
        <v>14</v>
      </c>
      <c r="D275" s="103" t="s">
        <v>451</v>
      </c>
      <c r="E275" s="102">
        <v>41663</v>
      </c>
      <c r="F275" s="55">
        <v>68</v>
      </c>
      <c r="G275" s="55">
        <v>74</v>
      </c>
      <c r="H275" s="85">
        <v>24.7</v>
      </c>
      <c r="I275" s="85">
        <f t="shared" si="25"/>
        <v>20.994999999999997</v>
      </c>
      <c r="J275" s="85">
        <f t="shared" si="26"/>
        <v>23.465</v>
      </c>
      <c r="K275" s="55" t="s">
        <v>472</v>
      </c>
      <c r="L275" s="55"/>
    </row>
    <row r="276" spans="1:26" x14ac:dyDescent="0.25">
      <c r="A276" s="72">
        <v>277</v>
      </c>
      <c r="B276" s="55">
        <v>14</v>
      </c>
      <c r="C276" s="55">
        <v>14</v>
      </c>
      <c r="D276" s="103" t="s">
        <v>451</v>
      </c>
      <c r="E276" s="102">
        <v>41663</v>
      </c>
      <c r="F276" s="55">
        <v>68</v>
      </c>
      <c r="G276" s="55">
        <v>74</v>
      </c>
      <c r="H276" s="85">
        <v>23</v>
      </c>
      <c r="I276" s="85">
        <f t="shared" si="25"/>
        <v>19.55</v>
      </c>
      <c r="J276" s="85">
        <f t="shared" si="26"/>
        <v>21.849999999999998</v>
      </c>
      <c r="K276" s="55"/>
      <c r="L276" s="55"/>
    </row>
    <row r="277" spans="1:26" x14ac:dyDescent="0.25">
      <c r="A277" s="72">
        <v>278</v>
      </c>
      <c r="B277" s="55">
        <v>15</v>
      </c>
      <c r="C277" s="55">
        <v>14</v>
      </c>
      <c r="D277" s="55" t="s">
        <v>455</v>
      </c>
      <c r="E277" s="14">
        <v>41667</v>
      </c>
      <c r="F277" s="55">
        <v>64</v>
      </c>
      <c r="G277" s="55">
        <v>70</v>
      </c>
      <c r="H277" s="85">
        <v>21.4</v>
      </c>
      <c r="I277" s="85">
        <f t="shared" si="25"/>
        <v>18.189999999999998</v>
      </c>
      <c r="J277" s="85">
        <f t="shared" si="26"/>
        <v>20.329999999999998</v>
      </c>
      <c r="K277" s="55"/>
      <c r="L277" s="55"/>
    </row>
    <row r="278" spans="1:26" x14ac:dyDescent="0.25">
      <c r="A278" s="72">
        <v>279</v>
      </c>
      <c r="B278" s="55">
        <v>16</v>
      </c>
      <c r="C278" s="55">
        <v>14</v>
      </c>
      <c r="D278" s="55" t="s">
        <v>455</v>
      </c>
      <c r="E278" s="14">
        <v>41667</v>
      </c>
      <c r="F278" s="55">
        <v>64</v>
      </c>
      <c r="G278" s="55">
        <v>70</v>
      </c>
      <c r="H278" s="85">
        <v>23</v>
      </c>
      <c r="I278" s="85">
        <f t="shared" si="25"/>
        <v>19.55</v>
      </c>
      <c r="J278" s="85">
        <f t="shared" si="26"/>
        <v>21.849999999999998</v>
      </c>
      <c r="K278" s="55"/>
      <c r="L278" s="55"/>
    </row>
    <row r="279" spans="1:26" x14ac:dyDescent="0.25">
      <c r="A279" s="72">
        <v>280</v>
      </c>
      <c r="B279" s="55">
        <v>1</v>
      </c>
      <c r="C279" s="55">
        <v>15</v>
      </c>
      <c r="D279" s="57" t="s">
        <v>455</v>
      </c>
      <c r="E279" s="20">
        <v>41667</v>
      </c>
      <c r="F279" s="55">
        <v>67</v>
      </c>
      <c r="G279" s="55">
        <v>73</v>
      </c>
      <c r="H279" s="85">
        <v>21.1</v>
      </c>
      <c r="I279" s="85">
        <f t="shared" si="25"/>
        <v>17.935000000000002</v>
      </c>
      <c r="J279" s="85">
        <f t="shared" si="26"/>
        <v>20.045000000000002</v>
      </c>
      <c r="K279" s="55"/>
      <c r="L279" s="55"/>
    </row>
    <row r="280" spans="1:26" x14ac:dyDescent="0.25">
      <c r="A280" s="72">
        <v>281</v>
      </c>
      <c r="B280" s="55">
        <v>2</v>
      </c>
      <c r="C280" s="55">
        <v>15</v>
      </c>
      <c r="D280" s="103" t="s">
        <v>455</v>
      </c>
      <c r="E280" s="20">
        <v>41667</v>
      </c>
      <c r="F280" s="55">
        <v>67</v>
      </c>
      <c r="G280" s="55">
        <v>73</v>
      </c>
      <c r="H280" s="85">
        <v>23.4</v>
      </c>
      <c r="I280" s="85">
        <f t="shared" si="25"/>
        <v>19.889999999999997</v>
      </c>
      <c r="J280" s="85">
        <f t="shared" si="26"/>
        <v>22.229999999999997</v>
      </c>
      <c r="K280" s="55"/>
      <c r="L280" s="55"/>
      <c r="M280" s="55"/>
      <c r="X280" s="72"/>
      <c r="Y280" s="72"/>
      <c r="Z280" s="72"/>
    </row>
    <row r="281" spans="1:26" x14ac:dyDescent="0.25">
      <c r="A281" s="72">
        <v>282</v>
      </c>
      <c r="B281" s="55">
        <v>3</v>
      </c>
      <c r="C281" s="55">
        <v>15</v>
      </c>
      <c r="D281" s="103" t="s">
        <v>454</v>
      </c>
      <c r="E281" s="14">
        <v>41671</v>
      </c>
      <c r="F281" s="55">
        <v>63</v>
      </c>
      <c r="G281" s="55">
        <v>69</v>
      </c>
      <c r="H281" s="85">
        <v>24</v>
      </c>
      <c r="I281" s="85">
        <f t="shared" si="25"/>
        <v>20.399999999999999</v>
      </c>
      <c r="J281" s="85">
        <f t="shared" si="26"/>
        <v>22.799999999999997</v>
      </c>
      <c r="K281" s="55"/>
      <c r="L281" s="72"/>
      <c r="Y281" s="72"/>
    </row>
    <row r="282" spans="1:26" x14ac:dyDescent="0.25">
      <c r="A282" s="72">
        <v>283</v>
      </c>
      <c r="B282" s="55">
        <v>4</v>
      </c>
      <c r="C282" s="55">
        <v>15</v>
      </c>
      <c r="D282" s="103" t="s">
        <v>454</v>
      </c>
      <c r="E282" s="14">
        <v>41671</v>
      </c>
      <c r="F282" s="55">
        <v>63</v>
      </c>
      <c r="G282" s="55">
        <v>69</v>
      </c>
      <c r="H282" s="85">
        <v>24.5</v>
      </c>
      <c r="I282" s="85">
        <f t="shared" si="25"/>
        <v>20.824999999999999</v>
      </c>
      <c r="J282" s="85">
        <f t="shared" si="26"/>
        <v>23.274999999999999</v>
      </c>
      <c r="K282" s="55"/>
      <c r="L282" s="55"/>
      <c r="M282" s="55"/>
    </row>
    <row r="283" spans="1:26" x14ac:dyDescent="0.25">
      <c r="A283" s="72">
        <v>284</v>
      </c>
      <c r="B283" s="55">
        <v>5</v>
      </c>
      <c r="C283" s="55">
        <v>15</v>
      </c>
      <c r="D283" s="103" t="s">
        <v>423</v>
      </c>
      <c r="E283" s="105">
        <v>41674</v>
      </c>
      <c r="F283" s="55">
        <v>60</v>
      </c>
      <c r="G283" s="55">
        <v>66</v>
      </c>
      <c r="H283" s="85">
        <v>24.7</v>
      </c>
      <c r="I283" s="85">
        <f t="shared" si="25"/>
        <v>20.994999999999997</v>
      </c>
      <c r="J283" s="85">
        <f t="shared" si="26"/>
        <v>23.465</v>
      </c>
      <c r="K283" s="55"/>
      <c r="U283"/>
    </row>
    <row r="284" spans="1:26" x14ac:dyDescent="0.25">
      <c r="A284" s="72">
        <v>285</v>
      </c>
      <c r="B284" s="55">
        <v>6</v>
      </c>
      <c r="C284" s="55">
        <v>15</v>
      </c>
      <c r="D284" s="103" t="s">
        <v>423</v>
      </c>
      <c r="E284" s="105">
        <v>41674</v>
      </c>
      <c r="F284" s="55">
        <v>60</v>
      </c>
      <c r="G284" s="55">
        <v>66</v>
      </c>
      <c r="H284" s="85">
        <v>24.7</v>
      </c>
      <c r="I284" s="85">
        <f t="shared" si="25"/>
        <v>20.994999999999997</v>
      </c>
      <c r="J284" s="85">
        <f t="shared" si="26"/>
        <v>23.465</v>
      </c>
      <c r="K284" s="55"/>
      <c r="U284"/>
      <c r="Z284" s="57"/>
    </row>
    <row r="285" spans="1:26" x14ac:dyDescent="0.25">
      <c r="A285" s="72">
        <v>286</v>
      </c>
      <c r="B285" s="55">
        <v>7</v>
      </c>
      <c r="C285" s="55">
        <v>15</v>
      </c>
      <c r="D285" s="103" t="s">
        <v>457</v>
      </c>
      <c r="E285" s="105">
        <v>41672</v>
      </c>
      <c r="F285" s="55">
        <v>62</v>
      </c>
      <c r="G285" s="55">
        <v>68</v>
      </c>
      <c r="H285" s="85">
        <v>21.8</v>
      </c>
      <c r="I285" s="85">
        <f t="shared" si="25"/>
        <v>18.53</v>
      </c>
      <c r="J285" s="85">
        <f t="shared" si="26"/>
        <v>20.71</v>
      </c>
      <c r="K285" s="55"/>
      <c r="Y285" s="57"/>
    </row>
    <row r="286" spans="1:26" x14ac:dyDescent="0.25">
      <c r="A286" s="72">
        <v>287</v>
      </c>
      <c r="B286" s="55">
        <v>8</v>
      </c>
      <c r="C286" s="55">
        <v>15</v>
      </c>
      <c r="D286" s="103" t="s">
        <v>457</v>
      </c>
      <c r="E286" s="105">
        <v>41672</v>
      </c>
      <c r="F286" s="55">
        <v>62</v>
      </c>
      <c r="G286" s="55">
        <v>68</v>
      </c>
      <c r="H286" s="85">
        <v>24</v>
      </c>
      <c r="I286" s="85">
        <f t="shared" si="25"/>
        <v>20.399999999999999</v>
      </c>
      <c r="J286" s="85">
        <f t="shared" si="26"/>
        <v>22.799999999999997</v>
      </c>
      <c r="K286" s="55"/>
      <c r="Y286" s="72"/>
    </row>
    <row r="287" spans="1:26" x14ac:dyDescent="0.25">
      <c r="A287" s="72">
        <v>288</v>
      </c>
      <c r="B287" s="55">
        <v>9</v>
      </c>
      <c r="C287" s="55">
        <v>15</v>
      </c>
      <c r="D287" s="103" t="s">
        <v>460</v>
      </c>
      <c r="E287" s="105">
        <v>41675</v>
      </c>
      <c r="F287" s="55">
        <v>59</v>
      </c>
      <c r="G287" s="55">
        <v>65</v>
      </c>
      <c r="H287" s="85">
        <v>24.1</v>
      </c>
      <c r="I287" s="85">
        <f t="shared" si="25"/>
        <v>20.484999999999999</v>
      </c>
      <c r="J287" s="85">
        <f t="shared" si="26"/>
        <v>22.895</v>
      </c>
      <c r="K287" s="56" t="s">
        <v>473</v>
      </c>
    </row>
    <row r="288" spans="1:26" ht="15" customHeight="1" x14ac:dyDescent="0.25">
      <c r="A288" s="72">
        <v>289</v>
      </c>
      <c r="B288" s="55">
        <v>10</v>
      </c>
      <c r="C288" s="55">
        <v>15</v>
      </c>
      <c r="D288" s="103" t="s">
        <v>460</v>
      </c>
      <c r="E288" s="105">
        <v>41675</v>
      </c>
      <c r="F288" s="55">
        <v>59</v>
      </c>
      <c r="G288" s="55">
        <v>65</v>
      </c>
      <c r="H288" s="85">
        <v>23.6</v>
      </c>
      <c r="I288" s="85">
        <f t="shared" si="25"/>
        <v>20.060000000000002</v>
      </c>
      <c r="J288" s="85">
        <f t="shared" si="26"/>
        <v>22.42</v>
      </c>
      <c r="K288" s="56" t="s">
        <v>473</v>
      </c>
      <c r="Y288" s="72"/>
    </row>
    <row r="289" spans="1:25" x14ac:dyDescent="0.25">
      <c r="A289" s="72">
        <v>290</v>
      </c>
      <c r="B289" s="55">
        <v>11</v>
      </c>
      <c r="C289" s="55">
        <v>15</v>
      </c>
      <c r="D289" s="103" t="s">
        <v>450</v>
      </c>
      <c r="E289" s="14">
        <v>41666</v>
      </c>
      <c r="F289" s="55">
        <v>68</v>
      </c>
      <c r="G289" s="55">
        <v>74</v>
      </c>
      <c r="H289" s="85">
        <v>26.1</v>
      </c>
      <c r="I289" s="85">
        <f t="shared" si="25"/>
        <v>22.185000000000002</v>
      </c>
      <c r="J289" s="85">
        <f t="shared" si="26"/>
        <v>24.795000000000002</v>
      </c>
      <c r="K289" s="56" t="s">
        <v>473</v>
      </c>
      <c r="Y289" s="72"/>
    </row>
    <row r="290" spans="1:25" ht="26.25" customHeight="1" x14ac:dyDescent="0.25">
      <c r="A290" s="72">
        <v>291</v>
      </c>
      <c r="B290" s="55">
        <v>12</v>
      </c>
      <c r="C290" s="57">
        <v>15</v>
      </c>
      <c r="D290" s="103" t="s">
        <v>450</v>
      </c>
      <c r="E290" s="20">
        <v>41666</v>
      </c>
      <c r="F290" s="55">
        <v>68</v>
      </c>
      <c r="G290" s="55">
        <v>74</v>
      </c>
      <c r="H290" s="85">
        <v>29.7</v>
      </c>
      <c r="I290" s="85">
        <f t="shared" si="25"/>
        <v>25.244999999999997</v>
      </c>
      <c r="J290" s="85">
        <f t="shared" si="26"/>
        <v>28.214999999999996</v>
      </c>
      <c r="K290" s="56" t="s">
        <v>473</v>
      </c>
    </row>
    <row r="291" spans="1:25" ht="24.75" customHeight="1" x14ac:dyDescent="0.25">
      <c r="A291" s="72">
        <v>292</v>
      </c>
      <c r="B291" s="55">
        <v>13</v>
      </c>
      <c r="C291" s="57">
        <v>15</v>
      </c>
      <c r="D291" s="103" t="s">
        <v>458</v>
      </c>
      <c r="E291" s="113">
        <v>41686</v>
      </c>
      <c r="F291" s="55">
        <v>48</v>
      </c>
      <c r="G291" s="55">
        <v>54</v>
      </c>
      <c r="H291" s="85">
        <v>25.6</v>
      </c>
      <c r="I291" s="85">
        <f t="shared" si="25"/>
        <v>21.76</v>
      </c>
      <c r="J291" s="85">
        <f t="shared" si="26"/>
        <v>24.32</v>
      </c>
      <c r="K291" s="15" t="s">
        <v>459</v>
      </c>
    </row>
    <row r="292" spans="1:25" x14ac:dyDescent="0.25">
      <c r="A292" s="72">
        <v>293</v>
      </c>
      <c r="B292" s="55">
        <v>14</v>
      </c>
      <c r="C292" s="57">
        <v>15</v>
      </c>
      <c r="D292" s="103" t="s">
        <v>458</v>
      </c>
      <c r="E292" s="113">
        <v>41686</v>
      </c>
      <c r="F292" s="55">
        <v>48</v>
      </c>
      <c r="G292" s="55">
        <v>54</v>
      </c>
      <c r="H292" s="85">
        <v>24.9</v>
      </c>
      <c r="I292" s="85">
        <f t="shared" si="25"/>
        <v>21.164999999999999</v>
      </c>
      <c r="J292" s="85">
        <f t="shared" si="26"/>
        <v>23.654999999999998</v>
      </c>
      <c r="K292" s="15" t="s">
        <v>459</v>
      </c>
    </row>
    <row r="293" spans="1:25" x14ac:dyDescent="0.25">
      <c r="A293" s="72">
        <v>294</v>
      </c>
      <c r="B293" s="55">
        <v>15</v>
      </c>
      <c r="C293" s="57">
        <v>15</v>
      </c>
      <c r="D293" s="103" t="s">
        <v>452</v>
      </c>
      <c r="E293" s="105">
        <v>41674</v>
      </c>
      <c r="F293" s="55">
        <v>60</v>
      </c>
      <c r="G293" s="55">
        <v>66</v>
      </c>
      <c r="H293" s="85">
        <v>23.7</v>
      </c>
      <c r="I293" s="85">
        <f t="shared" si="25"/>
        <v>20.145</v>
      </c>
      <c r="J293" s="85">
        <f t="shared" si="26"/>
        <v>22.514999999999997</v>
      </c>
    </row>
    <row r="294" spans="1:25" x14ac:dyDescent="0.25">
      <c r="A294" s="72">
        <v>295</v>
      </c>
      <c r="B294" s="55">
        <v>16</v>
      </c>
      <c r="C294" s="55">
        <v>15</v>
      </c>
      <c r="D294" s="103" t="s">
        <v>452</v>
      </c>
      <c r="E294" s="105">
        <v>41674</v>
      </c>
      <c r="F294" s="55">
        <v>60</v>
      </c>
      <c r="G294" s="55">
        <v>66</v>
      </c>
      <c r="H294" s="85">
        <v>22.3</v>
      </c>
      <c r="I294" s="85">
        <f t="shared" si="25"/>
        <v>18.955000000000002</v>
      </c>
      <c r="J294" s="85">
        <f t="shared" si="26"/>
        <v>21.184999999999999</v>
      </c>
      <c r="P294" s="124"/>
      <c r="Q294" s="30"/>
    </row>
    <row r="295" spans="1:25" x14ac:dyDescent="0.25">
      <c r="A295" s="72">
        <v>296</v>
      </c>
      <c r="B295" s="55">
        <v>1</v>
      </c>
      <c r="C295" s="55">
        <v>16</v>
      </c>
      <c r="D295" s="124" t="s">
        <v>439</v>
      </c>
      <c r="E295" s="123">
        <v>41689</v>
      </c>
      <c r="F295" s="55">
        <v>49</v>
      </c>
      <c r="G295" s="55">
        <v>55</v>
      </c>
      <c r="H295" s="85">
        <v>23.4</v>
      </c>
      <c r="I295" s="85">
        <f t="shared" si="25"/>
        <v>19.889999999999997</v>
      </c>
      <c r="J295" s="85">
        <f t="shared" si="26"/>
        <v>22.229999999999997</v>
      </c>
      <c r="K295" s="15" t="s">
        <v>459</v>
      </c>
      <c r="M295" s="55"/>
      <c r="P295" s="126"/>
      <c r="Q295" s="30"/>
    </row>
    <row r="296" spans="1:25" x14ac:dyDescent="0.25">
      <c r="A296" s="72">
        <v>297</v>
      </c>
      <c r="B296" s="55">
        <v>2</v>
      </c>
      <c r="C296" s="55">
        <v>16</v>
      </c>
      <c r="D296" s="124" t="s">
        <v>439</v>
      </c>
      <c r="E296" s="123">
        <v>41689</v>
      </c>
      <c r="F296" s="55">
        <v>49</v>
      </c>
      <c r="G296" s="55">
        <v>55</v>
      </c>
      <c r="H296" s="85">
        <v>20.3</v>
      </c>
      <c r="I296" s="85">
        <f t="shared" si="25"/>
        <v>17.254999999999999</v>
      </c>
      <c r="J296" s="85">
        <f t="shared" si="26"/>
        <v>19.285</v>
      </c>
      <c r="K296" s="15" t="s">
        <v>459</v>
      </c>
      <c r="M296" s="55"/>
      <c r="P296" s="126"/>
      <c r="Q296" s="30"/>
    </row>
    <row r="297" spans="1:25" x14ac:dyDescent="0.25">
      <c r="A297" s="72">
        <v>298</v>
      </c>
      <c r="B297" s="55">
        <v>3</v>
      </c>
      <c r="C297" s="55">
        <v>16</v>
      </c>
      <c r="D297" s="126" t="s">
        <v>462</v>
      </c>
      <c r="E297" s="125">
        <v>41682</v>
      </c>
      <c r="F297" s="55">
        <v>56</v>
      </c>
      <c r="G297" s="55">
        <v>62</v>
      </c>
      <c r="H297" s="85">
        <v>24</v>
      </c>
      <c r="I297" s="85">
        <f t="shared" si="25"/>
        <v>20.399999999999999</v>
      </c>
      <c r="J297" s="85">
        <f t="shared" si="26"/>
        <v>22.799999999999997</v>
      </c>
      <c r="K297" s="15" t="s">
        <v>459</v>
      </c>
      <c r="L297" s="56" t="s">
        <v>478</v>
      </c>
      <c r="P297" s="107"/>
      <c r="Q297" s="30"/>
    </row>
    <row r="298" spans="1:25" x14ac:dyDescent="0.25">
      <c r="A298" s="72">
        <v>299</v>
      </c>
      <c r="B298" s="55">
        <v>4</v>
      </c>
      <c r="C298" s="55">
        <v>16</v>
      </c>
      <c r="D298" s="126" t="s">
        <v>462</v>
      </c>
      <c r="E298" s="125">
        <v>41682</v>
      </c>
      <c r="F298" s="55">
        <v>56</v>
      </c>
      <c r="G298" s="55">
        <v>62</v>
      </c>
      <c r="H298" s="85">
        <v>21.2</v>
      </c>
      <c r="I298" s="85">
        <f t="shared" si="25"/>
        <v>18.02</v>
      </c>
      <c r="J298" s="85">
        <f t="shared" si="26"/>
        <v>20.139999999999997</v>
      </c>
      <c r="K298" s="15" t="s">
        <v>459</v>
      </c>
      <c r="L298" s="56" t="s">
        <v>478</v>
      </c>
      <c r="P298" s="124"/>
      <c r="Q298" s="30"/>
    </row>
    <row r="299" spans="1:25" x14ac:dyDescent="0.25">
      <c r="A299" s="72">
        <v>300</v>
      </c>
      <c r="B299" s="55">
        <v>5</v>
      </c>
      <c r="C299" s="55">
        <v>16</v>
      </c>
      <c r="D299" s="126" t="s">
        <v>462</v>
      </c>
      <c r="E299" s="125">
        <v>41682</v>
      </c>
      <c r="F299" s="55">
        <v>56</v>
      </c>
      <c r="G299" s="55">
        <v>62</v>
      </c>
      <c r="H299" s="85">
        <v>19</v>
      </c>
      <c r="I299" s="85">
        <f t="shared" si="25"/>
        <v>16.149999999999999</v>
      </c>
      <c r="J299" s="85">
        <f t="shared" si="26"/>
        <v>18.05</v>
      </c>
      <c r="K299" s="15" t="s">
        <v>459</v>
      </c>
      <c r="L299" s="56" t="s">
        <v>478</v>
      </c>
      <c r="P299" s="116"/>
      <c r="Q299" s="30"/>
    </row>
    <row r="300" spans="1:25" x14ac:dyDescent="0.25">
      <c r="A300" s="72">
        <v>301</v>
      </c>
      <c r="B300" s="55">
        <v>6</v>
      </c>
      <c r="C300" s="55">
        <v>16</v>
      </c>
      <c r="D300" s="126" t="s">
        <v>458</v>
      </c>
      <c r="E300" s="125">
        <v>41686</v>
      </c>
      <c r="F300" s="55">
        <v>52</v>
      </c>
      <c r="G300" s="55">
        <v>58</v>
      </c>
      <c r="H300" s="85">
        <v>21.8</v>
      </c>
      <c r="I300" s="85">
        <f t="shared" si="25"/>
        <v>18.53</v>
      </c>
      <c r="J300" s="85">
        <f t="shared" si="26"/>
        <v>20.71</v>
      </c>
      <c r="K300" s="15" t="s">
        <v>459</v>
      </c>
      <c r="M300" s="55"/>
      <c r="P300" s="120"/>
      <c r="Q300" s="30"/>
    </row>
    <row r="301" spans="1:25" x14ac:dyDescent="0.25">
      <c r="A301" s="72">
        <v>302</v>
      </c>
      <c r="B301" s="55">
        <v>7</v>
      </c>
      <c r="C301" s="55">
        <v>16</v>
      </c>
      <c r="D301" s="126" t="s">
        <v>458</v>
      </c>
      <c r="E301" s="125">
        <v>41686</v>
      </c>
      <c r="F301" s="55">
        <v>52</v>
      </c>
      <c r="G301" s="55">
        <v>58</v>
      </c>
      <c r="H301" s="85">
        <v>27.6</v>
      </c>
      <c r="I301" s="85">
        <f t="shared" si="25"/>
        <v>23.46</v>
      </c>
      <c r="J301" s="85">
        <f t="shared" si="26"/>
        <v>26.22</v>
      </c>
      <c r="K301" s="15" t="s">
        <v>459</v>
      </c>
      <c r="M301" s="55"/>
    </row>
    <row r="302" spans="1:25" x14ac:dyDescent="0.25">
      <c r="A302" s="72">
        <v>303</v>
      </c>
      <c r="B302" s="55">
        <v>8</v>
      </c>
      <c r="C302" s="55">
        <v>16</v>
      </c>
      <c r="D302" s="126" t="s">
        <v>458</v>
      </c>
      <c r="E302" s="125">
        <v>41686</v>
      </c>
      <c r="F302" s="55">
        <v>52</v>
      </c>
      <c r="G302" s="55">
        <v>58</v>
      </c>
      <c r="H302" s="85">
        <v>26.8</v>
      </c>
      <c r="I302" s="85">
        <f t="shared" si="25"/>
        <v>22.78</v>
      </c>
      <c r="J302" s="85">
        <f t="shared" si="26"/>
        <v>25.46</v>
      </c>
      <c r="K302" s="15" t="s">
        <v>459</v>
      </c>
    </row>
    <row r="303" spans="1:25" x14ac:dyDescent="0.25">
      <c r="A303" s="72">
        <v>304</v>
      </c>
      <c r="B303" s="55">
        <v>9</v>
      </c>
      <c r="C303" s="55">
        <v>16</v>
      </c>
      <c r="D303" s="107" t="s">
        <v>464</v>
      </c>
      <c r="E303" s="118">
        <v>41670</v>
      </c>
      <c r="F303" s="55">
        <v>68</v>
      </c>
      <c r="G303" s="55">
        <v>74</v>
      </c>
      <c r="H303" s="85">
        <v>27</v>
      </c>
      <c r="I303" s="85">
        <f t="shared" si="25"/>
        <v>22.95</v>
      </c>
      <c r="J303" s="85">
        <f t="shared" si="26"/>
        <v>25.65</v>
      </c>
    </row>
    <row r="304" spans="1:25" x14ac:dyDescent="0.25">
      <c r="A304" s="72">
        <v>305</v>
      </c>
      <c r="B304" s="55">
        <v>10</v>
      </c>
      <c r="C304" s="55">
        <v>16</v>
      </c>
      <c r="D304" s="107" t="s">
        <v>464</v>
      </c>
      <c r="E304" s="118">
        <v>41670</v>
      </c>
      <c r="F304" s="55">
        <v>68</v>
      </c>
      <c r="G304" s="55">
        <v>74</v>
      </c>
      <c r="H304" s="85">
        <v>26.2</v>
      </c>
      <c r="I304" s="85">
        <f t="shared" si="25"/>
        <v>22.27</v>
      </c>
      <c r="J304" s="85">
        <f t="shared" si="26"/>
        <v>24.889999999999997</v>
      </c>
      <c r="L304" s="128" t="s">
        <v>470</v>
      </c>
      <c r="M304" s="128"/>
      <c r="N304" s="128"/>
    </row>
    <row r="305" spans="1:18" x14ac:dyDescent="0.25">
      <c r="A305" s="59">
        <v>306</v>
      </c>
      <c r="B305" s="59">
        <v>11</v>
      </c>
      <c r="C305" s="55">
        <v>16</v>
      </c>
      <c r="D305" s="120" t="s">
        <v>423</v>
      </c>
      <c r="E305" s="121">
        <v>41674</v>
      </c>
      <c r="F305" s="55">
        <v>64</v>
      </c>
      <c r="G305" s="55">
        <v>70</v>
      </c>
      <c r="H305" s="85">
        <v>23.3</v>
      </c>
      <c r="I305" s="85">
        <f t="shared" si="25"/>
        <v>19.805</v>
      </c>
      <c r="J305" s="85">
        <f t="shared" si="26"/>
        <v>22.134999999999998</v>
      </c>
      <c r="L305" s="59" t="s">
        <v>471</v>
      </c>
    </row>
    <row r="306" spans="1:18" x14ac:dyDescent="0.25">
      <c r="A306" s="55">
        <v>307</v>
      </c>
      <c r="B306" s="55">
        <v>12</v>
      </c>
      <c r="C306" s="55">
        <v>16</v>
      </c>
      <c r="D306" s="124" t="s">
        <v>463</v>
      </c>
      <c r="E306" s="123">
        <v>41689</v>
      </c>
      <c r="F306" s="55">
        <v>49</v>
      </c>
      <c r="G306" s="55">
        <v>55</v>
      </c>
      <c r="H306" s="85">
        <v>20</v>
      </c>
      <c r="I306" s="85">
        <f t="shared" si="25"/>
        <v>17</v>
      </c>
      <c r="J306" s="85">
        <f t="shared" si="26"/>
        <v>19</v>
      </c>
      <c r="K306" s="92" t="s">
        <v>477</v>
      </c>
      <c r="L306" s="116"/>
      <c r="N306" s="116"/>
      <c r="O306" s="116"/>
      <c r="P306" s="116"/>
      <c r="Q306" s="116"/>
      <c r="R306" s="116"/>
    </row>
    <row r="307" spans="1:18" x14ac:dyDescent="0.25">
      <c r="A307" s="55">
        <v>308</v>
      </c>
      <c r="B307" s="55">
        <v>13</v>
      </c>
      <c r="C307" s="55">
        <v>16</v>
      </c>
      <c r="D307" s="124" t="s">
        <v>463</v>
      </c>
      <c r="E307" s="123">
        <v>41689</v>
      </c>
      <c r="F307" s="55">
        <v>49</v>
      </c>
      <c r="G307" s="55">
        <v>55</v>
      </c>
      <c r="H307" s="85">
        <v>22.4</v>
      </c>
      <c r="I307" s="85">
        <f t="shared" si="25"/>
        <v>19.04</v>
      </c>
      <c r="J307" s="85">
        <f t="shared" si="26"/>
        <v>21.279999999999998</v>
      </c>
      <c r="K307" s="56" t="s">
        <v>477</v>
      </c>
      <c r="P307" s="116"/>
      <c r="Q307" s="116"/>
      <c r="R307" s="116"/>
    </row>
    <row r="308" spans="1:18" x14ac:dyDescent="0.25">
      <c r="A308" s="55">
        <v>309</v>
      </c>
      <c r="B308" s="55">
        <v>14</v>
      </c>
      <c r="C308" s="55">
        <v>16</v>
      </c>
      <c r="D308" s="116" t="s">
        <v>145</v>
      </c>
      <c r="E308" s="118">
        <v>41662</v>
      </c>
      <c r="F308" s="55">
        <v>76</v>
      </c>
      <c r="G308" s="55">
        <v>82</v>
      </c>
      <c r="H308" s="85">
        <v>24.6</v>
      </c>
      <c r="I308" s="85">
        <f t="shared" si="25"/>
        <v>20.91</v>
      </c>
      <c r="J308" s="85">
        <f t="shared" si="26"/>
        <v>23.37</v>
      </c>
      <c r="P308" s="116"/>
      <c r="Q308" s="116"/>
      <c r="R308" s="116"/>
    </row>
    <row r="309" spans="1:18" x14ac:dyDescent="0.25">
      <c r="A309" s="55">
        <v>310</v>
      </c>
      <c r="B309" s="55">
        <v>15</v>
      </c>
      <c r="C309" s="55">
        <v>16</v>
      </c>
      <c r="D309" s="116" t="s">
        <v>145</v>
      </c>
      <c r="E309" s="118">
        <v>41662</v>
      </c>
      <c r="F309" s="55">
        <v>76</v>
      </c>
      <c r="G309" s="55">
        <v>82</v>
      </c>
      <c r="H309" s="85">
        <v>27.4</v>
      </c>
      <c r="I309" s="85">
        <f t="shared" si="25"/>
        <v>23.29</v>
      </c>
      <c r="J309" s="85">
        <f t="shared" si="26"/>
        <v>26.029999999999998</v>
      </c>
      <c r="K309" s="55" t="s">
        <v>472</v>
      </c>
      <c r="P309" s="116"/>
      <c r="Q309" s="116"/>
      <c r="R309" s="116"/>
    </row>
    <row r="310" spans="1:18" x14ac:dyDescent="0.25">
      <c r="A310" s="59">
        <v>311</v>
      </c>
      <c r="B310" s="59">
        <v>16</v>
      </c>
      <c r="C310" s="55">
        <v>16</v>
      </c>
      <c r="D310" s="120" t="s">
        <v>423</v>
      </c>
      <c r="E310" s="121">
        <v>41674</v>
      </c>
      <c r="F310" s="55">
        <v>64</v>
      </c>
      <c r="G310" s="55">
        <v>70</v>
      </c>
      <c r="H310" s="85">
        <v>25.3</v>
      </c>
      <c r="I310" s="85">
        <f t="shared" si="25"/>
        <v>21.504999999999999</v>
      </c>
      <c r="J310" s="85">
        <f t="shared" si="26"/>
        <v>24.035</v>
      </c>
      <c r="L310" s="59" t="s">
        <v>471</v>
      </c>
      <c r="P310" s="116"/>
      <c r="Q310" s="116"/>
      <c r="R310" s="116"/>
    </row>
    <row r="311" spans="1:18" x14ac:dyDescent="0.25">
      <c r="A311" s="116">
        <v>312</v>
      </c>
      <c r="B311" s="55">
        <v>1</v>
      </c>
      <c r="C311" s="117">
        <v>17</v>
      </c>
      <c r="D311" t="s">
        <v>506</v>
      </c>
      <c r="E311" s="1">
        <v>41730</v>
      </c>
      <c r="F311">
        <v>96</v>
      </c>
      <c r="G311" s="72">
        <v>102</v>
      </c>
      <c r="H311" s="85">
        <v>19.2</v>
      </c>
      <c r="I311" s="85">
        <f t="shared" si="25"/>
        <v>16.32</v>
      </c>
      <c r="J311" s="85">
        <f t="shared" si="26"/>
        <v>18.239999999999998</v>
      </c>
      <c r="N311" s="1"/>
    </row>
    <row r="312" spans="1:18" x14ac:dyDescent="0.25">
      <c r="A312" s="116">
        <v>313</v>
      </c>
      <c r="B312">
        <v>2</v>
      </c>
      <c r="C312" s="117">
        <v>17</v>
      </c>
      <c r="D312" s="72" t="s">
        <v>506</v>
      </c>
      <c r="E312" s="1">
        <v>41730</v>
      </c>
      <c r="F312" s="72">
        <v>96</v>
      </c>
      <c r="G312" s="72">
        <v>102</v>
      </c>
      <c r="H312" s="85">
        <v>20.399999999999999</v>
      </c>
      <c r="I312" s="85">
        <f t="shared" si="25"/>
        <v>17.34</v>
      </c>
      <c r="J312" s="85">
        <f t="shared" si="26"/>
        <v>19.38</v>
      </c>
    </row>
    <row r="313" spans="1:18" x14ac:dyDescent="0.25">
      <c r="A313" s="116">
        <v>314</v>
      </c>
      <c r="B313">
        <v>3</v>
      </c>
      <c r="C313" s="117">
        <v>17</v>
      </c>
      <c r="D313" t="s">
        <v>490</v>
      </c>
      <c r="E313" s="1">
        <v>41743</v>
      </c>
      <c r="F313" s="72">
        <v>83</v>
      </c>
      <c r="G313" s="72">
        <v>89</v>
      </c>
      <c r="H313" s="85">
        <v>26.9</v>
      </c>
      <c r="I313" s="85">
        <f t="shared" si="25"/>
        <v>22.864999999999998</v>
      </c>
      <c r="J313" s="85">
        <f t="shared" si="26"/>
        <v>25.554999999999996</v>
      </c>
    </row>
    <row r="314" spans="1:18" x14ac:dyDescent="0.25">
      <c r="A314" s="116">
        <v>315</v>
      </c>
      <c r="B314" s="59">
        <v>4</v>
      </c>
      <c r="C314" s="117">
        <v>17</v>
      </c>
      <c r="D314" t="s">
        <v>489</v>
      </c>
      <c r="E314" s="1">
        <v>41771</v>
      </c>
      <c r="F314" s="72">
        <v>55</v>
      </c>
      <c r="G314" s="72">
        <v>61</v>
      </c>
      <c r="H314" s="85">
        <v>20.5</v>
      </c>
      <c r="I314" s="85">
        <f t="shared" si="25"/>
        <v>17.425000000000001</v>
      </c>
      <c r="J314" s="85">
        <f t="shared" si="26"/>
        <v>19.474999999999998</v>
      </c>
      <c r="K314" s="116"/>
      <c r="L314" s="59" t="s">
        <v>471</v>
      </c>
    </row>
    <row r="315" spans="1:18" x14ac:dyDescent="0.25">
      <c r="A315" s="116">
        <v>316</v>
      </c>
      <c r="B315">
        <v>5</v>
      </c>
      <c r="C315" s="117">
        <v>17</v>
      </c>
      <c r="D315" s="116" t="s">
        <v>507</v>
      </c>
      <c r="E315" s="1">
        <v>41733</v>
      </c>
      <c r="F315" s="72">
        <v>93</v>
      </c>
      <c r="G315" s="72">
        <v>99</v>
      </c>
      <c r="H315" s="85">
        <v>30.8</v>
      </c>
      <c r="I315" s="85">
        <f t="shared" ref="I315:I326" si="27">H315*0.85</f>
        <v>26.18</v>
      </c>
      <c r="J315" s="85">
        <f t="shared" ref="J315:J326" si="28">H315*0.95</f>
        <v>29.259999999999998</v>
      </c>
      <c r="K315" s="116"/>
      <c r="L315" s="116"/>
      <c r="M315" s="116"/>
      <c r="N315" s="116"/>
    </row>
    <row r="316" spans="1:18" x14ac:dyDescent="0.25">
      <c r="A316" s="116">
        <v>317</v>
      </c>
      <c r="B316">
        <v>6</v>
      </c>
      <c r="C316" s="117">
        <v>17</v>
      </c>
      <c r="D316" s="116" t="s">
        <v>507</v>
      </c>
      <c r="E316" s="1">
        <v>41733</v>
      </c>
      <c r="F316" s="72">
        <v>93</v>
      </c>
      <c r="G316" s="72">
        <v>99</v>
      </c>
      <c r="H316" s="85">
        <v>27.5</v>
      </c>
      <c r="I316" s="85">
        <f t="shared" si="27"/>
        <v>23.375</v>
      </c>
      <c r="J316" s="85">
        <f t="shared" si="28"/>
        <v>26.125</v>
      </c>
      <c r="K316" s="116"/>
      <c r="L316" s="116"/>
      <c r="M316" s="116"/>
      <c r="N316" s="116"/>
    </row>
    <row r="317" spans="1:18" x14ac:dyDescent="0.25">
      <c r="A317" s="116">
        <v>318</v>
      </c>
      <c r="B317" s="72">
        <v>7</v>
      </c>
      <c r="C317" s="117">
        <v>17</v>
      </c>
      <c r="D317" t="s">
        <v>186</v>
      </c>
      <c r="E317" s="1">
        <v>41693</v>
      </c>
      <c r="F317" s="72">
        <v>133</v>
      </c>
      <c r="G317" s="72">
        <v>139</v>
      </c>
      <c r="H317" s="85">
        <v>33.200000000000003</v>
      </c>
      <c r="I317" s="85">
        <f t="shared" si="27"/>
        <v>28.220000000000002</v>
      </c>
      <c r="J317" s="85">
        <f t="shared" si="28"/>
        <v>31.540000000000003</v>
      </c>
      <c r="K317" s="119"/>
      <c r="L317" s="116"/>
      <c r="M317" s="116"/>
      <c r="N317" s="116"/>
    </row>
    <row r="318" spans="1:18" x14ac:dyDescent="0.25">
      <c r="A318" s="116">
        <v>319</v>
      </c>
      <c r="B318" s="72">
        <v>8</v>
      </c>
      <c r="C318" s="117">
        <v>17</v>
      </c>
      <c r="D318" s="72" t="s">
        <v>186</v>
      </c>
      <c r="E318" s="1">
        <v>41693</v>
      </c>
      <c r="F318" s="72">
        <v>133</v>
      </c>
      <c r="G318" s="72">
        <v>139</v>
      </c>
      <c r="H318" s="85">
        <v>29.1</v>
      </c>
      <c r="I318" s="85">
        <f t="shared" si="27"/>
        <v>24.734999999999999</v>
      </c>
      <c r="J318" s="85">
        <f t="shared" si="28"/>
        <v>27.645</v>
      </c>
      <c r="K318" s="116"/>
      <c r="L318" s="116"/>
      <c r="M318" s="116"/>
      <c r="N318" s="116"/>
    </row>
    <row r="319" spans="1:18" x14ac:dyDescent="0.25">
      <c r="A319" s="116">
        <v>320</v>
      </c>
      <c r="B319" s="72">
        <v>9</v>
      </c>
      <c r="C319" s="117">
        <v>17</v>
      </c>
      <c r="D319" s="116" t="s">
        <v>504</v>
      </c>
      <c r="E319" s="118">
        <v>41772</v>
      </c>
      <c r="F319" s="72">
        <v>54</v>
      </c>
      <c r="G319" s="72">
        <v>60</v>
      </c>
      <c r="H319" s="85">
        <v>25.7</v>
      </c>
      <c r="I319" s="85">
        <f t="shared" si="27"/>
        <v>21.844999999999999</v>
      </c>
      <c r="J319" s="85">
        <f t="shared" si="28"/>
        <v>24.414999999999999</v>
      </c>
      <c r="K319" s="119"/>
      <c r="L319" s="116"/>
      <c r="M319" s="116"/>
      <c r="N319" s="116"/>
    </row>
    <row r="320" spans="1:18" x14ac:dyDescent="0.25">
      <c r="A320" s="116">
        <v>321</v>
      </c>
      <c r="B320" s="72">
        <v>10</v>
      </c>
      <c r="C320" s="117">
        <v>17</v>
      </c>
      <c r="D320" s="116" t="s">
        <v>504</v>
      </c>
      <c r="E320" s="118">
        <v>41772</v>
      </c>
      <c r="F320" s="72">
        <v>54</v>
      </c>
      <c r="G320" s="72">
        <v>60</v>
      </c>
      <c r="H320" s="85">
        <v>27.7</v>
      </c>
      <c r="I320" s="85">
        <f t="shared" si="27"/>
        <v>23.544999999999998</v>
      </c>
      <c r="J320" s="85">
        <f t="shared" si="28"/>
        <v>26.314999999999998</v>
      </c>
      <c r="K320" s="119"/>
      <c r="L320" s="122"/>
      <c r="M320" s="120"/>
      <c r="N320" s="116"/>
    </row>
    <row r="321" spans="1:14" x14ac:dyDescent="0.25">
      <c r="A321" s="116">
        <v>322</v>
      </c>
      <c r="B321" s="72">
        <v>11</v>
      </c>
      <c r="C321" s="117">
        <v>17</v>
      </c>
      <c r="D321" s="116" t="s">
        <v>505</v>
      </c>
      <c r="E321" s="1">
        <v>41667</v>
      </c>
      <c r="F321" s="72">
        <v>159</v>
      </c>
      <c r="G321" s="72">
        <v>165</v>
      </c>
      <c r="H321" s="85">
        <v>29.2</v>
      </c>
      <c r="I321" s="85">
        <f t="shared" si="27"/>
        <v>24.82</v>
      </c>
      <c r="J321" s="85">
        <f t="shared" si="28"/>
        <v>27.74</v>
      </c>
      <c r="K321" s="116"/>
      <c r="L321" s="116"/>
      <c r="M321" s="116"/>
      <c r="N321" s="116"/>
    </row>
    <row r="322" spans="1:14" x14ac:dyDescent="0.25">
      <c r="A322" s="116">
        <v>323</v>
      </c>
      <c r="B322" s="72">
        <v>12</v>
      </c>
      <c r="C322" s="117">
        <v>17</v>
      </c>
      <c r="D322" s="116" t="s">
        <v>505</v>
      </c>
      <c r="E322" s="1">
        <v>41667</v>
      </c>
      <c r="F322" s="72">
        <v>159</v>
      </c>
      <c r="G322" s="72">
        <v>165</v>
      </c>
      <c r="H322" s="85">
        <v>27.6</v>
      </c>
      <c r="I322" s="85">
        <f t="shared" si="27"/>
        <v>23.46</v>
      </c>
      <c r="J322" s="85">
        <f t="shared" si="28"/>
        <v>26.22</v>
      </c>
    </row>
    <row r="323" spans="1:14" x14ac:dyDescent="0.25">
      <c r="A323" s="116">
        <v>324</v>
      </c>
      <c r="B323" s="72">
        <v>13</v>
      </c>
      <c r="C323" s="117">
        <v>17</v>
      </c>
      <c r="D323" s="116" t="s">
        <v>505</v>
      </c>
      <c r="E323" s="1">
        <v>41698</v>
      </c>
      <c r="F323" s="72">
        <v>128</v>
      </c>
      <c r="G323" s="72">
        <v>134</v>
      </c>
      <c r="H323" s="85">
        <v>28.7</v>
      </c>
      <c r="I323" s="85">
        <f t="shared" si="27"/>
        <v>24.395</v>
      </c>
      <c r="J323" s="85">
        <f t="shared" si="28"/>
        <v>27.264999999999997</v>
      </c>
    </row>
    <row r="324" spans="1:14" x14ac:dyDescent="0.25">
      <c r="A324" s="116">
        <v>325</v>
      </c>
      <c r="B324" s="72">
        <v>14</v>
      </c>
      <c r="C324" s="117">
        <v>17</v>
      </c>
      <c r="D324" s="116" t="s">
        <v>507</v>
      </c>
      <c r="E324" s="1">
        <v>41739</v>
      </c>
      <c r="F324" s="72">
        <v>87</v>
      </c>
      <c r="G324" s="72">
        <v>93</v>
      </c>
      <c r="H324" s="85">
        <v>30</v>
      </c>
      <c r="I324" s="85">
        <f t="shared" si="27"/>
        <v>25.5</v>
      </c>
      <c r="J324" s="85">
        <f t="shared" si="28"/>
        <v>28.5</v>
      </c>
      <c r="K324" s="15" t="s">
        <v>503</v>
      </c>
    </row>
    <row r="325" spans="1:14" x14ac:dyDescent="0.25">
      <c r="A325" s="116">
        <v>326</v>
      </c>
      <c r="B325" s="59">
        <v>15</v>
      </c>
      <c r="C325" s="117">
        <v>17</v>
      </c>
      <c r="D325" s="72" t="s">
        <v>489</v>
      </c>
      <c r="E325" s="1">
        <v>41771</v>
      </c>
      <c r="F325" s="72">
        <v>55</v>
      </c>
      <c r="G325" s="72">
        <v>61</v>
      </c>
      <c r="H325" s="85">
        <v>19.5</v>
      </c>
      <c r="I325" s="85">
        <f t="shared" si="27"/>
        <v>16.574999999999999</v>
      </c>
      <c r="J325" s="85">
        <f t="shared" si="28"/>
        <v>18.524999999999999</v>
      </c>
      <c r="L325" s="59" t="s">
        <v>471</v>
      </c>
    </row>
    <row r="326" spans="1:14" x14ac:dyDescent="0.25">
      <c r="A326" s="116">
        <v>327</v>
      </c>
      <c r="B326" s="59">
        <v>16</v>
      </c>
      <c r="C326" s="117">
        <v>17</v>
      </c>
      <c r="D326" s="72" t="s">
        <v>489</v>
      </c>
      <c r="E326" s="1">
        <v>41771</v>
      </c>
      <c r="F326" s="72">
        <v>55</v>
      </c>
      <c r="G326" s="72">
        <v>61</v>
      </c>
      <c r="H326" s="85">
        <v>22</v>
      </c>
      <c r="I326" s="85">
        <f t="shared" si="27"/>
        <v>18.7</v>
      </c>
      <c r="J326" s="85">
        <f t="shared" si="28"/>
        <v>20.9</v>
      </c>
      <c r="L326" s="59" t="s">
        <v>471</v>
      </c>
    </row>
    <row r="327" spans="1:14" x14ac:dyDescent="0.25">
      <c r="A327" s="116"/>
    </row>
    <row r="328" spans="1:14" x14ac:dyDescent="0.25">
      <c r="A328" s="116"/>
    </row>
    <row r="1048574" spans="7:18" x14ac:dyDescent="0.25">
      <c r="G1048574" s="22"/>
    </row>
    <row r="1048576" spans="7:18" x14ac:dyDescent="0.25">
      <c r="R1048576" s="1"/>
    </row>
  </sheetData>
  <sortState ref="A308:O314">
    <sortCondition ref="A308:A314"/>
  </sortState>
  <hyperlinks>
    <hyperlink ref="L17" r:id="rId1" display="http://www.ncbi.nlm.nih.gov/pubmed/807855%3E1975%3C/A%3E)see Trait ID 13032 from BXD Published Phenotypes). %3CLI%3EBXD31 and 32 are usually considered part of this same epoch but were not part of the same original cross, and their first use in a publication did not occur until 1983 (Brownstein, %3CA HREF="/>
    <hyperlink ref="L41" r:id="rId2" display="http://jaxmice.jax.org/strain/001976.html"/>
  </hyperlinks>
  <pageMargins left="0.7" right="0.7" top="0.75" bottom="0.75" header="0.3" footer="0.3"/>
  <pageSetup orientation="landscape"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3:U284"/>
  <sheetViews>
    <sheetView topLeftCell="A10" zoomScale="55" zoomScaleNormal="55" workbookViewId="0">
      <selection activeCell="K20" sqref="K20:O20"/>
    </sheetView>
  </sheetViews>
  <sheetFormatPr defaultRowHeight="15" x14ac:dyDescent="0.25"/>
  <cols>
    <col min="1" max="1" width="19.85546875" customWidth="1"/>
    <col min="2" max="2" width="14.7109375" customWidth="1"/>
    <col min="4" max="5" width="4" customWidth="1"/>
    <col min="6" max="6" width="7.28515625" customWidth="1"/>
    <col min="7" max="7" width="11.28515625" customWidth="1"/>
    <col min="8" max="8" width="16.7109375" bestFit="1" customWidth="1"/>
    <col min="12" max="12" width="19.85546875" customWidth="1"/>
    <col min="13" max="13" width="21.140625" bestFit="1" customWidth="1"/>
  </cols>
  <sheetData>
    <row r="3" spans="1:21" x14ac:dyDescent="0.25">
      <c r="G3" s="10"/>
      <c r="H3" s="73"/>
      <c r="I3" s="73"/>
      <c r="L3" s="74"/>
      <c r="M3" s="75"/>
      <c r="N3" s="75"/>
      <c r="O3" s="72"/>
      <c r="R3" s="74"/>
      <c r="S3" s="75"/>
      <c r="T3" s="75"/>
      <c r="U3" s="72"/>
    </row>
    <row r="4" spans="1:21" x14ac:dyDescent="0.25">
      <c r="A4" s="8" t="s">
        <v>27</v>
      </c>
      <c r="H4" s="78"/>
      <c r="I4" s="78"/>
      <c r="L4" s="8" t="s">
        <v>27</v>
      </c>
      <c r="M4" t="s">
        <v>493</v>
      </c>
      <c r="O4" s="72"/>
      <c r="R4" s="76"/>
      <c r="S4" s="77"/>
      <c r="T4" s="77"/>
      <c r="U4" s="72"/>
    </row>
    <row r="5" spans="1:21" x14ac:dyDescent="0.25">
      <c r="A5" s="71" t="s">
        <v>501</v>
      </c>
      <c r="H5" s="73"/>
      <c r="I5" s="73"/>
      <c r="J5" s="72"/>
      <c r="L5" s="71" t="s">
        <v>501</v>
      </c>
      <c r="M5" s="73">
        <v>2</v>
      </c>
      <c r="O5" s="72"/>
      <c r="R5" s="76"/>
      <c r="S5" s="77"/>
      <c r="T5" s="77"/>
      <c r="U5" s="72"/>
    </row>
    <row r="6" spans="1:21" x14ac:dyDescent="0.25">
      <c r="A6" s="71" t="s">
        <v>4</v>
      </c>
      <c r="B6" s="59" t="s">
        <v>486</v>
      </c>
      <c r="H6" s="73"/>
      <c r="I6" s="73"/>
      <c r="J6" s="72"/>
      <c r="L6" s="71" t="s">
        <v>4</v>
      </c>
      <c r="M6" s="73">
        <v>5</v>
      </c>
      <c r="O6" s="72"/>
      <c r="R6" s="74"/>
      <c r="S6" s="75"/>
      <c r="T6" s="75"/>
      <c r="U6" s="72"/>
    </row>
    <row r="7" spans="1:21" x14ac:dyDescent="0.25">
      <c r="A7" s="71" t="s">
        <v>2</v>
      </c>
      <c r="B7" t="s">
        <v>486</v>
      </c>
      <c r="H7" s="78"/>
      <c r="I7" s="78"/>
      <c r="J7" s="72"/>
      <c r="L7" s="71" t="s">
        <v>2</v>
      </c>
      <c r="M7" s="73">
        <v>5</v>
      </c>
      <c r="O7" s="72"/>
      <c r="R7" s="76"/>
      <c r="S7" s="77"/>
      <c r="T7" s="77"/>
      <c r="U7" s="72"/>
    </row>
    <row r="8" spans="1:21" x14ac:dyDescent="0.25">
      <c r="A8" s="71" t="s">
        <v>55</v>
      </c>
      <c r="B8" t="s">
        <v>486</v>
      </c>
      <c r="H8" s="73"/>
      <c r="I8" s="73"/>
      <c r="J8" s="72"/>
      <c r="L8" s="71" t="s">
        <v>55</v>
      </c>
      <c r="M8" s="73">
        <v>2</v>
      </c>
      <c r="O8" s="72"/>
      <c r="R8" s="76"/>
      <c r="S8" s="77"/>
      <c r="T8" s="77"/>
      <c r="U8" s="72"/>
    </row>
    <row r="9" spans="1:21" x14ac:dyDescent="0.25">
      <c r="A9" s="71" t="s">
        <v>462</v>
      </c>
      <c r="B9" t="s">
        <v>486</v>
      </c>
      <c r="G9" t="s">
        <v>497</v>
      </c>
      <c r="I9" s="73"/>
      <c r="J9" s="72"/>
      <c r="L9" s="71" t="s">
        <v>462</v>
      </c>
      <c r="M9" s="73">
        <v>3</v>
      </c>
      <c r="O9" s="72"/>
      <c r="R9" s="74"/>
      <c r="S9" s="75"/>
      <c r="T9" s="75"/>
      <c r="U9" s="72"/>
    </row>
    <row r="10" spans="1:21" x14ac:dyDescent="0.25">
      <c r="A10" s="71" t="s">
        <v>460</v>
      </c>
      <c r="B10" s="59" t="s">
        <v>486</v>
      </c>
      <c r="G10" s="131"/>
      <c r="I10" s="73"/>
      <c r="J10" s="72"/>
      <c r="L10" s="71" t="s">
        <v>460</v>
      </c>
      <c r="M10" s="73">
        <v>2</v>
      </c>
      <c r="O10" s="72"/>
      <c r="R10" s="76"/>
      <c r="S10" s="77"/>
      <c r="T10" s="77"/>
      <c r="U10" s="72"/>
    </row>
    <row r="11" spans="1:21" x14ac:dyDescent="0.25">
      <c r="A11" s="71" t="s">
        <v>451</v>
      </c>
      <c r="B11" s="59" t="s">
        <v>486</v>
      </c>
      <c r="F11" s="136" t="s">
        <v>495</v>
      </c>
      <c r="H11" s="135" t="s">
        <v>491</v>
      </c>
      <c r="I11" s="73"/>
      <c r="J11" s="72"/>
      <c r="L11" s="71" t="s">
        <v>451</v>
      </c>
      <c r="M11" s="73">
        <v>2</v>
      </c>
      <c r="O11" s="72"/>
      <c r="R11" s="76"/>
      <c r="S11" s="77"/>
      <c r="T11" s="77"/>
      <c r="U11" s="72"/>
    </row>
    <row r="12" spans="1:21" ht="30" x14ac:dyDescent="0.25">
      <c r="A12" s="71" t="s">
        <v>463</v>
      </c>
      <c r="B12" t="s">
        <v>486</v>
      </c>
      <c r="F12" s="137" t="s">
        <v>490</v>
      </c>
      <c r="H12" s="135" t="s">
        <v>438</v>
      </c>
      <c r="I12" s="73"/>
      <c r="J12" s="72"/>
      <c r="L12" s="71" t="s">
        <v>463</v>
      </c>
      <c r="M12" s="73">
        <v>2</v>
      </c>
      <c r="O12" s="72"/>
      <c r="R12" s="76"/>
      <c r="S12" s="77"/>
      <c r="T12" s="77"/>
      <c r="U12" s="72"/>
    </row>
    <row r="13" spans="1:21" ht="30" x14ac:dyDescent="0.25">
      <c r="A13" s="71" t="s">
        <v>424</v>
      </c>
      <c r="B13" t="s">
        <v>486</v>
      </c>
      <c r="F13" s="137" t="s">
        <v>489</v>
      </c>
      <c r="G13" s="131"/>
      <c r="H13" s="135" t="s">
        <v>186</v>
      </c>
      <c r="I13" s="78"/>
      <c r="J13" s="72"/>
      <c r="L13" s="71" t="s">
        <v>424</v>
      </c>
      <c r="M13" s="73">
        <v>3</v>
      </c>
      <c r="O13" s="72"/>
      <c r="R13" s="76"/>
      <c r="S13" s="77"/>
      <c r="T13" s="77"/>
      <c r="U13" s="72"/>
    </row>
    <row r="14" spans="1:21" x14ac:dyDescent="0.25">
      <c r="A14" s="71" t="s">
        <v>3</v>
      </c>
      <c r="F14" s="136" t="s">
        <v>496</v>
      </c>
      <c r="G14" s="131"/>
      <c r="H14" s="135" t="s">
        <v>492</v>
      </c>
      <c r="I14" s="73"/>
      <c r="J14" s="72"/>
      <c r="L14" s="71" t="s">
        <v>3</v>
      </c>
      <c r="M14" s="73">
        <v>6</v>
      </c>
      <c r="O14" s="72"/>
      <c r="R14" s="74"/>
      <c r="S14" s="75"/>
      <c r="T14" s="75"/>
      <c r="U14" s="72"/>
    </row>
    <row r="15" spans="1:21" x14ac:dyDescent="0.25">
      <c r="A15" s="71" t="s">
        <v>5</v>
      </c>
      <c r="B15" t="s">
        <v>486</v>
      </c>
      <c r="F15" s="131"/>
      <c r="G15" s="131"/>
      <c r="I15" s="134" t="s">
        <v>427</v>
      </c>
      <c r="J15" s="133" t="s">
        <v>494</v>
      </c>
      <c r="L15" s="71" t="s">
        <v>5</v>
      </c>
      <c r="M15" s="73">
        <v>7</v>
      </c>
      <c r="O15" s="72"/>
      <c r="R15" s="76"/>
      <c r="S15" s="77"/>
      <c r="T15" s="77"/>
      <c r="U15" s="72"/>
    </row>
    <row r="16" spans="1:21" x14ac:dyDescent="0.25">
      <c r="A16" s="71" t="s">
        <v>425</v>
      </c>
      <c r="G16" s="131"/>
      <c r="H16" s="73"/>
      <c r="J16" s="72"/>
      <c r="L16" s="71" t="s">
        <v>425</v>
      </c>
      <c r="M16" s="73">
        <v>5</v>
      </c>
      <c r="O16" s="72"/>
      <c r="R16" s="76"/>
      <c r="S16" s="77"/>
      <c r="T16" s="77"/>
      <c r="U16" s="72"/>
    </row>
    <row r="17" spans="1:21" x14ac:dyDescent="0.25">
      <c r="A17" s="71" t="s">
        <v>449</v>
      </c>
      <c r="B17" t="s">
        <v>486</v>
      </c>
      <c r="G17" s="131"/>
      <c r="H17" s="73"/>
      <c r="I17" s="73"/>
      <c r="J17" s="72"/>
      <c r="L17" s="71" t="s">
        <v>449</v>
      </c>
      <c r="M17" s="73">
        <v>4</v>
      </c>
      <c r="O17" s="72"/>
      <c r="R17" s="74"/>
      <c r="S17" s="75"/>
      <c r="T17" s="75"/>
      <c r="U17" s="72"/>
    </row>
    <row r="18" spans="1:21" x14ac:dyDescent="0.25">
      <c r="A18" s="71" t="s">
        <v>141</v>
      </c>
      <c r="B18" t="s">
        <v>486</v>
      </c>
      <c r="G18" s="131"/>
      <c r="H18" s="73"/>
      <c r="I18" s="73"/>
      <c r="J18" s="72"/>
      <c r="L18" s="71" t="s">
        <v>141</v>
      </c>
      <c r="M18" s="73">
        <v>2</v>
      </c>
      <c r="O18" s="72"/>
      <c r="R18" s="76"/>
      <c r="S18" s="77"/>
      <c r="T18" s="77"/>
      <c r="U18" s="72"/>
    </row>
    <row r="19" spans="1:21" x14ac:dyDescent="0.25">
      <c r="A19" s="71" t="s">
        <v>426</v>
      </c>
      <c r="B19" t="s">
        <v>486</v>
      </c>
      <c r="G19" s="131"/>
      <c r="H19" s="78"/>
      <c r="I19" s="78"/>
      <c r="J19" s="72"/>
      <c r="L19" s="71" t="s">
        <v>426</v>
      </c>
      <c r="M19" s="73">
        <v>2</v>
      </c>
      <c r="O19" s="72"/>
      <c r="R19" s="76"/>
      <c r="S19" s="77"/>
      <c r="T19" s="77"/>
      <c r="U19" s="72"/>
    </row>
    <row r="20" spans="1:21" x14ac:dyDescent="0.25">
      <c r="A20" s="71" t="s">
        <v>458</v>
      </c>
      <c r="B20" t="s">
        <v>486</v>
      </c>
      <c r="I20" s="73"/>
      <c r="J20" s="72"/>
      <c r="L20" s="71" t="s">
        <v>458</v>
      </c>
      <c r="M20" s="73">
        <v>5</v>
      </c>
      <c r="O20" s="72"/>
      <c r="R20" s="74"/>
      <c r="S20" s="75"/>
      <c r="T20" s="75"/>
      <c r="U20" s="72"/>
    </row>
    <row r="21" spans="1:21" x14ac:dyDescent="0.25">
      <c r="A21" s="71" t="s">
        <v>428</v>
      </c>
      <c r="B21" t="s">
        <v>486</v>
      </c>
      <c r="H21" s="73"/>
      <c r="I21" s="73"/>
      <c r="J21" s="72"/>
      <c r="L21" s="71" t="s">
        <v>428</v>
      </c>
      <c r="M21" s="73">
        <v>4</v>
      </c>
      <c r="O21" s="72"/>
      <c r="R21" s="76"/>
      <c r="S21" s="77"/>
      <c r="T21" s="77"/>
      <c r="U21" s="72"/>
    </row>
    <row r="22" spans="1:21" x14ac:dyDescent="0.25">
      <c r="A22" s="71" t="s">
        <v>452</v>
      </c>
      <c r="B22" s="59" t="s">
        <v>486</v>
      </c>
      <c r="G22" s="131"/>
      <c r="I22" s="78"/>
      <c r="J22" s="72"/>
      <c r="L22" s="71" t="s">
        <v>452</v>
      </c>
      <c r="M22" s="73">
        <v>4</v>
      </c>
      <c r="N22" s="77"/>
      <c r="O22" s="72"/>
      <c r="R22" s="76"/>
      <c r="S22" s="77"/>
      <c r="T22" s="77"/>
      <c r="U22" s="72"/>
    </row>
    <row r="23" spans="1:21" x14ac:dyDescent="0.25">
      <c r="A23" s="71" t="s">
        <v>438</v>
      </c>
      <c r="B23" s="59" t="s">
        <v>486</v>
      </c>
      <c r="I23" s="73"/>
      <c r="J23" s="72"/>
      <c r="L23" s="71" t="s">
        <v>438</v>
      </c>
      <c r="M23" s="73">
        <v>1</v>
      </c>
      <c r="N23" s="77"/>
      <c r="O23" s="72"/>
      <c r="R23" s="76"/>
      <c r="S23" s="77"/>
      <c r="T23" s="77"/>
      <c r="U23" s="72"/>
    </row>
    <row r="24" spans="1:21" x14ac:dyDescent="0.25">
      <c r="A24" s="71" t="s">
        <v>167</v>
      </c>
      <c r="B24" t="s">
        <v>486</v>
      </c>
      <c r="I24" s="73"/>
      <c r="J24" s="72"/>
      <c r="L24" s="71" t="s">
        <v>167</v>
      </c>
      <c r="M24" s="73">
        <v>3</v>
      </c>
      <c r="N24" s="77"/>
      <c r="O24" s="72"/>
      <c r="R24" s="76"/>
      <c r="S24" s="77"/>
      <c r="T24" s="77"/>
      <c r="U24" s="72"/>
    </row>
    <row r="25" spans="1:21" x14ac:dyDescent="0.25">
      <c r="A25" s="71" t="s">
        <v>176</v>
      </c>
      <c r="H25" s="73"/>
      <c r="I25" s="73"/>
      <c r="J25" s="72"/>
      <c r="L25" s="71" t="s">
        <v>176</v>
      </c>
      <c r="M25" s="73">
        <v>3</v>
      </c>
      <c r="N25" s="77"/>
      <c r="O25" s="72"/>
      <c r="R25" s="76"/>
      <c r="S25" s="77"/>
      <c r="T25" s="77"/>
      <c r="U25" s="72"/>
    </row>
    <row r="26" spans="1:21" x14ac:dyDescent="0.25">
      <c r="A26" s="71" t="s">
        <v>168</v>
      </c>
      <c r="B26" t="s">
        <v>486</v>
      </c>
      <c r="H26" s="73"/>
      <c r="I26" s="73"/>
      <c r="J26" s="72"/>
      <c r="L26" s="71" t="s">
        <v>168</v>
      </c>
      <c r="M26" s="73">
        <v>4</v>
      </c>
      <c r="N26" s="75"/>
      <c r="O26" s="72"/>
      <c r="R26" s="74"/>
      <c r="S26" s="75"/>
      <c r="T26" s="75"/>
      <c r="U26" s="72"/>
    </row>
    <row r="27" spans="1:21" x14ac:dyDescent="0.25">
      <c r="A27" s="71" t="s">
        <v>169</v>
      </c>
      <c r="B27" t="s">
        <v>486</v>
      </c>
      <c r="H27" s="73"/>
      <c r="I27" s="73"/>
      <c r="J27" s="72"/>
      <c r="L27" s="71" t="s">
        <v>169</v>
      </c>
      <c r="M27" s="73">
        <v>4</v>
      </c>
      <c r="N27" s="77"/>
      <c r="O27" s="72"/>
      <c r="R27" s="76"/>
      <c r="S27" s="77"/>
      <c r="T27" s="77"/>
      <c r="U27" s="72"/>
    </row>
    <row r="28" spans="1:21" x14ac:dyDescent="0.25">
      <c r="A28" s="71" t="s">
        <v>173</v>
      </c>
      <c r="B28" t="s">
        <v>486</v>
      </c>
      <c r="H28" s="73"/>
      <c r="I28" s="73"/>
      <c r="J28" s="72"/>
      <c r="L28" s="71" t="s">
        <v>173</v>
      </c>
      <c r="M28" s="73">
        <v>6</v>
      </c>
      <c r="N28" s="77"/>
      <c r="O28" s="72"/>
      <c r="R28" s="76"/>
      <c r="S28" s="77"/>
      <c r="T28" s="77"/>
      <c r="U28" s="72"/>
    </row>
    <row r="29" spans="1:21" x14ac:dyDescent="0.25">
      <c r="A29" s="71" t="s">
        <v>172</v>
      </c>
      <c r="B29" t="s">
        <v>486</v>
      </c>
      <c r="H29" s="78"/>
      <c r="I29" s="78"/>
      <c r="J29" s="72"/>
      <c r="L29" s="71" t="s">
        <v>172</v>
      </c>
      <c r="M29" s="73">
        <v>2</v>
      </c>
      <c r="N29" s="75"/>
      <c r="O29" s="72"/>
      <c r="R29" s="74"/>
      <c r="S29" s="75"/>
      <c r="T29" s="75"/>
      <c r="U29" s="72"/>
    </row>
    <row r="30" spans="1:21" x14ac:dyDescent="0.25">
      <c r="A30" s="71" t="s">
        <v>170</v>
      </c>
      <c r="B30" s="59" t="s">
        <v>486</v>
      </c>
      <c r="H30" s="73"/>
      <c r="I30" s="73"/>
      <c r="J30" s="72"/>
      <c r="L30" s="71" t="s">
        <v>170</v>
      </c>
      <c r="M30" s="73">
        <v>5</v>
      </c>
      <c r="N30" s="77"/>
      <c r="O30" s="72"/>
      <c r="R30" s="76"/>
      <c r="S30" s="77"/>
      <c r="T30" s="77"/>
      <c r="U30" s="72"/>
    </row>
    <row r="31" spans="1:21" x14ac:dyDescent="0.25">
      <c r="A31" s="71" t="s">
        <v>165</v>
      </c>
      <c r="B31" t="s">
        <v>486</v>
      </c>
      <c r="H31" s="73"/>
      <c r="I31" s="73"/>
      <c r="J31" s="72"/>
      <c r="L31" s="71" t="s">
        <v>165</v>
      </c>
      <c r="M31" s="73">
        <v>4</v>
      </c>
      <c r="N31" s="77"/>
      <c r="O31" s="72"/>
      <c r="R31" s="76"/>
      <c r="S31" s="77"/>
      <c r="T31" s="77"/>
      <c r="U31" s="72"/>
    </row>
    <row r="32" spans="1:21" x14ac:dyDescent="0.25">
      <c r="A32" s="71" t="s">
        <v>171</v>
      </c>
      <c r="B32" t="s">
        <v>486</v>
      </c>
      <c r="H32" s="73"/>
      <c r="I32" s="73"/>
      <c r="J32" s="72"/>
      <c r="L32" s="71" t="s">
        <v>171</v>
      </c>
      <c r="M32" s="73">
        <v>11</v>
      </c>
      <c r="N32" s="75"/>
      <c r="O32" s="72"/>
      <c r="R32" s="74"/>
      <c r="S32" s="75"/>
      <c r="T32" s="75"/>
      <c r="U32" s="72"/>
    </row>
    <row r="33" spans="1:21" x14ac:dyDescent="0.25">
      <c r="A33" s="71" t="s">
        <v>183</v>
      </c>
      <c r="H33" s="73"/>
      <c r="I33" s="73"/>
      <c r="J33" s="72"/>
      <c r="L33" s="71" t="s">
        <v>183</v>
      </c>
      <c r="M33" s="73">
        <v>5</v>
      </c>
      <c r="N33" s="77"/>
      <c r="O33" s="72"/>
      <c r="R33" s="76"/>
      <c r="S33" s="77"/>
      <c r="T33" s="77"/>
      <c r="U33" s="72"/>
    </row>
    <row r="34" spans="1:21" x14ac:dyDescent="0.25">
      <c r="A34" s="71" t="s">
        <v>178</v>
      </c>
      <c r="H34" s="73"/>
      <c r="I34" s="73"/>
      <c r="J34" s="72"/>
      <c r="L34" s="71" t="s">
        <v>178</v>
      </c>
      <c r="M34" s="73">
        <v>3</v>
      </c>
      <c r="N34" s="77"/>
      <c r="O34" s="72"/>
      <c r="R34" s="76"/>
      <c r="S34" s="77"/>
      <c r="T34" s="77"/>
      <c r="U34" s="72"/>
    </row>
    <row r="35" spans="1:21" x14ac:dyDescent="0.25">
      <c r="A35" s="71" t="s">
        <v>175</v>
      </c>
      <c r="H35" s="73"/>
      <c r="I35" s="73"/>
      <c r="J35" s="72"/>
      <c r="L35" s="71" t="s">
        <v>175</v>
      </c>
      <c r="M35" s="73">
        <v>7</v>
      </c>
      <c r="N35" s="75"/>
      <c r="O35" s="72"/>
      <c r="R35" s="74"/>
      <c r="S35" s="75"/>
      <c r="T35" s="75"/>
      <c r="U35" s="72"/>
    </row>
    <row r="36" spans="1:21" x14ac:dyDescent="0.25">
      <c r="A36" s="71" t="s">
        <v>180</v>
      </c>
      <c r="H36" s="73"/>
      <c r="I36" s="73"/>
      <c r="J36" s="72"/>
      <c r="L36" s="71" t="s">
        <v>180</v>
      </c>
      <c r="M36" s="73">
        <v>3</v>
      </c>
      <c r="N36" s="77"/>
      <c r="O36" s="72"/>
      <c r="R36" s="76"/>
      <c r="S36" s="77"/>
      <c r="T36" s="77"/>
      <c r="U36" s="72"/>
    </row>
    <row r="37" spans="1:21" x14ac:dyDescent="0.25">
      <c r="A37" s="71" t="s">
        <v>177</v>
      </c>
      <c r="H37" s="78"/>
      <c r="I37" s="78"/>
      <c r="J37" s="72"/>
      <c r="L37" s="71" t="s">
        <v>177</v>
      </c>
      <c r="M37" s="73">
        <v>6</v>
      </c>
      <c r="N37" s="77"/>
      <c r="O37" s="72"/>
      <c r="R37" s="76"/>
      <c r="S37" s="77"/>
      <c r="T37" s="77"/>
      <c r="U37" s="72"/>
    </row>
    <row r="38" spans="1:21" x14ac:dyDescent="0.25">
      <c r="A38" s="71" t="s">
        <v>182</v>
      </c>
      <c r="H38" s="73"/>
      <c r="I38" s="73"/>
      <c r="J38" s="72"/>
      <c r="L38" s="71" t="s">
        <v>182</v>
      </c>
      <c r="M38" s="73">
        <v>3</v>
      </c>
      <c r="N38" s="75"/>
      <c r="O38" s="72"/>
      <c r="R38" s="74"/>
      <c r="S38" s="75"/>
      <c r="T38" s="75"/>
      <c r="U38" s="72"/>
    </row>
    <row r="39" spans="1:21" x14ac:dyDescent="0.25">
      <c r="A39" s="71" t="s">
        <v>174</v>
      </c>
      <c r="H39" s="73"/>
      <c r="I39" s="73"/>
      <c r="J39" s="72"/>
      <c r="L39" s="71" t="s">
        <v>174</v>
      </c>
      <c r="M39" s="73">
        <v>5</v>
      </c>
      <c r="N39" s="77"/>
      <c r="O39" s="72"/>
      <c r="R39" s="76"/>
      <c r="S39" s="77"/>
      <c r="T39" s="77"/>
      <c r="U39" s="72"/>
    </row>
    <row r="40" spans="1:21" x14ac:dyDescent="0.25">
      <c r="A40" s="71" t="s">
        <v>439</v>
      </c>
      <c r="H40" s="78"/>
      <c r="I40" s="78"/>
      <c r="J40" s="72"/>
      <c r="L40" s="71" t="s">
        <v>439</v>
      </c>
      <c r="M40" s="73">
        <v>6</v>
      </c>
      <c r="N40" s="77"/>
      <c r="O40" s="72"/>
      <c r="R40" s="76"/>
      <c r="S40" s="77"/>
      <c r="T40" s="77"/>
      <c r="U40" s="72"/>
    </row>
    <row r="41" spans="1:21" x14ac:dyDescent="0.25">
      <c r="A41" s="71" t="s">
        <v>179</v>
      </c>
      <c r="H41" s="73"/>
      <c r="I41" s="73"/>
      <c r="J41" s="72"/>
      <c r="L41" s="71" t="s">
        <v>179</v>
      </c>
      <c r="M41" s="73">
        <v>3</v>
      </c>
      <c r="N41" s="75"/>
      <c r="O41" s="72"/>
      <c r="R41" s="74"/>
      <c r="S41" s="75"/>
      <c r="T41" s="75"/>
      <c r="U41" s="72"/>
    </row>
    <row r="42" spans="1:21" x14ac:dyDescent="0.25">
      <c r="A42" s="71" t="s">
        <v>186</v>
      </c>
      <c r="H42" s="73"/>
      <c r="I42" s="73"/>
      <c r="J42" s="72"/>
      <c r="L42" s="71" t="s">
        <v>186</v>
      </c>
      <c r="M42" s="73">
        <v>2</v>
      </c>
      <c r="N42" s="77"/>
      <c r="O42" s="72"/>
      <c r="R42" s="76"/>
      <c r="S42" s="77"/>
      <c r="T42" s="77"/>
      <c r="U42" s="72"/>
    </row>
    <row r="43" spans="1:21" x14ac:dyDescent="0.25">
      <c r="A43" s="71" t="s">
        <v>166</v>
      </c>
      <c r="B43" t="s">
        <v>486</v>
      </c>
      <c r="H43" s="73"/>
      <c r="I43" s="73"/>
      <c r="J43" s="72"/>
      <c r="L43" s="71" t="s">
        <v>166</v>
      </c>
      <c r="M43" s="73">
        <v>5</v>
      </c>
      <c r="N43" s="75"/>
      <c r="O43" s="72"/>
      <c r="R43" s="74"/>
      <c r="S43" s="75"/>
      <c r="T43" s="75"/>
      <c r="U43" s="72"/>
    </row>
    <row r="44" spans="1:21" x14ac:dyDescent="0.25">
      <c r="A44" s="71" t="s">
        <v>184</v>
      </c>
      <c r="H44" s="78"/>
      <c r="I44" s="78"/>
      <c r="J44" s="72"/>
      <c r="L44" s="71" t="s">
        <v>184</v>
      </c>
      <c r="M44" s="73">
        <v>2</v>
      </c>
      <c r="N44" s="77"/>
      <c r="O44" s="72"/>
      <c r="R44" s="76"/>
      <c r="S44" s="77"/>
      <c r="T44" s="77"/>
      <c r="U44" s="72"/>
    </row>
    <row r="45" spans="1:21" x14ac:dyDescent="0.25">
      <c r="A45" s="71" t="s">
        <v>185</v>
      </c>
      <c r="H45" s="73"/>
      <c r="I45" s="73"/>
      <c r="J45" s="72"/>
      <c r="L45" s="71" t="s">
        <v>185</v>
      </c>
      <c r="M45" s="73">
        <v>2</v>
      </c>
      <c r="N45" s="77"/>
      <c r="O45" s="72"/>
      <c r="R45" s="76"/>
      <c r="S45" s="77"/>
      <c r="T45" s="77"/>
      <c r="U45" s="72"/>
    </row>
    <row r="46" spans="1:21" x14ac:dyDescent="0.25">
      <c r="A46" s="71" t="s">
        <v>181</v>
      </c>
      <c r="H46" s="73"/>
      <c r="I46" s="73"/>
      <c r="J46" s="72"/>
      <c r="L46" s="71" t="s">
        <v>181</v>
      </c>
      <c r="M46" s="73">
        <v>2</v>
      </c>
      <c r="N46" s="77"/>
      <c r="O46" s="72"/>
      <c r="R46" s="76"/>
      <c r="S46" s="77"/>
      <c r="T46" s="77"/>
      <c r="U46" s="72"/>
    </row>
    <row r="47" spans="1:21" x14ac:dyDescent="0.25">
      <c r="A47" s="71" t="s">
        <v>457</v>
      </c>
      <c r="B47" t="s">
        <v>486</v>
      </c>
      <c r="I47" s="73"/>
      <c r="J47" s="72"/>
      <c r="L47" s="71" t="s">
        <v>457</v>
      </c>
      <c r="M47" s="73">
        <v>2</v>
      </c>
      <c r="N47" s="77"/>
      <c r="O47" s="72"/>
      <c r="R47" s="76"/>
      <c r="S47" s="77"/>
      <c r="T47" s="77"/>
      <c r="U47" s="72"/>
    </row>
    <row r="48" spans="1:21" x14ac:dyDescent="0.25">
      <c r="A48" s="71" t="s">
        <v>423</v>
      </c>
      <c r="B48" t="s">
        <v>486</v>
      </c>
      <c r="G48" s="131"/>
      <c r="H48" s="78"/>
      <c r="I48" s="78"/>
      <c r="J48" s="72"/>
      <c r="L48" s="71" t="s">
        <v>423</v>
      </c>
      <c r="M48" s="73">
        <v>8</v>
      </c>
      <c r="N48" s="77"/>
      <c r="O48" s="72"/>
      <c r="R48" s="76"/>
      <c r="S48" s="77"/>
      <c r="T48" s="77"/>
      <c r="U48" s="72"/>
    </row>
    <row r="49" spans="1:21" x14ac:dyDescent="0.25">
      <c r="A49" s="71" t="s">
        <v>437</v>
      </c>
      <c r="B49" t="s">
        <v>486</v>
      </c>
      <c r="G49" s="131"/>
      <c r="H49" s="73"/>
      <c r="I49" s="73"/>
      <c r="J49" s="72"/>
      <c r="L49" s="71" t="s">
        <v>437</v>
      </c>
      <c r="M49" s="73">
        <v>3</v>
      </c>
      <c r="N49" s="77"/>
      <c r="O49" s="72"/>
      <c r="R49" s="76"/>
      <c r="S49" s="77"/>
      <c r="T49" s="77"/>
      <c r="U49" s="72"/>
    </row>
    <row r="50" spans="1:21" x14ac:dyDescent="0.25">
      <c r="A50" s="71" t="s">
        <v>440</v>
      </c>
      <c r="B50" t="s">
        <v>486</v>
      </c>
      <c r="G50" s="131"/>
      <c r="H50" s="73"/>
      <c r="I50" s="73"/>
      <c r="J50" s="72"/>
      <c r="L50" s="71" t="s">
        <v>440</v>
      </c>
      <c r="M50" s="73">
        <v>3</v>
      </c>
      <c r="N50" s="75"/>
      <c r="O50" s="72"/>
      <c r="R50" s="74"/>
      <c r="S50" s="75"/>
      <c r="T50" s="75"/>
      <c r="U50" s="72"/>
    </row>
    <row r="51" spans="1:21" x14ac:dyDescent="0.25">
      <c r="A51" s="71" t="s">
        <v>427</v>
      </c>
      <c r="B51" t="s">
        <v>486</v>
      </c>
      <c r="H51" s="73"/>
      <c r="I51" s="73"/>
      <c r="J51" s="72"/>
      <c r="L51" s="71" t="s">
        <v>427</v>
      </c>
      <c r="M51" s="73">
        <v>2</v>
      </c>
      <c r="N51" s="77"/>
      <c r="O51" s="72"/>
      <c r="R51" s="76"/>
      <c r="S51" s="77"/>
      <c r="T51" s="77"/>
      <c r="U51" s="72"/>
    </row>
    <row r="52" spans="1:21" x14ac:dyDescent="0.25">
      <c r="A52" s="71" t="s">
        <v>450</v>
      </c>
      <c r="B52" t="s">
        <v>486</v>
      </c>
      <c r="H52" s="73"/>
      <c r="I52" s="73"/>
      <c r="J52" s="72"/>
      <c r="L52" s="71" t="s">
        <v>450</v>
      </c>
      <c r="M52" s="73">
        <v>4</v>
      </c>
      <c r="N52" s="77"/>
      <c r="O52" s="72"/>
      <c r="R52" s="76"/>
      <c r="S52" s="77"/>
      <c r="T52" s="77"/>
      <c r="U52" s="72"/>
    </row>
    <row r="53" spans="1:21" x14ac:dyDescent="0.25">
      <c r="A53" s="71" t="s">
        <v>8</v>
      </c>
      <c r="B53" t="s">
        <v>486</v>
      </c>
      <c r="G53" s="131"/>
      <c r="H53" s="78"/>
      <c r="I53" s="78"/>
      <c r="J53" s="72"/>
      <c r="L53" s="71" t="s">
        <v>8</v>
      </c>
      <c r="M53" s="73">
        <v>5</v>
      </c>
      <c r="N53" s="75"/>
      <c r="O53" s="72"/>
      <c r="R53" s="74"/>
      <c r="S53" s="75"/>
      <c r="T53" s="75"/>
      <c r="U53" s="72"/>
    </row>
    <row r="54" spans="1:21" x14ac:dyDescent="0.25">
      <c r="A54" s="71" t="s">
        <v>9</v>
      </c>
      <c r="H54" s="73"/>
      <c r="I54" s="73"/>
      <c r="J54" s="72"/>
      <c r="L54" s="71" t="s">
        <v>9</v>
      </c>
      <c r="M54" s="73">
        <v>3</v>
      </c>
      <c r="N54" s="77"/>
      <c r="O54" s="72"/>
      <c r="R54" s="76"/>
      <c r="S54" s="77"/>
      <c r="T54" s="77"/>
      <c r="U54" s="72"/>
    </row>
    <row r="55" spans="1:21" x14ac:dyDescent="0.25">
      <c r="A55" s="71" t="s">
        <v>7</v>
      </c>
      <c r="H55" s="73"/>
      <c r="I55" s="73"/>
      <c r="J55" s="72"/>
      <c r="L55" s="71" t="s">
        <v>7</v>
      </c>
      <c r="M55" s="73">
        <v>2</v>
      </c>
      <c r="N55" s="77"/>
      <c r="O55" s="72"/>
      <c r="R55" s="76"/>
      <c r="S55" s="77"/>
      <c r="T55" s="77"/>
      <c r="U55" s="72"/>
    </row>
    <row r="56" spans="1:21" x14ac:dyDescent="0.25">
      <c r="A56" s="71" t="s">
        <v>129</v>
      </c>
      <c r="B56" t="s">
        <v>486</v>
      </c>
      <c r="G56" s="131"/>
      <c r="H56" s="73"/>
      <c r="I56" s="73"/>
      <c r="J56" s="72"/>
      <c r="L56" s="71" t="s">
        <v>129</v>
      </c>
      <c r="M56" s="73">
        <v>9</v>
      </c>
      <c r="N56" s="77"/>
      <c r="O56" s="72"/>
      <c r="R56" s="76"/>
      <c r="S56" s="77"/>
      <c r="T56" s="77"/>
      <c r="U56" s="72"/>
    </row>
    <row r="57" spans="1:21" x14ac:dyDescent="0.25">
      <c r="A57" s="71" t="s">
        <v>114</v>
      </c>
      <c r="G57" s="132"/>
      <c r="H57" s="73"/>
      <c r="I57" s="73"/>
      <c r="J57" s="72"/>
      <c r="L57" s="71" t="s">
        <v>114</v>
      </c>
      <c r="M57" s="73">
        <v>2</v>
      </c>
      <c r="N57" s="77"/>
      <c r="O57" s="72"/>
      <c r="R57" s="76"/>
      <c r="S57" s="77"/>
      <c r="T57" s="77"/>
      <c r="U57" s="72"/>
    </row>
    <row r="58" spans="1:21" x14ac:dyDescent="0.25">
      <c r="A58" s="71" t="s">
        <v>130</v>
      </c>
      <c r="B58" t="s">
        <v>486</v>
      </c>
      <c r="G58" s="132"/>
      <c r="H58" s="78"/>
      <c r="I58" s="78"/>
      <c r="J58" s="72"/>
      <c r="L58" s="71" t="s">
        <v>104</v>
      </c>
      <c r="M58" s="73">
        <v>2</v>
      </c>
      <c r="N58" s="77"/>
      <c r="O58" s="72"/>
      <c r="R58" s="76"/>
      <c r="S58" s="77"/>
      <c r="T58" s="77"/>
      <c r="U58" s="72"/>
    </row>
    <row r="59" spans="1:21" x14ac:dyDescent="0.25">
      <c r="A59" s="71" t="s">
        <v>455</v>
      </c>
      <c r="B59" t="s">
        <v>486</v>
      </c>
      <c r="H59" s="73"/>
      <c r="I59" s="73"/>
      <c r="J59" s="72"/>
      <c r="L59" s="71" t="s">
        <v>455</v>
      </c>
      <c r="M59" s="73">
        <v>4</v>
      </c>
      <c r="N59" s="75"/>
      <c r="O59" s="72"/>
      <c r="R59" s="74"/>
      <c r="S59" s="75"/>
      <c r="T59" s="75"/>
      <c r="U59" s="72"/>
    </row>
    <row r="60" spans="1:21" x14ac:dyDescent="0.25">
      <c r="A60" s="71" t="s">
        <v>113</v>
      </c>
      <c r="B60" s="59" t="s">
        <v>488</v>
      </c>
      <c r="H60" s="73"/>
      <c r="I60" s="73"/>
      <c r="J60" s="72"/>
      <c r="L60" s="71" t="s">
        <v>113</v>
      </c>
      <c r="M60" s="73">
        <v>3</v>
      </c>
      <c r="N60" s="77"/>
      <c r="O60" s="72"/>
      <c r="R60" s="76"/>
      <c r="S60" s="77"/>
      <c r="T60" s="77"/>
      <c r="U60" s="72"/>
    </row>
    <row r="61" spans="1:21" x14ac:dyDescent="0.25">
      <c r="A61" s="71" t="s">
        <v>56</v>
      </c>
      <c r="B61" t="s">
        <v>486</v>
      </c>
      <c r="H61" s="73"/>
      <c r="I61" s="73"/>
      <c r="J61" s="72"/>
      <c r="L61" s="71" t="s">
        <v>56</v>
      </c>
      <c r="M61" s="73">
        <v>7</v>
      </c>
      <c r="N61" s="77"/>
      <c r="O61" s="72"/>
      <c r="R61" s="76"/>
      <c r="S61" s="77"/>
      <c r="T61" s="77"/>
      <c r="U61" s="72"/>
    </row>
    <row r="62" spans="1:21" x14ac:dyDescent="0.25">
      <c r="A62" s="71" t="s">
        <v>146</v>
      </c>
      <c r="B62" t="s">
        <v>486</v>
      </c>
      <c r="H62" s="73"/>
      <c r="I62" s="73"/>
      <c r="J62" s="72"/>
      <c r="L62" s="71" t="s">
        <v>146</v>
      </c>
      <c r="M62" s="73">
        <v>2</v>
      </c>
      <c r="N62" s="77"/>
      <c r="O62" s="72"/>
      <c r="R62" s="76"/>
      <c r="S62" s="77"/>
      <c r="T62" s="77"/>
      <c r="U62" s="72"/>
    </row>
    <row r="63" spans="1:21" x14ac:dyDescent="0.25">
      <c r="A63" s="71" t="s">
        <v>366</v>
      </c>
      <c r="G63" s="131"/>
      <c r="H63" s="73"/>
      <c r="I63" s="73"/>
      <c r="J63" s="72"/>
      <c r="L63" s="71" t="s">
        <v>366</v>
      </c>
      <c r="M63" s="73">
        <v>6</v>
      </c>
      <c r="N63" s="77"/>
      <c r="O63" s="72"/>
      <c r="R63" s="76"/>
      <c r="S63" s="77"/>
      <c r="T63" s="77"/>
      <c r="U63" s="72"/>
    </row>
    <row r="64" spans="1:21" x14ac:dyDescent="0.25">
      <c r="A64" s="71" t="s">
        <v>454</v>
      </c>
      <c r="G64" s="131"/>
      <c r="H64" s="73"/>
      <c r="I64" s="73"/>
      <c r="J64" s="72"/>
      <c r="L64" s="71" t="s">
        <v>454</v>
      </c>
      <c r="M64" s="73">
        <v>4</v>
      </c>
      <c r="N64" s="75"/>
      <c r="O64" s="72"/>
      <c r="R64" s="74"/>
      <c r="S64" s="75"/>
      <c r="T64" s="75"/>
      <c r="U64" s="72"/>
    </row>
    <row r="65" spans="1:13" x14ac:dyDescent="0.25">
      <c r="A65" s="71" t="s">
        <v>453</v>
      </c>
      <c r="H65" s="78"/>
      <c r="I65" s="78"/>
      <c r="J65" s="72"/>
      <c r="L65" s="71" t="s">
        <v>453</v>
      </c>
      <c r="M65" s="73">
        <v>2</v>
      </c>
    </row>
    <row r="66" spans="1:13" x14ac:dyDescent="0.25">
      <c r="A66" s="71" t="s">
        <v>0</v>
      </c>
      <c r="H66" s="73"/>
      <c r="I66" s="73"/>
      <c r="J66" s="72"/>
      <c r="L66" s="71" t="s">
        <v>0</v>
      </c>
      <c r="M66" s="73">
        <v>2</v>
      </c>
    </row>
    <row r="67" spans="1:13" x14ac:dyDescent="0.25">
      <c r="A67" s="71" t="s">
        <v>50</v>
      </c>
      <c r="B67" t="s">
        <v>486</v>
      </c>
      <c r="H67" s="73"/>
      <c r="I67" s="73"/>
      <c r="J67" s="72"/>
      <c r="L67" s="71" t="s">
        <v>50</v>
      </c>
      <c r="M67" s="73">
        <v>6</v>
      </c>
    </row>
    <row r="68" spans="1:13" x14ac:dyDescent="0.25">
      <c r="A68" s="71" t="s">
        <v>135</v>
      </c>
      <c r="H68" s="78"/>
      <c r="I68" s="78"/>
      <c r="J68" s="72"/>
      <c r="L68" s="71" t="s">
        <v>135</v>
      </c>
      <c r="M68" s="73">
        <v>2</v>
      </c>
    </row>
    <row r="69" spans="1:13" x14ac:dyDescent="0.25">
      <c r="A69" s="71" t="s">
        <v>6</v>
      </c>
      <c r="B69" t="s">
        <v>486</v>
      </c>
      <c r="H69" s="73"/>
      <c r="I69" s="73"/>
      <c r="J69" s="72"/>
      <c r="L69" s="71" t="s">
        <v>6</v>
      </c>
      <c r="M69" s="73">
        <v>7</v>
      </c>
    </row>
    <row r="70" spans="1:13" x14ac:dyDescent="0.25">
      <c r="A70" s="71" t="s">
        <v>145</v>
      </c>
      <c r="B70" t="s">
        <v>486</v>
      </c>
      <c r="H70" s="73"/>
      <c r="I70" s="73"/>
      <c r="J70" s="72"/>
      <c r="L70" s="71" t="s">
        <v>145</v>
      </c>
      <c r="M70" s="73">
        <v>5</v>
      </c>
    </row>
    <row r="71" spans="1:13" x14ac:dyDescent="0.25">
      <c r="A71" s="71" t="s">
        <v>136</v>
      </c>
      <c r="H71" s="73"/>
      <c r="I71" s="73"/>
      <c r="J71" s="72"/>
      <c r="L71" s="71" t="s">
        <v>136</v>
      </c>
      <c r="M71" s="73">
        <v>2</v>
      </c>
    </row>
    <row r="72" spans="1:13" x14ac:dyDescent="0.25">
      <c r="A72" s="71" t="s">
        <v>147</v>
      </c>
      <c r="H72" s="73"/>
      <c r="I72" s="73"/>
      <c r="J72" s="72"/>
      <c r="L72" s="71" t="s">
        <v>147</v>
      </c>
      <c r="M72" s="73">
        <v>2</v>
      </c>
    </row>
    <row r="73" spans="1:13" x14ac:dyDescent="0.25">
      <c r="A73" s="71" t="s">
        <v>128</v>
      </c>
      <c r="B73" t="s">
        <v>486</v>
      </c>
      <c r="H73" s="73"/>
      <c r="I73" s="73"/>
      <c r="J73" s="72"/>
      <c r="L73" s="71" t="s">
        <v>87</v>
      </c>
      <c r="M73" s="73">
        <v>2</v>
      </c>
    </row>
    <row r="74" spans="1:13" x14ac:dyDescent="0.25">
      <c r="A74" s="71" t="s">
        <v>411</v>
      </c>
      <c r="B74" t="s">
        <v>486</v>
      </c>
      <c r="H74" s="78"/>
      <c r="I74" s="78"/>
      <c r="J74" s="72"/>
      <c r="L74" s="71" t="s">
        <v>411</v>
      </c>
      <c r="M74" s="73">
        <v>4</v>
      </c>
    </row>
    <row r="75" spans="1:13" x14ac:dyDescent="0.25">
      <c r="A75" s="71" t="s">
        <v>112</v>
      </c>
      <c r="B75" t="s">
        <v>486</v>
      </c>
      <c r="H75" s="73"/>
      <c r="I75" s="73"/>
      <c r="J75" s="72"/>
      <c r="L75" s="71" t="s">
        <v>112</v>
      </c>
      <c r="M75" s="73">
        <v>3</v>
      </c>
    </row>
    <row r="76" spans="1:13" x14ac:dyDescent="0.25">
      <c r="A76" s="71" t="s">
        <v>117</v>
      </c>
      <c r="H76" s="73"/>
      <c r="I76" s="73"/>
      <c r="J76" s="72"/>
      <c r="L76" s="71" t="s">
        <v>117</v>
      </c>
      <c r="M76" s="73">
        <v>2</v>
      </c>
    </row>
    <row r="77" spans="1:13" x14ac:dyDescent="0.25">
      <c r="A77" s="71" t="s">
        <v>106</v>
      </c>
      <c r="H77" s="73"/>
      <c r="I77" s="73"/>
      <c r="J77" s="72"/>
      <c r="L77" s="71" t="s">
        <v>106</v>
      </c>
      <c r="M77" s="73">
        <v>2</v>
      </c>
    </row>
    <row r="78" spans="1:13" x14ac:dyDescent="0.25">
      <c r="A78" s="71" t="s">
        <v>127</v>
      </c>
      <c r="B78" t="s">
        <v>486</v>
      </c>
      <c r="H78" s="73"/>
      <c r="I78" s="73"/>
      <c r="J78" s="72"/>
      <c r="L78" s="71" t="s">
        <v>187</v>
      </c>
      <c r="M78" s="73">
        <v>5</v>
      </c>
    </row>
    <row r="79" spans="1:13" x14ac:dyDescent="0.25">
      <c r="A79" s="71" t="s">
        <v>188</v>
      </c>
      <c r="B79" t="s">
        <v>486</v>
      </c>
      <c r="H79" s="78"/>
      <c r="I79" s="78"/>
      <c r="J79" s="72"/>
      <c r="L79" s="71" t="s">
        <v>188</v>
      </c>
      <c r="M79" s="73">
        <v>2</v>
      </c>
    </row>
    <row r="80" spans="1:13" x14ac:dyDescent="0.25">
      <c r="A80" s="71" t="s">
        <v>464</v>
      </c>
      <c r="H80" s="73"/>
      <c r="I80" s="73"/>
      <c r="J80" s="72"/>
      <c r="L80" s="71" t="s">
        <v>464</v>
      </c>
      <c r="M80" s="73">
        <v>2</v>
      </c>
    </row>
    <row r="81" spans="1:13" x14ac:dyDescent="0.25">
      <c r="A81" s="71" t="s">
        <v>107</v>
      </c>
      <c r="B81" t="s">
        <v>486</v>
      </c>
      <c r="H81" s="73"/>
      <c r="I81" s="73"/>
      <c r="J81" s="72"/>
      <c r="L81" s="71" t="s">
        <v>107</v>
      </c>
      <c r="M81" s="73">
        <v>2</v>
      </c>
    </row>
    <row r="82" spans="1:13" x14ac:dyDescent="0.25">
      <c r="A82" s="71" t="s">
        <v>111</v>
      </c>
      <c r="B82" t="s">
        <v>486</v>
      </c>
      <c r="H82" s="73"/>
      <c r="I82" s="73"/>
      <c r="J82" s="72"/>
      <c r="L82" s="71" t="s">
        <v>111</v>
      </c>
      <c r="M82" s="73">
        <v>2</v>
      </c>
    </row>
    <row r="83" spans="1:13" x14ac:dyDescent="0.25">
      <c r="A83" s="71" t="s">
        <v>125</v>
      </c>
      <c r="H83" s="73"/>
      <c r="I83" s="73"/>
      <c r="J83" s="72"/>
      <c r="L83" s="71" t="s">
        <v>125</v>
      </c>
      <c r="M83" s="73">
        <v>2</v>
      </c>
    </row>
    <row r="84" spans="1:13" x14ac:dyDescent="0.25">
      <c r="A84" s="71" t="s">
        <v>105</v>
      </c>
      <c r="B84" t="s">
        <v>486</v>
      </c>
      <c r="H84" s="73"/>
      <c r="I84" s="73"/>
      <c r="J84" s="72"/>
      <c r="L84" s="71" t="s">
        <v>105</v>
      </c>
      <c r="M84" s="73">
        <v>2</v>
      </c>
    </row>
    <row r="85" spans="1:13" x14ac:dyDescent="0.25">
      <c r="A85" s="71" t="s">
        <v>116</v>
      </c>
      <c r="H85" s="73"/>
      <c r="I85" s="73"/>
      <c r="J85" s="72"/>
      <c r="L85" s="71" t="s">
        <v>116</v>
      </c>
      <c r="M85" s="73">
        <v>1</v>
      </c>
    </row>
    <row r="86" spans="1:13" x14ac:dyDescent="0.25">
      <c r="A86" s="71" t="s">
        <v>122</v>
      </c>
      <c r="B86" t="s">
        <v>486</v>
      </c>
      <c r="H86" s="73"/>
      <c r="I86" s="73"/>
      <c r="J86" s="72"/>
      <c r="L86" s="71" t="s">
        <v>122</v>
      </c>
      <c r="M86" s="73">
        <v>6</v>
      </c>
    </row>
    <row r="87" spans="1:13" x14ac:dyDescent="0.25">
      <c r="A87" s="71" t="s">
        <v>123</v>
      </c>
      <c r="D87" s="59" t="s">
        <v>487</v>
      </c>
      <c r="H87" s="73"/>
      <c r="I87" s="73"/>
      <c r="J87" s="72"/>
      <c r="L87" s="71" t="s">
        <v>123</v>
      </c>
      <c r="M87" s="73">
        <v>2</v>
      </c>
    </row>
    <row r="88" spans="1:13" x14ac:dyDescent="0.25">
      <c r="A88" s="71" t="s">
        <v>1</v>
      </c>
      <c r="H88" s="73"/>
      <c r="I88" s="73"/>
      <c r="J88" s="72"/>
      <c r="L88" s="71" t="s">
        <v>1</v>
      </c>
      <c r="M88" s="73">
        <v>5</v>
      </c>
    </row>
    <row r="89" spans="1:13" x14ac:dyDescent="0.25">
      <c r="A89" s="71" t="s">
        <v>110</v>
      </c>
      <c r="B89" t="s">
        <v>486</v>
      </c>
      <c r="H89" s="73"/>
      <c r="I89" s="73"/>
      <c r="J89" s="72"/>
      <c r="L89" s="71" t="s">
        <v>110</v>
      </c>
      <c r="M89" s="73">
        <v>3</v>
      </c>
    </row>
    <row r="90" spans="1:13" x14ac:dyDescent="0.25">
      <c r="A90" s="71" t="s">
        <v>140</v>
      </c>
      <c r="H90" s="73"/>
      <c r="I90" s="73"/>
      <c r="J90" s="72"/>
      <c r="L90" s="71" t="s">
        <v>140</v>
      </c>
      <c r="M90" s="73">
        <v>1</v>
      </c>
    </row>
    <row r="91" spans="1:13" x14ac:dyDescent="0.25">
      <c r="A91" s="71" t="s">
        <v>409</v>
      </c>
      <c r="H91" s="78"/>
      <c r="I91" s="78"/>
      <c r="J91" s="72"/>
      <c r="L91" s="71" t="s">
        <v>409</v>
      </c>
      <c r="M91" s="73"/>
    </row>
    <row r="92" spans="1:13" x14ac:dyDescent="0.25">
      <c r="A92" s="71" t="s">
        <v>28</v>
      </c>
      <c r="H92" s="73"/>
      <c r="I92" s="73"/>
      <c r="J92" s="72"/>
      <c r="L92" s="71" t="s">
        <v>28</v>
      </c>
      <c r="M92" s="73">
        <v>309</v>
      </c>
    </row>
    <row r="93" spans="1:13" x14ac:dyDescent="0.25">
      <c r="H93" s="73"/>
      <c r="I93" s="73"/>
      <c r="J93" s="72"/>
    </row>
    <row r="94" spans="1:13" x14ac:dyDescent="0.25">
      <c r="H94" s="73"/>
      <c r="I94" s="73"/>
      <c r="J94" s="72"/>
    </row>
    <row r="95" spans="1:13" x14ac:dyDescent="0.25">
      <c r="H95" s="73"/>
      <c r="I95" s="73"/>
      <c r="J95" s="72"/>
    </row>
    <row r="96" spans="1:13" x14ac:dyDescent="0.25">
      <c r="H96" s="73"/>
      <c r="I96" s="73"/>
      <c r="J96" s="72"/>
    </row>
    <row r="97" spans="8:10" x14ac:dyDescent="0.25">
      <c r="H97" s="78"/>
      <c r="I97" s="78"/>
      <c r="J97" s="72"/>
    </row>
    <row r="98" spans="8:10" x14ac:dyDescent="0.25">
      <c r="H98" s="73"/>
      <c r="I98" s="73"/>
      <c r="J98" s="72"/>
    </row>
    <row r="99" spans="8:10" x14ac:dyDescent="0.25">
      <c r="H99" s="73"/>
      <c r="I99" s="73"/>
      <c r="J99" s="72"/>
    </row>
    <row r="100" spans="8:10" x14ac:dyDescent="0.25">
      <c r="H100" s="73"/>
      <c r="I100" s="73"/>
      <c r="J100" s="72"/>
    </row>
    <row r="101" spans="8:10" x14ac:dyDescent="0.25">
      <c r="H101" s="78"/>
      <c r="I101" s="78"/>
      <c r="J101" s="72"/>
    </row>
    <row r="102" spans="8:10" x14ac:dyDescent="0.25">
      <c r="H102" s="73"/>
      <c r="I102" s="73"/>
      <c r="J102" s="72"/>
    </row>
    <row r="103" spans="8:10" x14ac:dyDescent="0.25">
      <c r="H103" s="73"/>
      <c r="I103" s="73"/>
      <c r="J103" s="72"/>
    </row>
    <row r="104" spans="8:10" x14ac:dyDescent="0.25">
      <c r="H104" s="73"/>
      <c r="I104" s="73"/>
      <c r="J104" s="72"/>
    </row>
    <row r="105" spans="8:10" x14ac:dyDescent="0.25">
      <c r="H105" s="73"/>
      <c r="I105" s="73"/>
      <c r="J105" s="72"/>
    </row>
    <row r="106" spans="8:10" x14ac:dyDescent="0.25">
      <c r="H106" s="73"/>
      <c r="I106" s="73"/>
      <c r="J106" s="72"/>
    </row>
    <row r="107" spans="8:10" x14ac:dyDescent="0.25">
      <c r="H107" s="73"/>
      <c r="I107" s="73"/>
      <c r="J107" s="72"/>
    </row>
    <row r="108" spans="8:10" x14ac:dyDescent="0.25">
      <c r="H108" s="73"/>
      <c r="I108" s="73"/>
      <c r="J108" s="72"/>
    </row>
    <row r="109" spans="8:10" x14ac:dyDescent="0.25">
      <c r="H109" s="78"/>
      <c r="I109" s="78"/>
      <c r="J109" s="72"/>
    </row>
    <row r="110" spans="8:10" x14ac:dyDescent="0.25">
      <c r="H110" s="73"/>
      <c r="I110" s="73"/>
      <c r="J110" s="72"/>
    </row>
    <row r="111" spans="8:10" x14ac:dyDescent="0.25">
      <c r="H111" s="73"/>
      <c r="I111" s="73"/>
      <c r="J111" s="72"/>
    </row>
    <row r="112" spans="8:10" x14ac:dyDescent="0.25">
      <c r="H112" s="73"/>
      <c r="I112" s="73"/>
      <c r="J112" s="72"/>
    </row>
    <row r="113" spans="8:10" x14ac:dyDescent="0.25">
      <c r="H113" s="78"/>
      <c r="I113" s="78"/>
      <c r="J113" s="72"/>
    </row>
    <row r="114" spans="8:10" x14ac:dyDescent="0.25">
      <c r="H114" s="73"/>
      <c r="I114" s="73"/>
      <c r="J114" s="72"/>
    </row>
    <row r="115" spans="8:10" x14ac:dyDescent="0.25">
      <c r="H115" s="73"/>
      <c r="I115" s="73"/>
      <c r="J115" s="72"/>
    </row>
    <row r="116" spans="8:10" x14ac:dyDescent="0.25">
      <c r="H116" s="73"/>
      <c r="I116" s="73"/>
      <c r="J116" s="72"/>
    </row>
    <row r="117" spans="8:10" x14ac:dyDescent="0.25">
      <c r="H117" s="73"/>
      <c r="I117" s="73"/>
      <c r="J117" s="72"/>
    </row>
    <row r="118" spans="8:10" x14ac:dyDescent="0.25">
      <c r="H118" s="73"/>
      <c r="I118" s="73"/>
      <c r="J118" s="72"/>
    </row>
    <row r="119" spans="8:10" x14ac:dyDescent="0.25">
      <c r="H119" s="73"/>
      <c r="I119" s="73"/>
      <c r="J119" s="72"/>
    </row>
    <row r="120" spans="8:10" x14ac:dyDescent="0.25">
      <c r="H120" s="78"/>
      <c r="I120" s="78"/>
      <c r="J120" s="72"/>
    </row>
    <row r="121" spans="8:10" x14ac:dyDescent="0.25">
      <c r="H121" s="73"/>
      <c r="I121" s="73"/>
      <c r="J121" s="72"/>
    </row>
    <row r="122" spans="8:10" x14ac:dyDescent="0.25">
      <c r="H122" s="73"/>
      <c r="I122" s="73"/>
      <c r="J122" s="72"/>
    </row>
    <row r="123" spans="8:10" x14ac:dyDescent="0.25">
      <c r="H123" s="73"/>
      <c r="I123" s="73"/>
      <c r="J123" s="72"/>
    </row>
    <row r="124" spans="8:10" x14ac:dyDescent="0.25">
      <c r="H124" s="78"/>
      <c r="I124" s="78"/>
      <c r="J124" s="72"/>
    </row>
    <row r="125" spans="8:10" x14ac:dyDescent="0.25">
      <c r="H125" s="73"/>
      <c r="I125" s="73"/>
      <c r="J125" s="72"/>
    </row>
    <row r="126" spans="8:10" x14ac:dyDescent="0.25">
      <c r="H126" s="73"/>
      <c r="I126" s="73"/>
      <c r="J126" s="72"/>
    </row>
    <row r="127" spans="8:10" x14ac:dyDescent="0.25">
      <c r="H127" s="73"/>
      <c r="I127" s="73"/>
      <c r="J127" s="72"/>
    </row>
    <row r="128" spans="8:10" x14ac:dyDescent="0.25">
      <c r="H128" s="73"/>
      <c r="I128" s="73"/>
      <c r="J128" s="72"/>
    </row>
    <row r="129" spans="8:10" x14ac:dyDescent="0.25">
      <c r="H129" s="73"/>
      <c r="I129" s="73"/>
      <c r="J129" s="72"/>
    </row>
    <row r="130" spans="8:10" x14ac:dyDescent="0.25">
      <c r="H130" s="78"/>
      <c r="I130" s="78"/>
      <c r="J130" s="72"/>
    </row>
    <row r="131" spans="8:10" x14ac:dyDescent="0.25">
      <c r="H131" s="73"/>
      <c r="I131" s="73"/>
      <c r="J131" s="72"/>
    </row>
    <row r="132" spans="8:10" x14ac:dyDescent="0.25">
      <c r="H132" s="73"/>
      <c r="I132" s="73"/>
      <c r="J132" s="72"/>
    </row>
    <row r="133" spans="8:10" x14ac:dyDescent="0.25">
      <c r="H133" s="73"/>
      <c r="I133" s="73"/>
      <c r="J133" s="72"/>
    </row>
    <row r="134" spans="8:10" x14ac:dyDescent="0.25">
      <c r="H134" s="78"/>
      <c r="I134" s="78"/>
      <c r="J134" s="72"/>
    </row>
    <row r="135" spans="8:10" x14ac:dyDescent="0.25">
      <c r="H135" s="73"/>
      <c r="I135" s="73"/>
      <c r="J135" s="72"/>
    </row>
    <row r="136" spans="8:10" x14ac:dyDescent="0.25">
      <c r="H136" s="73"/>
      <c r="I136" s="73"/>
      <c r="J136" s="72"/>
    </row>
    <row r="137" spans="8:10" x14ac:dyDescent="0.25">
      <c r="H137" s="78"/>
      <c r="I137" s="78"/>
      <c r="J137" s="72"/>
    </row>
    <row r="138" spans="8:10" x14ac:dyDescent="0.25">
      <c r="H138" s="73"/>
      <c r="I138" s="73"/>
      <c r="J138" s="72"/>
    </row>
    <row r="139" spans="8:10" x14ac:dyDescent="0.25">
      <c r="H139" s="73"/>
      <c r="I139" s="73"/>
      <c r="J139" s="72"/>
    </row>
    <row r="140" spans="8:10" x14ac:dyDescent="0.25">
      <c r="H140" s="73"/>
      <c r="I140" s="73"/>
      <c r="J140" s="72"/>
    </row>
    <row r="141" spans="8:10" x14ac:dyDescent="0.25">
      <c r="H141" s="73"/>
      <c r="I141" s="73"/>
      <c r="J141" s="72"/>
    </row>
    <row r="142" spans="8:10" x14ac:dyDescent="0.25">
      <c r="H142" s="73"/>
      <c r="I142" s="73"/>
      <c r="J142" s="72"/>
    </row>
    <row r="143" spans="8:10" x14ac:dyDescent="0.25">
      <c r="H143" s="78"/>
      <c r="I143" s="78"/>
      <c r="J143" s="72"/>
    </row>
    <row r="144" spans="8:10" x14ac:dyDescent="0.25">
      <c r="H144" s="73"/>
      <c r="I144" s="73"/>
      <c r="J144" s="72"/>
    </row>
    <row r="145" spans="8:10" x14ac:dyDescent="0.25">
      <c r="H145" s="73"/>
      <c r="I145" s="73"/>
      <c r="J145" s="72"/>
    </row>
    <row r="146" spans="8:10" x14ac:dyDescent="0.25">
      <c r="H146" s="78"/>
      <c r="I146" s="78"/>
      <c r="J146" s="72"/>
    </row>
    <row r="147" spans="8:10" x14ac:dyDescent="0.25">
      <c r="H147" s="73"/>
      <c r="I147" s="73"/>
      <c r="J147" s="72"/>
    </row>
    <row r="148" spans="8:10" x14ac:dyDescent="0.25">
      <c r="H148" s="73"/>
      <c r="I148" s="73"/>
      <c r="J148" s="72"/>
    </row>
    <row r="149" spans="8:10" x14ac:dyDescent="0.25">
      <c r="H149" s="78"/>
      <c r="I149" s="78"/>
      <c r="J149" s="72"/>
    </row>
    <row r="150" spans="8:10" x14ac:dyDescent="0.25">
      <c r="H150" s="73"/>
      <c r="I150" s="73"/>
      <c r="J150" s="72"/>
    </row>
    <row r="151" spans="8:10" x14ac:dyDescent="0.25">
      <c r="H151" s="73"/>
      <c r="I151" s="73"/>
      <c r="J151" s="72"/>
    </row>
    <row r="152" spans="8:10" x14ac:dyDescent="0.25">
      <c r="H152" s="78"/>
      <c r="I152" s="78"/>
      <c r="J152" s="72"/>
    </row>
    <row r="153" spans="8:10" x14ac:dyDescent="0.25">
      <c r="H153" s="73"/>
      <c r="I153" s="73"/>
      <c r="J153" s="72"/>
    </row>
    <row r="154" spans="8:10" x14ac:dyDescent="0.25">
      <c r="H154" s="73"/>
      <c r="I154" s="73"/>
      <c r="J154" s="72"/>
    </row>
    <row r="155" spans="8:10" x14ac:dyDescent="0.25">
      <c r="H155" s="73"/>
      <c r="I155" s="73"/>
      <c r="J155" s="72"/>
    </row>
    <row r="156" spans="8:10" x14ac:dyDescent="0.25">
      <c r="H156" s="73"/>
      <c r="I156" s="73"/>
      <c r="J156" s="72"/>
    </row>
    <row r="157" spans="8:10" x14ac:dyDescent="0.25">
      <c r="H157" s="73"/>
      <c r="I157" s="73"/>
      <c r="J157" s="72"/>
    </row>
    <row r="158" spans="8:10" x14ac:dyDescent="0.25">
      <c r="H158" s="78"/>
      <c r="I158" s="78"/>
      <c r="J158" s="72"/>
    </row>
    <row r="159" spans="8:10" x14ac:dyDescent="0.25">
      <c r="H159" s="73"/>
      <c r="I159" s="73"/>
      <c r="J159" s="72"/>
    </row>
    <row r="160" spans="8:10" x14ac:dyDescent="0.25">
      <c r="H160" s="73"/>
      <c r="I160" s="73"/>
      <c r="J160" s="72"/>
    </row>
    <row r="161" spans="8:10" x14ac:dyDescent="0.25">
      <c r="H161" s="73"/>
      <c r="I161" s="73"/>
      <c r="J161" s="72"/>
    </row>
    <row r="162" spans="8:10" x14ac:dyDescent="0.25">
      <c r="H162" s="78"/>
      <c r="I162" s="78"/>
      <c r="J162" s="72"/>
    </row>
    <row r="163" spans="8:10" x14ac:dyDescent="0.25">
      <c r="H163" s="73"/>
      <c r="I163" s="73"/>
      <c r="J163" s="72"/>
    </row>
    <row r="164" spans="8:10" x14ac:dyDescent="0.25">
      <c r="H164" s="73"/>
      <c r="I164" s="73"/>
      <c r="J164" s="72"/>
    </row>
    <row r="165" spans="8:10" x14ac:dyDescent="0.25">
      <c r="H165" s="78"/>
      <c r="I165" s="78"/>
      <c r="J165" s="72"/>
    </row>
    <row r="166" spans="8:10" x14ac:dyDescent="0.25">
      <c r="H166" s="73"/>
      <c r="I166" s="73"/>
      <c r="J166" s="72"/>
    </row>
    <row r="167" spans="8:10" x14ac:dyDescent="0.25">
      <c r="H167" s="73"/>
      <c r="I167" s="73"/>
      <c r="J167" s="72"/>
    </row>
    <row r="168" spans="8:10" x14ac:dyDescent="0.25">
      <c r="H168" s="73"/>
      <c r="I168" s="73"/>
      <c r="J168" s="72"/>
    </row>
    <row r="169" spans="8:10" x14ac:dyDescent="0.25">
      <c r="H169" s="73"/>
      <c r="I169" s="73"/>
      <c r="J169" s="72"/>
    </row>
    <row r="170" spans="8:10" x14ac:dyDescent="0.25">
      <c r="H170" s="73"/>
      <c r="I170" s="73"/>
      <c r="J170" s="72"/>
    </row>
    <row r="171" spans="8:10" x14ac:dyDescent="0.25">
      <c r="H171" s="73"/>
      <c r="I171" s="73"/>
      <c r="J171" s="72"/>
    </row>
    <row r="172" spans="8:10" x14ac:dyDescent="0.25">
      <c r="H172" s="78"/>
      <c r="I172" s="78"/>
      <c r="J172" s="72"/>
    </row>
    <row r="173" spans="8:10" x14ac:dyDescent="0.25">
      <c r="H173" s="73"/>
      <c r="I173" s="73"/>
      <c r="J173" s="72"/>
    </row>
    <row r="174" spans="8:10" x14ac:dyDescent="0.25">
      <c r="H174" s="73"/>
      <c r="I174" s="73"/>
      <c r="J174" s="72"/>
    </row>
    <row r="175" spans="8:10" x14ac:dyDescent="0.25">
      <c r="H175" s="78"/>
      <c r="I175" s="78"/>
      <c r="J175" s="72"/>
    </row>
    <row r="176" spans="8:10" x14ac:dyDescent="0.25">
      <c r="H176" s="73"/>
      <c r="I176" s="73"/>
      <c r="J176" s="72"/>
    </row>
    <row r="177" spans="8:10" x14ac:dyDescent="0.25">
      <c r="H177" s="73"/>
      <c r="I177" s="73"/>
      <c r="J177" s="72"/>
    </row>
    <row r="178" spans="8:10" x14ac:dyDescent="0.25">
      <c r="H178" s="78"/>
      <c r="I178" s="78"/>
      <c r="J178" s="72"/>
    </row>
    <row r="179" spans="8:10" x14ac:dyDescent="0.25">
      <c r="H179" s="73"/>
      <c r="I179" s="73"/>
      <c r="J179" s="72"/>
    </row>
    <row r="180" spans="8:10" x14ac:dyDescent="0.25">
      <c r="H180" s="73"/>
      <c r="I180" s="73"/>
      <c r="J180" s="72"/>
    </row>
    <row r="181" spans="8:10" x14ac:dyDescent="0.25">
      <c r="H181" s="73"/>
      <c r="I181" s="73"/>
      <c r="J181" s="72"/>
    </row>
    <row r="182" spans="8:10" x14ac:dyDescent="0.25">
      <c r="H182" s="78"/>
      <c r="I182" s="78"/>
      <c r="J182" s="72"/>
    </row>
    <row r="183" spans="8:10" x14ac:dyDescent="0.25">
      <c r="H183" s="73"/>
      <c r="I183" s="73"/>
      <c r="J183" s="72"/>
    </row>
    <row r="184" spans="8:10" x14ac:dyDescent="0.25">
      <c r="H184" s="73"/>
      <c r="I184" s="73"/>
      <c r="J184" s="72"/>
    </row>
    <row r="185" spans="8:10" x14ac:dyDescent="0.25">
      <c r="H185" s="73"/>
      <c r="I185" s="73"/>
      <c r="J185" s="72"/>
    </row>
    <row r="186" spans="8:10" x14ac:dyDescent="0.25">
      <c r="H186" s="73"/>
      <c r="I186" s="73"/>
      <c r="J186" s="72"/>
    </row>
    <row r="187" spans="8:10" x14ac:dyDescent="0.25">
      <c r="H187" s="73"/>
      <c r="I187" s="73"/>
      <c r="J187" s="72"/>
    </row>
    <row r="188" spans="8:10" x14ac:dyDescent="0.25">
      <c r="H188" s="78"/>
      <c r="I188" s="78"/>
      <c r="J188" s="72"/>
    </row>
    <row r="189" spans="8:10" x14ac:dyDescent="0.25">
      <c r="H189" s="73"/>
      <c r="I189" s="73"/>
      <c r="J189" s="72"/>
    </row>
    <row r="190" spans="8:10" x14ac:dyDescent="0.25">
      <c r="H190" s="73"/>
      <c r="I190" s="73"/>
      <c r="J190" s="72"/>
    </row>
    <row r="191" spans="8:10" x14ac:dyDescent="0.25">
      <c r="H191" s="78"/>
      <c r="I191" s="78"/>
      <c r="J191" s="72"/>
    </row>
    <row r="192" spans="8:10" x14ac:dyDescent="0.25">
      <c r="H192" s="73"/>
      <c r="I192" s="73"/>
      <c r="J192" s="72"/>
    </row>
    <row r="193" spans="8:10" x14ac:dyDescent="0.25">
      <c r="H193" s="73"/>
      <c r="I193" s="73"/>
      <c r="J193" s="72"/>
    </row>
    <row r="194" spans="8:10" x14ac:dyDescent="0.25">
      <c r="H194" s="73"/>
      <c r="I194" s="73"/>
      <c r="J194" s="72"/>
    </row>
    <row r="195" spans="8:10" x14ac:dyDescent="0.25">
      <c r="H195" s="73"/>
      <c r="I195" s="73"/>
      <c r="J195" s="72"/>
    </row>
    <row r="196" spans="8:10" x14ac:dyDescent="0.25">
      <c r="H196" s="78"/>
      <c r="I196" s="78"/>
      <c r="J196" s="72"/>
    </row>
    <row r="197" spans="8:10" x14ac:dyDescent="0.25">
      <c r="H197" s="73"/>
      <c r="I197" s="73"/>
      <c r="J197" s="72"/>
    </row>
    <row r="198" spans="8:10" x14ac:dyDescent="0.25">
      <c r="H198" s="73"/>
      <c r="I198" s="73"/>
      <c r="J198" s="72"/>
    </row>
    <row r="199" spans="8:10" x14ac:dyDescent="0.25">
      <c r="H199" s="78"/>
      <c r="I199" s="78"/>
      <c r="J199" s="72"/>
    </row>
    <row r="200" spans="8:10" x14ac:dyDescent="0.25">
      <c r="H200" s="73"/>
      <c r="I200" s="73"/>
      <c r="J200" s="72"/>
    </row>
    <row r="201" spans="8:10" x14ac:dyDescent="0.25">
      <c r="H201" s="73"/>
      <c r="I201" s="73"/>
      <c r="J201" s="72"/>
    </row>
    <row r="202" spans="8:10" x14ac:dyDescent="0.25">
      <c r="H202" s="73"/>
      <c r="I202" s="73"/>
      <c r="J202" s="72"/>
    </row>
    <row r="203" spans="8:10" x14ac:dyDescent="0.25">
      <c r="H203" s="73"/>
      <c r="I203" s="73"/>
      <c r="J203" s="72"/>
    </row>
    <row r="204" spans="8:10" x14ac:dyDescent="0.25">
      <c r="H204" s="73"/>
      <c r="I204" s="73"/>
      <c r="J204" s="72"/>
    </row>
    <row r="205" spans="8:10" x14ac:dyDescent="0.25">
      <c r="H205" s="73"/>
      <c r="I205" s="73"/>
      <c r="J205" s="72"/>
    </row>
    <row r="206" spans="8:10" x14ac:dyDescent="0.25">
      <c r="H206" s="78"/>
      <c r="I206" s="78"/>
      <c r="J206" s="72"/>
    </row>
    <row r="207" spans="8:10" x14ac:dyDescent="0.25">
      <c r="H207" s="73"/>
      <c r="I207" s="73"/>
      <c r="J207" s="72"/>
    </row>
    <row r="208" spans="8:10" x14ac:dyDescent="0.25">
      <c r="H208" s="73"/>
      <c r="I208" s="73"/>
      <c r="J208" s="72"/>
    </row>
    <row r="209" spans="8:10" x14ac:dyDescent="0.25">
      <c r="H209" s="78"/>
      <c r="I209" s="78"/>
      <c r="J209" s="72"/>
    </row>
    <row r="210" spans="8:10" x14ac:dyDescent="0.25">
      <c r="H210" s="73"/>
      <c r="I210" s="73"/>
      <c r="J210" s="72"/>
    </row>
    <row r="211" spans="8:10" x14ac:dyDescent="0.25">
      <c r="H211" s="73"/>
      <c r="I211" s="73"/>
      <c r="J211" s="72"/>
    </row>
    <row r="212" spans="8:10" x14ac:dyDescent="0.25">
      <c r="H212" s="73"/>
      <c r="I212" s="73"/>
      <c r="J212" s="72"/>
    </row>
    <row r="213" spans="8:10" x14ac:dyDescent="0.25">
      <c r="H213" s="73"/>
      <c r="I213" s="73"/>
      <c r="J213" s="72"/>
    </row>
    <row r="214" spans="8:10" x14ac:dyDescent="0.25">
      <c r="H214" s="73"/>
      <c r="I214" s="73"/>
      <c r="J214" s="72"/>
    </row>
    <row r="215" spans="8:10" x14ac:dyDescent="0.25">
      <c r="H215" s="73"/>
      <c r="I215" s="73"/>
      <c r="J215" s="72"/>
    </row>
    <row r="216" spans="8:10" x14ac:dyDescent="0.25">
      <c r="H216" s="73"/>
      <c r="I216" s="73"/>
      <c r="J216" s="72"/>
    </row>
    <row r="217" spans="8:10" x14ac:dyDescent="0.25">
      <c r="H217" s="78"/>
      <c r="I217" s="78"/>
      <c r="J217" s="72"/>
    </row>
    <row r="218" spans="8:10" x14ac:dyDescent="0.25">
      <c r="H218" s="73"/>
      <c r="I218" s="73"/>
      <c r="J218" s="72"/>
    </row>
    <row r="219" spans="8:10" x14ac:dyDescent="0.25">
      <c r="H219" s="78"/>
      <c r="I219" s="78"/>
      <c r="J219" s="72"/>
    </row>
    <row r="220" spans="8:10" x14ac:dyDescent="0.25">
      <c r="H220" s="73"/>
      <c r="I220" s="73"/>
      <c r="J220" s="72"/>
    </row>
    <row r="221" spans="8:10" x14ac:dyDescent="0.25">
      <c r="H221" s="73"/>
      <c r="I221" s="73"/>
      <c r="J221" s="72"/>
    </row>
    <row r="284" spans="9:10" x14ac:dyDescent="0.25">
      <c r="I284" s="72"/>
      <c r="J284" s="72"/>
    </row>
  </sheetData>
  <pageMargins left="0.7" right="0.7" top="0.75" bottom="0.75" header="0.3" footer="0.3"/>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3:A33"/>
  <sheetViews>
    <sheetView zoomScale="25" zoomScaleNormal="25" workbookViewId="0">
      <selection activeCell="A18" sqref="A4:A32"/>
    </sheetView>
  </sheetViews>
  <sheetFormatPr defaultRowHeight="15" x14ac:dyDescent="0.25"/>
  <cols>
    <col min="1" max="1" width="29.28515625" customWidth="1"/>
    <col min="2" max="2" width="24.42578125" bestFit="1" customWidth="1"/>
    <col min="3" max="5" width="16.7109375" customWidth="1"/>
    <col min="6" max="7" width="12" bestFit="1" customWidth="1"/>
    <col min="8" max="8" width="8.5703125" customWidth="1"/>
    <col min="9" max="9" width="12" bestFit="1" customWidth="1"/>
    <col min="10" max="10" width="13.5703125" bestFit="1" customWidth="1"/>
    <col min="11" max="16" width="10.140625" bestFit="1" customWidth="1"/>
    <col min="17" max="17" width="12" bestFit="1" customWidth="1"/>
    <col min="18" max="26" width="12.42578125" bestFit="1" customWidth="1"/>
    <col min="28" max="30" width="12.42578125" bestFit="1" customWidth="1"/>
    <col min="31" max="31" width="8.42578125" customWidth="1"/>
    <col min="32" max="32" width="12" bestFit="1" customWidth="1"/>
    <col min="33" max="33" width="9.7109375" bestFit="1" customWidth="1"/>
    <col min="34" max="34" width="8.7109375" customWidth="1"/>
    <col min="35" max="35" width="9.85546875" bestFit="1" customWidth="1"/>
    <col min="36" max="36" width="7" customWidth="1"/>
    <col min="37" max="37" width="12" bestFit="1" customWidth="1"/>
    <col min="38" max="38" width="6.140625" customWidth="1"/>
    <col min="39" max="39" width="5" customWidth="1"/>
    <col min="41" max="41" width="7.28515625" customWidth="1"/>
    <col min="42" max="42" width="12" bestFit="1" customWidth="1"/>
    <col min="43" max="43" width="16.42578125" bestFit="1" customWidth="1"/>
    <col min="44" max="44" width="12" bestFit="1" customWidth="1"/>
    <col min="45" max="45" width="5.140625" customWidth="1"/>
    <col min="46" max="47" width="7" customWidth="1"/>
    <col min="48" max="48" width="6.7109375" customWidth="1"/>
    <col min="49" max="49" width="12" bestFit="1" customWidth="1"/>
    <col min="50" max="50" width="9.28515625" bestFit="1" customWidth="1"/>
    <col min="51" max="51" width="9.42578125" bestFit="1" customWidth="1"/>
    <col min="52" max="52" width="11" bestFit="1" customWidth="1"/>
    <col min="53" max="53" width="11.140625" bestFit="1" customWidth="1"/>
    <col min="54" max="54" width="9.28515625" bestFit="1" customWidth="1"/>
    <col min="55" max="55" width="9.7109375" bestFit="1" customWidth="1"/>
    <col min="56" max="56" width="4" customWidth="1"/>
    <col min="57" max="57" width="6" customWidth="1"/>
    <col min="58" max="58" width="9.28515625" bestFit="1" customWidth="1"/>
    <col min="59" max="59" width="6.42578125" customWidth="1"/>
    <col min="60" max="60" width="8.42578125" customWidth="1"/>
    <col min="61" max="61" width="5.140625" customWidth="1"/>
    <col min="62" max="63" width="12" bestFit="1" customWidth="1"/>
    <col min="64" max="64" width="7.28515625" customWidth="1"/>
    <col min="65" max="65" width="20" bestFit="1" customWidth="1"/>
    <col min="66" max="66" width="9.7109375" bestFit="1" customWidth="1"/>
    <col min="67" max="67" width="5" customWidth="1"/>
    <col min="68" max="68" width="6.140625" customWidth="1"/>
    <col min="69" max="69" width="10" bestFit="1" customWidth="1"/>
    <col min="70" max="70" width="12" bestFit="1" customWidth="1"/>
    <col min="71" max="71" width="8.5703125" customWidth="1"/>
    <col min="72" max="72" width="12" bestFit="1" customWidth="1"/>
    <col min="73" max="73" width="13.5703125" bestFit="1" customWidth="1"/>
    <col min="74" max="75" width="10.140625" bestFit="1" customWidth="1"/>
    <col min="76" max="76" width="12" bestFit="1" customWidth="1"/>
    <col min="77" max="79" width="10.140625" bestFit="1" customWidth="1"/>
    <col min="80" max="80" width="12" bestFit="1" customWidth="1"/>
    <col min="81" max="89" width="12.42578125" bestFit="1" customWidth="1"/>
    <col min="91" max="93" width="12.42578125" bestFit="1" customWidth="1"/>
    <col min="94" max="94" width="8.42578125" customWidth="1"/>
    <col min="95" max="95" width="12" bestFit="1" customWidth="1"/>
    <col min="96" max="96" width="9.7109375" bestFit="1" customWidth="1"/>
    <col min="97" max="97" width="8.7109375" customWidth="1"/>
    <col min="98" max="98" width="9.85546875" bestFit="1" customWidth="1"/>
    <col min="99" max="99" width="7" customWidth="1"/>
    <col min="100" max="100" width="12" bestFit="1" customWidth="1"/>
    <col min="101" max="101" width="6.140625" customWidth="1"/>
    <col min="102" max="102" width="7" customWidth="1"/>
    <col min="104" max="105" width="7.28515625" customWidth="1"/>
    <col min="106" max="106" width="16.42578125" bestFit="1" customWidth="1"/>
    <col min="107" max="107" width="7.42578125" customWidth="1"/>
    <col min="108" max="108" width="5.140625" customWidth="1"/>
    <col min="109" max="109" width="7" customWidth="1"/>
    <col min="110" max="110" width="5" customWidth="1"/>
    <col min="111" max="111" width="6.7109375" customWidth="1"/>
    <col min="112" max="112" width="12" bestFit="1" customWidth="1"/>
    <col min="113" max="113" width="9.28515625" bestFit="1" customWidth="1"/>
    <col min="114" max="114" width="9.42578125" bestFit="1" customWidth="1"/>
    <col min="115" max="115" width="11" bestFit="1" customWidth="1"/>
    <col min="116" max="116" width="11.140625" bestFit="1" customWidth="1"/>
    <col min="117" max="117" width="9.28515625" bestFit="1" customWidth="1"/>
    <col min="118" max="118" width="9.7109375" bestFit="1" customWidth="1"/>
    <col min="119" max="119" width="6" customWidth="1"/>
    <col min="120" max="120" width="4.5703125" customWidth="1"/>
    <col min="121" max="121" width="9.28515625" bestFit="1" customWidth="1"/>
    <col min="122" max="122" width="12" bestFit="1" customWidth="1"/>
    <col min="123" max="123" width="8.42578125" customWidth="1"/>
    <col min="124" max="124" width="6" customWidth="1"/>
    <col min="125" max="126" width="12" bestFit="1" customWidth="1"/>
    <col min="127" max="127" width="7.28515625" customWidth="1"/>
    <col min="128" max="128" width="20" bestFit="1" customWidth="1"/>
    <col min="129" max="129" width="9.7109375" bestFit="1" customWidth="1"/>
    <col min="130" max="130" width="7" customWidth="1"/>
    <col min="131" max="131" width="6.140625" customWidth="1"/>
    <col min="132" max="133" width="12" bestFit="1" customWidth="1"/>
    <col min="134" max="134" width="8.5703125" customWidth="1"/>
    <col min="136" max="136" width="13.5703125" bestFit="1" customWidth="1"/>
    <col min="137" max="138" width="10.140625" bestFit="1" customWidth="1"/>
    <col min="139" max="139" width="12" bestFit="1" customWidth="1"/>
    <col min="140" max="142" width="10.140625" bestFit="1" customWidth="1"/>
    <col min="143" max="143" width="12" bestFit="1" customWidth="1"/>
    <col min="144" max="152" width="12.42578125" bestFit="1" customWidth="1"/>
    <col min="154" max="156" width="12.42578125" bestFit="1" customWidth="1"/>
    <col min="157" max="157" width="8.42578125" customWidth="1"/>
    <col min="158" max="158" width="10.42578125" bestFit="1" customWidth="1"/>
    <col min="159" max="159" width="9.7109375" bestFit="1" customWidth="1"/>
    <col min="160" max="160" width="12" bestFit="1" customWidth="1"/>
    <col min="161" max="161" width="9.85546875" bestFit="1" customWidth="1"/>
    <col min="162" max="162" width="6.5703125" customWidth="1"/>
    <col min="163" max="163" width="12" bestFit="1" customWidth="1"/>
    <col min="164" max="164" width="7" customWidth="1"/>
    <col min="165" max="165" width="5" customWidth="1"/>
    <col min="167" max="167" width="7.28515625" customWidth="1"/>
    <col min="168" max="168" width="12" bestFit="1" customWidth="1"/>
    <col min="169" max="169" width="16.42578125" bestFit="1" customWidth="1"/>
    <col min="170" max="170" width="12" bestFit="1" customWidth="1"/>
    <col min="171" max="171" width="5.140625" customWidth="1"/>
    <col min="172" max="173" width="7" customWidth="1"/>
    <col min="174" max="174" width="6.7109375" customWidth="1"/>
    <col min="175" max="175" width="12" bestFit="1" customWidth="1"/>
    <col min="176" max="176" width="9.28515625" bestFit="1" customWidth="1"/>
    <col min="177" max="177" width="9.42578125" bestFit="1" customWidth="1"/>
    <col min="178" max="178" width="11" bestFit="1" customWidth="1"/>
    <col min="179" max="179" width="11.140625" bestFit="1" customWidth="1"/>
    <col min="180" max="180" width="9.28515625" bestFit="1" customWidth="1"/>
    <col min="181" max="181" width="9.7109375" bestFit="1" customWidth="1"/>
    <col min="182" max="182" width="6" customWidth="1"/>
    <col min="183" max="183" width="4.5703125" customWidth="1"/>
    <col min="184" max="184" width="9.28515625" bestFit="1" customWidth="1"/>
    <col min="185" max="185" width="6.42578125" customWidth="1"/>
    <col min="186" max="186" width="8.42578125" customWidth="1"/>
    <col min="187" max="187" width="7" customWidth="1"/>
    <col min="188" max="189" width="12" bestFit="1" customWidth="1"/>
    <col min="190" max="190" width="7.28515625" customWidth="1"/>
    <col min="191" max="191" width="16.7109375" bestFit="1" customWidth="1"/>
    <col min="192" max="192" width="9.7109375" bestFit="1" customWidth="1"/>
    <col min="193" max="193" width="7" customWidth="1"/>
    <col min="194" max="194" width="6.140625" customWidth="1"/>
    <col min="195" max="195" width="10" bestFit="1" customWidth="1"/>
    <col min="196" max="196" width="12" bestFit="1" customWidth="1"/>
    <col min="197" max="197" width="8.5703125" customWidth="1"/>
    <col min="198" max="198" width="12" bestFit="1" customWidth="1"/>
    <col min="199" max="199" width="13.5703125" bestFit="1" customWidth="1"/>
    <col min="200" max="201" width="10.140625" bestFit="1" customWidth="1"/>
    <col min="202" max="202" width="12" bestFit="1" customWidth="1"/>
    <col min="203" max="205" width="10.140625" bestFit="1" customWidth="1"/>
    <col min="206" max="206" width="12" bestFit="1" customWidth="1"/>
    <col min="207" max="215" width="12.42578125" bestFit="1" customWidth="1"/>
    <col min="217" max="219" width="12.42578125" bestFit="1" customWidth="1"/>
    <col min="220" max="220" width="8.42578125" customWidth="1"/>
    <col min="221" max="221" width="10.42578125" bestFit="1" customWidth="1"/>
    <col min="222" max="222" width="9.7109375" bestFit="1" customWidth="1"/>
    <col min="223" max="223" width="12" bestFit="1" customWidth="1"/>
    <col min="224" max="224" width="9.85546875" bestFit="1" customWidth="1"/>
    <col min="225" max="225" width="6.5703125" customWidth="1"/>
    <col min="226" max="226" width="8.5703125" customWidth="1"/>
    <col min="227" max="228" width="7" customWidth="1"/>
    <col min="230" max="231" width="7.28515625" customWidth="1"/>
    <col min="232" max="232" width="16.42578125" bestFit="1" customWidth="1"/>
    <col min="233" max="233" width="12" bestFit="1" customWidth="1"/>
    <col min="234" max="234" width="5.140625" customWidth="1"/>
    <col min="235" max="235" width="7" customWidth="1"/>
    <col min="236" max="236" width="5" customWidth="1"/>
    <col min="237" max="237" width="7" customWidth="1"/>
    <col min="238" max="238" width="12" bestFit="1" customWidth="1"/>
    <col min="239" max="239" width="9.28515625" bestFit="1" customWidth="1"/>
    <col min="240" max="240" width="9.42578125" bestFit="1" customWidth="1"/>
    <col min="241" max="241" width="11" bestFit="1" customWidth="1"/>
    <col min="242" max="242" width="11.140625" bestFit="1" customWidth="1"/>
    <col min="243" max="243" width="9.28515625" bestFit="1" customWidth="1"/>
    <col min="244" max="244" width="9.7109375" bestFit="1" customWidth="1"/>
    <col min="245" max="245" width="4" customWidth="1"/>
    <col min="246" max="246" width="6" customWidth="1"/>
    <col min="247" max="247" width="9.28515625" bestFit="1" customWidth="1"/>
    <col min="248" max="248" width="12" bestFit="1" customWidth="1"/>
    <col min="249" max="249" width="8.42578125" customWidth="1"/>
    <col min="250" max="250" width="7" customWidth="1"/>
    <col min="251" max="252" width="12" bestFit="1" customWidth="1"/>
    <col min="253" max="253" width="7.28515625" customWidth="1"/>
    <col min="254" max="256" width="25" bestFit="1" customWidth="1"/>
    <col min="257" max="257" width="21.85546875" bestFit="1" customWidth="1"/>
  </cols>
  <sheetData>
    <row r="3" spans="1:1" x14ac:dyDescent="0.25">
      <c r="A3" s="8" t="s">
        <v>27</v>
      </c>
    </row>
    <row r="4" spans="1:1" x14ac:dyDescent="0.25">
      <c r="A4" s="71" t="s">
        <v>4</v>
      </c>
    </row>
    <row r="5" spans="1:1" x14ac:dyDescent="0.25">
      <c r="A5" s="71" t="s">
        <v>2</v>
      </c>
    </row>
    <row r="6" spans="1:1" x14ac:dyDescent="0.25">
      <c r="A6" s="71" t="s">
        <v>55</v>
      </c>
    </row>
    <row r="7" spans="1:1" x14ac:dyDescent="0.25">
      <c r="A7" s="71" t="s">
        <v>3</v>
      </c>
    </row>
    <row r="8" spans="1:1" x14ac:dyDescent="0.25">
      <c r="A8" s="71" t="s">
        <v>5</v>
      </c>
    </row>
    <row r="9" spans="1:1" x14ac:dyDescent="0.25">
      <c r="A9" s="71" t="s">
        <v>141</v>
      </c>
    </row>
    <row r="10" spans="1:1" x14ac:dyDescent="0.25">
      <c r="A10" s="71" t="s">
        <v>8</v>
      </c>
    </row>
    <row r="11" spans="1:1" x14ac:dyDescent="0.25">
      <c r="A11" s="71" t="s">
        <v>129</v>
      </c>
    </row>
    <row r="12" spans="1:1" x14ac:dyDescent="0.25">
      <c r="A12" s="71" t="s">
        <v>114</v>
      </c>
    </row>
    <row r="13" spans="1:1" x14ac:dyDescent="0.25">
      <c r="A13" s="71" t="s">
        <v>104</v>
      </c>
    </row>
    <row r="14" spans="1:1" x14ac:dyDescent="0.25">
      <c r="A14" s="71" t="s">
        <v>56</v>
      </c>
    </row>
    <row r="15" spans="1:1" x14ac:dyDescent="0.25">
      <c r="A15" s="71" t="s">
        <v>146</v>
      </c>
    </row>
    <row r="16" spans="1:1" x14ac:dyDescent="0.25">
      <c r="A16" s="71" t="s">
        <v>366</v>
      </c>
    </row>
    <row r="17" spans="1:1" x14ac:dyDescent="0.25">
      <c r="A17" s="71" t="s">
        <v>50</v>
      </c>
    </row>
    <row r="18" spans="1:1" x14ac:dyDescent="0.25">
      <c r="A18" s="71" t="s">
        <v>6</v>
      </c>
    </row>
    <row r="19" spans="1:1" x14ac:dyDescent="0.25">
      <c r="A19" s="71" t="s">
        <v>145</v>
      </c>
    </row>
    <row r="20" spans="1:1" x14ac:dyDescent="0.25">
      <c r="A20" s="71" t="s">
        <v>87</v>
      </c>
    </row>
    <row r="21" spans="1:1" x14ac:dyDescent="0.25">
      <c r="A21" s="71" t="s">
        <v>112</v>
      </c>
    </row>
    <row r="22" spans="1:1" x14ac:dyDescent="0.25">
      <c r="A22" s="71" t="s">
        <v>106</v>
      </c>
    </row>
    <row r="23" spans="1:1" x14ac:dyDescent="0.25">
      <c r="A23" s="71" t="s">
        <v>187</v>
      </c>
    </row>
    <row r="24" spans="1:1" x14ac:dyDescent="0.25">
      <c r="A24" s="71" t="s">
        <v>188</v>
      </c>
    </row>
    <row r="25" spans="1:1" x14ac:dyDescent="0.25">
      <c r="A25" s="71" t="s">
        <v>107</v>
      </c>
    </row>
    <row r="26" spans="1:1" x14ac:dyDescent="0.25">
      <c r="A26" s="71" t="s">
        <v>111</v>
      </c>
    </row>
    <row r="27" spans="1:1" x14ac:dyDescent="0.25">
      <c r="A27" s="71" t="s">
        <v>125</v>
      </c>
    </row>
    <row r="28" spans="1:1" x14ac:dyDescent="0.25">
      <c r="A28" s="71" t="s">
        <v>105</v>
      </c>
    </row>
    <row r="29" spans="1:1" x14ac:dyDescent="0.25">
      <c r="A29" s="71" t="s">
        <v>122</v>
      </c>
    </row>
    <row r="30" spans="1:1" x14ac:dyDescent="0.25">
      <c r="A30" s="71" t="s">
        <v>123</v>
      </c>
    </row>
    <row r="31" spans="1:1" x14ac:dyDescent="0.25">
      <c r="A31" s="71" t="s">
        <v>1</v>
      </c>
    </row>
    <row r="32" spans="1:1" x14ac:dyDescent="0.25">
      <c r="A32" s="71" t="s">
        <v>110</v>
      </c>
    </row>
    <row r="33" spans="1:1" x14ac:dyDescent="0.25">
      <c r="A33" s="71" t="s">
        <v>28</v>
      </c>
    </row>
  </sheetData>
  <sortState ref="C4:C30">
    <sortCondition ref="C4"/>
  </sortState>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S976"/>
  <sheetViews>
    <sheetView zoomScale="85" zoomScaleNormal="85" workbookViewId="0">
      <pane ySplit="1" topLeftCell="A946" activePane="bottomLeft" state="frozen"/>
      <selection activeCell="I633" sqref="I633"/>
      <selection pane="bottomLeft" activeCell="I976" sqref="I961:I976"/>
    </sheetView>
  </sheetViews>
  <sheetFormatPr defaultRowHeight="15" x14ac:dyDescent="0.25"/>
  <cols>
    <col min="1" max="1" width="9.140625" style="22"/>
    <col min="3" max="4" width="9.140625" style="22"/>
    <col min="12" max="14" width="9.140625" style="22"/>
    <col min="15" max="15" width="9.7109375" style="22" customWidth="1"/>
    <col min="17" max="17" width="9.28515625" customWidth="1"/>
    <col min="20" max="20" width="13.140625" customWidth="1"/>
    <col min="21" max="21" width="17.85546875" customWidth="1"/>
    <col min="22" max="22" width="19.28515625" customWidth="1"/>
    <col min="23" max="23" width="17.85546875" customWidth="1"/>
    <col min="24" max="24" width="19.28515625" customWidth="1"/>
    <col min="25" max="25" width="17.85546875" customWidth="1"/>
    <col min="26" max="26" width="19.28515625" bestFit="1" customWidth="1"/>
    <col min="27" max="27" width="22.85546875" customWidth="1"/>
    <col min="28" max="28" width="24.28515625" customWidth="1"/>
    <col min="29" max="29" width="22.85546875" customWidth="1"/>
    <col min="30" max="30" width="24.28515625" bestFit="1" customWidth="1"/>
  </cols>
  <sheetData>
    <row r="1" spans="1:27" x14ac:dyDescent="0.25">
      <c r="A1" s="22" t="s">
        <v>43</v>
      </c>
      <c r="B1" t="s">
        <v>29</v>
      </c>
      <c r="C1" s="22" t="s">
        <v>109</v>
      </c>
      <c r="D1" s="22" t="s">
        <v>132</v>
      </c>
      <c r="E1" t="s">
        <v>39</v>
      </c>
      <c r="F1" t="s">
        <v>40</v>
      </c>
      <c r="G1" t="s">
        <v>41</v>
      </c>
      <c r="H1" t="s">
        <v>42</v>
      </c>
      <c r="I1" t="s">
        <v>31</v>
      </c>
      <c r="J1" t="s">
        <v>32</v>
      </c>
      <c r="K1" t="s">
        <v>66</v>
      </c>
      <c r="L1" s="22" t="s">
        <v>33</v>
      </c>
      <c r="M1" s="22" t="s">
        <v>34</v>
      </c>
      <c r="N1" s="22" t="s">
        <v>35</v>
      </c>
      <c r="O1" s="22" t="s">
        <v>36</v>
      </c>
      <c r="P1" s="22" t="s">
        <v>131</v>
      </c>
      <c r="Q1" s="22" t="s">
        <v>37</v>
      </c>
      <c r="R1" s="22"/>
      <c r="S1" s="22" t="s">
        <v>43</v>
      </c>
      <c r="T1" s="22" t="s">
        <v>44</v>
      </c>
      <c r="U1" s="22" t="s">
        <v>109</v>
      </c>
      <c r="V1" t="s">
        <v>39</v>
      </c>
      <c r="W1" s="22" t="s">
        <v>30</v>
      </c>
      <c r="X1" s="22" t="s">
        <v>66</v>
      </c>
      <c r="Y1" t="s">
        <v>133</v>
      </c>
      <c r="Z1" t="s">
        <v>134</v>
      </c>
      <c r="AA1" s="22" t="s">
        <v>131</v>
      </c>
    </row>
    <row r="2" spans="1:27" x14ac:dyDescent="0.25">
      <c r="A2" s="43">
        <v>1</v>
      </c>
      <c r="B2" s="43">
        <v>1</v>
      </c>
      <c r="C2" s="43">
        <v>1</v>
      </c>
      <c r="D2" s="43">
        <v>1</v>
      </c>
      <c r="E2" s="43">
        <v>130313</v>
      </c>
      <c r="F2" s="43">
        <v>93133</v>
      </c>
      <c r="G2" s="43" t="s">
        <v>127</v>
      </c>
      <c r="H2">
        <v>1</v>
      </c>
      <c r="I2">
        <v>2044</v>
      </c>
      <c r="J2">
        <v>464</v>
      </c>
      <c r="K2" s="6">
        <v>26.1</v>
      </c>
      <c r="L2" s="22">
        <v>23</v>
      </c>
      <c r="M2" s="22">
        <v>21.6</v>
      </c>
      <c r="N2" s="40">
        <f t="shared" ref="N2:N65" si="0">L2/K2</f>
        <v>0.88122605363984674</v>
      </c>
      <c r="O2" s="40">
        <f t="shared" ref="O2:O65" si="1">M2/K2</f>
        <v>0.82758620689655171</v>
      </c>
      <c r="P2" s="4">
        <v>2</v>
      </c>
      <c r="Q2" s="72">
        <f>VLOOKUP('All inst data'!A2,'all mice (except april 2012)'!$A$2:$G$218,7,FALSE)</f>
        <v>99</v>
      </c>
      <c r="R2" s="22"/>
      <c r="S2" s="22">
        <v>1</v>
      </c>
      <c r="T2" s="22">
        <v>1</v>
      </c>
      <c r="U2" s="22">
        <v>1</v>
      </c>
      <c r="V2">
        <v>130312</v>
      </c>
      <c r="W2" s="22" t="s">
        <v>187</v>
      </c>
      <c r="X2" s="6">
        <v>26.1</v>
      </c>
      <c r="Z2" s="40">
        <f>Y2/X2</f>
        <v>0</v>
      </c>
      <c r="AA2">
        <v>2.9</v>
      </c>
    </row>
    <row r="3" spans="1:27" x14ac:dyDescent="0.25">
      <c r="A3" s="43">
        <v>2</v>
      </c>
      <c r="B3" s="43">
        <v>2</v>
      </c>
      <c r="C3" s="43">
        <v>1</v>
      </c>
      <c r="D3" s="43">
        <v>1</v>
      </c>
      <c r="E3" s="43">
        <v>130313</v>
      </c>
      <c r="F3" s="43">
        <v>93134</v>
      </c>
      <c r="G3" s="43" t="s">
        <v>127</v>
      </c>
      <c r="H3">
        <v>2</v>
      </c>
      <c r="I3">
        <v>2071</v>
      </c>
      <c r="J3">
        <v>440</v>
      </c>
      <c r="K3" s="6">
        <v>29.2</v>
      </c>
      <c r="L3" s="22">
        <v>26.9</v>
      </c>
      <c r="M3" s="22">
        <v>25.7</v>
      </c>
      <c r="N3" s="40">
        <f t="shared" si="0"/>
        <v>0.92123287671232879</v>
      </c>
      <c r="O3" s="40">
        <f t="shared" si="1"/>
        <v>0.88013698630136983</v>
      </c>
      <c r="P3" s="4">
        <v>2</v>
      </c>
      <c r="Q3" s="72">
        <f>VLOOKUP('All inst data'!A3,'all mice (except april 2012)'!$A$2:$G$218,7,FALSE)</f>
        <v>99</v>
      </c>
      <c r="S3" s="22">
        <v>2</v>
      </c>
      <c r="T3" s="22">
        <v>2</v>
      </c>
      <c r="U3" s="22">
        <v>1</v>
      </c>
      <c r="V3">
        <v>130312</v>
      </c>
      <c r="W3" s="22" t="s">
        <v>187</v>
      </c>
      <c r="X3" s="6">
        <v>29.2</v>
      </c>
      <c r="Z3" s="40">
        <f t="shared" ref="Z3:Z66" si="2">Y3/X3</f>
        <v>0</v>
      </c>
      <c r="AA3">
        <v>2.9</v>
      </c>
    </row>
    <row r="4" spans="1:27" x14ac:dyDescent="0.25">
      <c r="A4" s="43">
        <v>3</v>
      </c>
      <c r="B4" s="43">
        <v>3</v>
      </c>
      <c r="C4" s="43">
        <v>1</v>
      </c>
      <c r="D4" s="43">
        <v>1</v>
      </c>
      <c r="E4" s="43">
        <v>130313</v>
      </c>
      <c r="F4" s="43">
        <v>93134</v>
      </c>
      <c r="G4" s="43" t="s">
        <v>0</v>
      </c>
      <c r="H4">
        <v>3</v>
      </c>
      <c r="I4">
        <v>3</v>
      </c>
      <c r="J4">
        <v>3</v>
      </c>
      <c r="K4" s="6">
        <v>21.8</v>
      </c>
      <c r="L4" s="22">
        <v>19.7</v>
      </c>
      <c r="M4" s="22">
        <v>17.399999999999999</v>
      </c>
      <c r="N4" s="40">
        <f t="shared" si="0"/>
        <v>0.90366972477064211</v>
      </c>
      <c r="O4" s="40">
        <f t="shared" si="1"/>
        <v>0.79816513761467878</v>
      </c>
      <c r="P4" s="4">
        <v>3</v>
      </c>
      <c r="Q4" s="72">
        <f>VLOOKUP('All inst data'!A4,'all mice (except april 2012)'!$A$2:$G$218,7,FALSE)</f>
        <v>113</v>
      </c>
      <c r="S4" s="22">
        <v>3</v>
      </c>
      <c r="T4" s="22">
        <v>3</v>
      </c>
      <c r="U4" s="22">
        <v>1</v>
      </c>
      <c r="V4">
        <v>130312</v>
      </c>
      <c r="W4" s="22" t="s">
        <v>0</v>
      </c>
      <c r="X4" s="6">
        <v>21.8</v>
      </c>
      <c r="Z4" s="40">
        <f t="shared" si="2"/>
        <v>0</v>
      </c>
      <c r="AA4">
        <v>2.8</v>
      </c>
    </row>
    <row r="5" spans="1:27" x14ac:dyDescent="0.25">
      <c r="A5" s="43">
        <v>4</v>
      </c>
      <c r="B5" s="43">
        <v>4</v>
      </c>
      <c r="C5" s="43">
        <v>1</v>
      </c>
      <c r="D5" s="43">
        <v>1</v>
      </c>
      <c r="E5" s="43">
        <v>130313</v>
      </c>
      <c r="F5" s="43">
        <v>93134</v>
      </c>
      <c r="G5" s="43" t="s">
        <v>0</v>
      </c>
      <c r="H5">
        <v>4</v>
      </c>
      <c r="I5">
        <v>8</v>
      </c>
      <c r="J5">
        <v>8</v>
      </c>
      <c r="K5" s="6">
        <v>22.3</v>
      </c>
      <c r="L5" s="22">
        <v>19.899999999999999</v>
      </c>
      <c r="M5" s="22">
        <v>17.8</v>
      </c>
      <c r="N5" s="40">
        <f t="shared" si="0"/>
        <v>0.89237668161434969</v>
      </c>
      <c r="O5" s="40">
        <f t="shared" si="1"/>
        <v>0.7982062780269058</v>
      </c>
      <c r="P5" s="4">
        <v>3</v>
      </c>
      <c r="Q5" s="72">
        <f>VLOOKUP('All inst data'!A5,'all mice (except april 2012)'!$A$2:$G$218,7,FALSE)</f>
        <v>113</v>
      </c>
      <c r="S5" s="22">
        <v>4</v>
      </c>
      <c r="T5" s="22">
        <v>4</v>
      </c>
      <c r="U5" s="22">
        <v>1</v>
      </c>
      <c r="V5">
        <v>130312</v>
      </c>
      <c r="W5" s="22" t="s">
        <v>0</v>
      </c>
      <c r="X5" s="6">
        <v>22.3</v>
      </c>
      <c r="Z5" s="40">
        <f t="shared" si="2"/>
        <v>0</v>
      </c>
      <c r="AA5">
        <v>2.8</v>
      </c>
    </row>
    <row r="6" spans="1:27" x14ac:dyDescent="0.25">
      <c r="A6" s="43">
        <v>5</v>
      </c>
      <c r="B6" s="43">
        <v>5</v>
      </c>
      <c r="C6" s="43">
        <v>1</v>
      </c>
      <c r="D6" s="43">
        <v>1</v>
      </c>
      <c r="E6" s="43">
        <v>130313</v>
      </c>
      <c r="F6" s="43">
        <v>93134</v>
      </c>
      <c r="G6" s="43" t="s">
        <v>2</v>
      </c>
      <c r="H6">
        <v>5</v>
      </c>
      <c r="I6">
        <v>38</v>
      </c>
      <c r="J6">
        <v>34</v>
      </c>
      <c r="K6" s="6">
        <v>24</v>
      </c>
      <c r="L6" s="22">
        <v>21.3</v>
      </c>
      <c r="M6" s="22">
        <v>19.899999999999999</v>
      </c>
      <c r="N6" s="40">
        <f t="shared" si="0"/>
        <v>0.88750000000000007</v>
      </c>
      <c r="O6" s="40">
        <f t="shared" si="1"/>
        <v>0.82916666666666661</v>
      </c>
      <c r="P6" s="4">
        <v>2.8</v>
      </c>
      <c r="Q6" s="72">
        <f>VLOOKUP('All inst data'!A6,'all mice (except april 2012)'!$A$2:$G$218,7,FALSE)</f>
        <v>99</v>
      </c>
      <c r="S6" s="22">
        <v>5</v>
      </c>
      <c r="T6" s="22">
        <v>5</v>
      </c>
      <c r="U6" s="22">
        <v>1</v>
      </c>
      <c r="V6">
        <v>130312</v>
      </c>
      <c r="W6" s="22" t="s">
        <v>2</v>
      </c>
      <c r="X6" s="6">
        <v>24</v>
      </c>
      <c r="Z6" s="40">
        <f t="shared" si="2"/>
        <v>0</v>
      </c>
      <c r="AA6">
        <v>2.4</v>
      </c>
    </row>
    <row r="7" spans="1:27" x14ac:dyDescent="0.25">
      <c r="A7" s="43">
        <v>6</v>
      </c>
      <c r="B7" s="43">
        <v>6</v>
      </c>
      <c r="C7" s="43">
        <v>1</v>
      </c>
      <c r="D7" s="43">
        <v>1</v>
      </c>
      <c r="E7" s="43">
        <v>130313</v>
      </c>
      <c r="F7" s="43">
        <v>93134</v>
      </c>
      <c r="G7" s="43" t="s">
        <v>2</v>
      </c>
      <c r="H7">
        <v>6</v>
      </c>
      <c r="I7">
        <v>35</v>
      </c>
      <c r="J7">
        <v>32</v>
      </c>
      <c r="K7" s="6">
        <v>20.3</v>
      </c>
      <c r="L7" s="22">
        <v>18.8</v>
      </c>
      <c r="M7" s="43">
        <v>17.100000000000001</v>
      </c>
      <c r="N7" s="40">
        <f t="shared" si="0"/>
        <v>0.92610837438423643</v>
      </c>
      <c r="O7" s="40">
        <f t="shared" si="1"/>
        <v>0.84236453201970451</v>
      </c>
      <c r="P7" s="4">
        <v>2.8</v>
      </c>
      <c r="Q7" s="72">
        <f>VLOOKUP('All inst data'!A7,'all mice (except april 2012)'!$A$2:$G$218,7,FALSE)</f>
        <v>99</v>
      </c>
      <c r="S7" s="22">
        <v>6</v>
      </c>
      <c r="T7" s="22">
        <v>6</v>
      </c>
      <c r="U7" s="22">
        <v>1</v>
      </c>
      <c r="V7">
        <v>130312</v>
      </c>
      <c r="W7" s="22" t="s">
        <v>2</v>
      </c>
      <c r="X7" s="6">
        <v>20.3</v>
      </c>
      <c r="Z7" s="40">
        <f t="shared" si="2"/>
        <v>0</v>
      </c>
      <c r="AA7">
        <v>2.4</v>
      </c>
    </row>
    <row r="8" spans="1:27" x14ac:dyDescent="0.25">
      <c r="A8" s="43">
        <v>7</v>
      </c>
      <c r="B8" s="43">
        <v>7</v>
      </c>
      <c r="C8" s="43">
        <v>1</v>
      </c>
      <c r="D8" s="43">
        <v>1</v>
      </c>
      <c r="E8" s="43">
        <v>130313</v>
      </c>
      <c r="F8" s="43">
        <v>93134</v>
      </c>
      <c r="G8" s="43" t="s">
        <v>4</v>
      </c>
      <c r="H8">
        <v>7</v>
      </c>
      <c r="I8">
        <v>1</v>
      </c>
      <c r="J8">
        <v>1</v>
      </c>
      <c r="K8" s="6">
        <v>24.9</v>
      </c>
      <c r="L8" s="22">
        <v>22.8</v>
      </c>
      <c r="M8" s="43">
        <v>20.9</v>
      </c>
      <c r="N8" s="40">
        <f t="shared" si="0"/>
        <v>0.9156626506024097</v>
      </c>
      <c r="O8" s="40">
        <f t="shared" si="1"/>
        <v>0.8393574297188755</v>
      </c>
      <c r="P8" s="4">
        <v>2.35</v>
      </c>
      <c r="Q8" s="72">
        <f>VLOOKUP('All inst data'!A8,'all mice (except april 2012)'!$A$2:$G$218,7,FALSE)</f>
        <v>113</v>
      </c>
      <c r="S8" s="22">
        <v>7</v>
      </c>
      <c r="T8" s="22">
        <v>7</v>
      </c>
      <c r="U8" s="22">
        <v>1</v>
      </c>
      <c r="V8">
        <v>130312</v>
      </c>
      <c r="W8" s="22" t="s">
        <v>4</v>
      </c>
      <c r="X8" s="6">
        <v>24.9</v>
      </c>
      <c r="Z8" s="40">
        <f t="shared" si="2"/>
        <v>0</v>
      </c>
      <c r="AA8">
        <v>2.2000000000000002</v>
      </c>
    </row>
    <row r="9" spans="1:27" x14ac:dyDescent="0.25">
      <c r="A9" s="43">
        <v>8</v>
      </c>
      <c r="B9" s="43">
        <v>8</v>
      </c>
      <c r="C9" s="43">
        <v>1</v>
      </c>
      <c r="D9" s="43">
        <v>1</v>
      </c>
      <c r="E9" s="43">
        <v>130313</v>
      </c>
      <c r="F9" s="43">
        <v>93134</v>
      </c>
      <c r="G9" s="43" t="s">
        <v>4</v>
      </c>
      <c r="H9">
        <v>8</v>
      </c>
      <c r="I9">
        <v>2</v>
      </c>
      <c r="J9">
        <v>2</v>
      </c>
      <c r="K9" s="6">
        <v>25.9</v>
      </c>
      <c r="L9" s="22">
        <v>23</v>
      </c>
      <c r="M9" s="22">
        <v>21.3</v>
      </c>
      <c r="N9" s="40">
        <f t="shared" si="0"/>
        <v>0.88803088803088803</v>
      </c>
      <c r="O9" s="40">
        <f t="shared" si="1"/>
        <v>0.82239382239382242</v>
      </c>
      <c r="P9" s="4">
        <v>2.35</v>
      </c>
      <c r="Q9" s="72">
        <f>VLOOKUP('All inst data'!A9,'all mice (except april 2012)'!$A$2:$G$218,7,FALSE)</f>
        <v>113</v>
      </c>
      <c r="S9" s="22">
        <v>8</v>
      </c>
      <c r="T9" s="22">
        <v>8</v>
      </c>
      <c r="U9" s="22">
        <v>1</v>
      </c>
      <c r="V9">
        <v>130312</v>
      </c>
      <c r="W9" s="22" t="s">
        <v>4</v>
      </c>
      <c r="X9" s="6">
        <v>25.9</v>
      </c>
      <c r="Z9" s="40">
        <f t="shared" si="2"/>
        <v>0</v>
      </c>
      <c r="AA9">
        <v>2.2000000000000002</v>
      </c>
    </row>
    <row r="10" spans="1:27" x14ac:dyDescent="0.25">
      <c r="A10" s="43">
        <v>9</v>
      </c>
      <c r="B10" s="43">
        <v>9</v>
      </c>
      <c r="C10" s="43">
        <v>1</v>
      </c>
      <c r="D10" s="43">
        <v>1</v>
      </c>
      <c r="E10" s="43">
        <v>130313</v>
      </c>
      <c r="F10" s="43">
        <v>93134</v>
      </c>
      <c r="G10" s="43" t="s">
        <v>8</v>
      </c>
      <c r="H10">
        <v>9</v>
      </c>
      <c r="I10">
        <v>5</v>
      </c>
      <c r="J10">
        <v>5</v>
      </c>
      <c r="K10" s="6">
        <v>26.3</v>
      </c>
      <c r="L10" s="22">
        <v>23.5</v>
      </c>
      <c r="M10" s="43">
        <v>21.5</v>
      </c>
      <c r="N10" s="40">
        <f t="shared" si="0"/>
        <v>0.89353612167300378</v>
      </c>
      <c r="O10" s="40">
        <f t="shared" si="1"/>
        <v>0.81749049429657794</v>
      </c>
      <c r="P10" s="4">
        <v>2.95</v>
      </c>
      <c r="Q10" s="72">
        <f>VLOOKUP('All inst data'!A10,'all mice (except april 2012)'!$A$2:$G$218,7,FALSE)</f>
        <v>113</v>
      </c>
      <c r="S10" s="22">
        <v>9</v>
      </c>
      <c r="T10" s="22">
        <v>9</v>
      </c>
      <c r="U10" s="22">
        <v>1</v>
      </c>
      <c r="V10">
        <v>130312</v>
      </c>
      <c r="W10" s="22" t="s">
        <v>8</v>
      </c>
      <c r="X10" s="6">
        <v>26.3</v>
      </c>
      <c r="Z10" s="40">
        <f t="shared" si="2"/>
        <v>0</v>
      </c>
      <c r="AA10">
        <v>2.75</v>
      </c>
    </row>
    <row r="11" spans="1:27" x14ac:dyDescent="0.25">
      <c r="A11" s="43">
        <v>10</v>
      </c>
      <c r="B11" s="43">
        <v>10</v>
      </c>
      <c r="C11" s="43">
        <v>1</v>
      </c>
      <c r="D11" s="43">
        <v>1</v>
      </c>
      <c r="E11" s="43">
        <v>130313</v>
      </c>
      <c r="F11" s="43">
        <v>93135</v>
      </c>
      <c r="G11" s="43" t="s">
        <v>8</v>
      </c>
      <c r="H11">
        <v>10</v>
      </c>
      <c r="I11">
        <v>5</v>
      </c>
      <c r="J11">
        <v>5</v>
      </c>
      <c r="K11" s="6">
        <v>26</v>
      </c>
      <c r="L11" s="22">
        <v>22.6</v>
      </c>
      <c r="M11" s="43">
        <v>20.8</v>
      </c>
      <c r="N11" s="40">
        <f t="shared" si="0"/>
        <v>0.86923076923076925</v>
      </c>
      <c r="O11" s="40">
        <f t="shared" si="1"/>
        <v>0.8</v>
      </c>
      <c r="P11" s="4">
        <v>2.95</v>
      </c>
      <c r="Q11" s="72">
        <f>VLOOKUP('All inst data'!A11,'all mice (except april 2012)'!$A$2:$G$218,7,FALSE)</f>
        <v>113</v>
      </c>
      <c r="S11" s="22">
        <v>10</v>
      </c>
      <c r="T11" s="22">
        <v>10</v>
      </c>
      <c r="U11" s="22">
        <v>1</v>
      </c>
      <c r="V11">
        <v>130312</v>
      </c>
      <c r="W11" s="22" t="s">
        <v>8</v>
      </c>
      <c r="X11" s="6">
        <v>26</v>
      </c>
      <c r="Z11" s="40">
        <f t="shared" si="2"/>
        <v>0</v>
      </c>
      <c r="AA11">
        <v>2.75</v>
      </c>
    </row>
    <row r="12" spans="1:27" x14ac:dyDescent="0.25">
      <c r="A12" s="43">
        <v>11</v>
      </c>
      <c r="B12" s="43">
        <v>11</v>
      </c>
      <c r="C12" s="43">
        <v>1</v>
      </c>
      <c r="D12" s="43">
        <v>1</v>
      </c>
      <c r="E12" s="43">
        <v>130313</v>
      </c>
      <c r="F12" s="43">
        <v>93135</v>
      </c>
      <c r="G12" s="43" t="s">
        <v>5</v>
      </c>
      <c r="H12">
        <v>11</v>
      </c>
      <c r="I12">
        <v>2160</v>
      </c>
      <c r="J12">
        <v>500</v>
      </c>
      <c r="K12" s="6">
        <v>28</v>
      </c>
      <c r="L12" s="22">
        <v>23.6</v>
      </c>
      <c r="M12" s="22">
        <v>21.7</v>
      </c>
      <c r="N12" s="40">
        <f t="shared" si="0"/>
        <v>0.84285714285714286</v>
      </c>
      <c r="O12" s="40">
        <f t="shared" si="1"/>
        <v>0.77500000000000002</v>
      </c>
      <c r="P12" s="4">
        <v>3.3</v>
      </c>
      <c r="Q12" s="72">
        <f>VLOOKUP('All inst data'!A12,'all mice (except april 2012)'!$A$2:$G$218,7,FALSE)</f>
        <v>99</v>
      </c>
      <c r="S12" s="22">
        <v>11</v>
      </c>
      <c r="T12" s="22">
        <v>11</v>
      </c>
      <c r="U12" s="22">
        <v>1</v>
      </c>
      <c r="V12">
        <v>130312</v>
      </c>
      <c r="W12" s="22" t="s">
        <v>5</v>
      </c>
      <c r="X12" s="6">
        <v>28</v>
      </c>
      <c r="Z12" s="40">
        <f t="shared" si="2"/>
        <v>0</v>
      </c>
      <c r="AA12">
        <v>3.6</v>
      </c>
    </row>
    <row r="13" spans="1:27" x14ac:dyDescent="0.25">
      <c r="A13" s="43">
        <v>12</v>
      </c>
      <c r="B13" s="43">
        <v>12</v>
      </c>
      <c r="C13" s="43">
        <v>1</v>
      </c>
      <c r="D13" s="43">
        <v>1</v>
      </c>
      <c r="E13" s="43">
        <v>130313</v>
      </c>
      <c r="F13" s="43">
        <v>93135</v>
      </c>
      <c r="G13" s="43" t="s">
        <v>5</v>
      </c>
      <c r="H13">
        <v>12</v>
      </c>
      <c r="I13">
        <v>1230</v>
      </c>
      <c r="J13">
        <v>312</v>
      </c>
      <c r="K13" s="6">
        <v>31.5</v>
      </c>
      <c r="L13" s="22">
        <v>27.4</v>
      </c>
      <c r="M13" s="22">
        <v>26.1</v>
      </c>
      <c r="N13" s="40">
        <f t="shared" si="0"/>
        <v>0.86984126984126975</v>
      </c>
      <c r="O13" s="40">
        <f t="shared" si="1"/>
        <v>0.82857142857142863</v>
      </c>
      <c r="P13" s="4">
        <v>3.3</v>
      </c>
      <c r="Q13" s="72">
        <f>VLOOKUP('All inst data'!A13,'all mice (except april 2012)'!$A$2:$G$218,7,FALSE)</f>
        <v>99</v>
      </c>
      <c r="S13" s="22">
        <v>12</v>
      </c>
      <c r="T13" s="22">
        <v>12</v>
      </c>
      <c r="U13" s="22">
        <v>1</v>
      </c>
      <c r="V13">
        <v>130312</v>
      </c>
      <c r="W13" s="22" t="s">
        <v>5</v>
      </c>
      <c r="X13" s="6">
        <v>31.5</v>
      </c>
      <c r="Z13" s="40">
        <f t="shared" si="2"/>
        <v>0</v>
      </c>
      <c r="AA13">
        <v>3.6</v>
      </c>
    </row>
    <row r="14" spans="1:27" x14ac:dyDescent="0.25">
      <c r="A14" s="43">
        <v>1</v>
      </c>
      <c r="B14" s="43">
        <v>1</v>
      </c>
      <c r="C14" s="43">
        <v>1</v>
      </c>
      <c r="D14" s="43">
        <v>2</v>
      </c>
      <c r="E14" s="43">
        <v>130314</v>
      </c>
      <c r="F14" s="43">
        <v>81353</v>
      </c>
      <c r="G14" s="43" t="s">
        <v>127</v>
      </c>
      <c r="H14">
        <v>1</v>
      </c>
      <c r="I14">
        <v>2237</v>
      </c>
      <c r="J14">
        <v>500</v>
      </c>
      <c r="K14" s="6">
        <v>26.1</v>
      </c>
      <c r="L14" s="22">
        <v>24</v>
      </c>
      <c r="M14" s="22">
        <v>22.8</v>
      </c>
      <c r="N14" s="40">
        <f t="shared" si="0"/>
        <v>0.91954022988505746</v>
      </c>
      <c r="O14" s="40">
        <f t="shared" si="1"/>
        <v>0.87356321839080453</v>
      </c>
      <c r="P14" s="4">
        <v>2.7</v>
      </c>
      <c r="Q14" s="72">
        <f>VLOOKUP('All inst data'!A14,'all mice (except april 2012)'!$A$2:$G$218,7,FALSE)</f>
        <v>99</v>
      </c>
      <c r="S14" s="22">
        <v>13</v>
      </c>
      <c r="T14" s="22">
        <v>13</v>
      </c>
      <c r="U14" s="22">
        <v>1</v>
      </c>
      <c r="V14">
        <v>130318</v>
      </c>
      <c r="W14" s="22" t="s">
        <v>1</v>
      </c>
      <c r="X14" s="22">
        <v>25</v>
      </c>
      <c r="Z14" s="40">
        <f t="shared" si="2"/>
        <v>0</v>
      </c>
      <c r="AA14">
        <v>3.4</v>
      </c>
    </row>
    <row r="15" spans="1:27" x14ac:dyDescent="0.25">
      <c r="A15" s="43">
        <v>2</v>
      </c>
      <c r="B15" s="43">
        <v>2</v>
      </c>
      <c r="C15" s="43">
        <v>1</v>
      </c>
      <c r="D15" s="43">
        <v>2</v>
      </c>
      <c r="E15" s="43">
        <v>130314</v>
      </c>
      <c r="F15" s="43">
        <v>81354</v>
      </c>
      <c r="G15" s="43" t="s">
        <v>127</v>
      </c>
      <c r="H15">
        <v>2</v>
      </c>
      <c r="I15">
        <v>1223</v>
      </c>
      <c r="J15">
        <v>302</v>
      </c>
      <c r="K15" s="6">
        <v>29.2</v>
      </c>
      <c r="L15" s="22">
        <v>27.5</v>
      </c>
      <c r="M15" s="22">
        <v>26.3</v>
      </c>
      <c r="N15" s="40">
        <f t="shared" si="0"/>
        <v>0.94178082191780821</v>
      </c>
      <c r="O15" s="40">
        <f t="shared" si="1"/>
        <v>0.90068493150684936</v>
      </c>
      <c r="P15" s="4">
        <v>2.7</v>
      </c>
      <c r="Q15" s="72">
        <f>VLOOKUP('All inst data'!A15,'all mice (except april 2012)'!$A$2:$G$218,7,FALSE)</f>
        <v>99</v>
      </c>
      <c r="S15" s="22">
        <v>14</v>
      </c>
      <c r="T15" s="22">
        <v>14</v>
      </c>
      <c r="U15" s="22">
        <v>1</v>
      </c>
      <c r="V15">
        <v>130318</v>
      </c>
      <c r="W15" s="22" t="s">
        <v>1</v>
      </c>
      <c r="X15" s="22">
        <v>20.6</v>
      </c>
      <c r="Z15" s="40">
        <f t="shared" si="2"/>
        <v>0</v>
      </c>
      <c r="AA15">
        <v>3.4</v>
      </c>
    </row>
    <row r="16" spans="1:27" x14ac:dyDescent="0.25">
      <c r="A16" s="43">
        <v>3</v>
      </c>
      <c r="B16" s="43">
        <v>3</v>
      </c>
      <c r="C16" s="43">
        <v>1</v>
      </c>
      <c r="D16" s="43">
        <v>2</v>
      </c>
      <c r="E16" s="43">
        <v>130314</v>
      </c>
      <c r="F16" s="43">
        <v>81354</v>
      </c>
      <c r="G16" s="43" t="s">
        <v>0</v>
      </c>
      <c r="H16">
        <v>3</v>
      </c>
      <c r="I16">
        <v>2</v>
      </c>
      <c r="J16">
        <v>2</v>
      </c>
      <c r="K16" s="6">
        <v>21.8</v>
      </c>
      <c r="L16" s="22">
        <v>19.5</v>
      </c>
      <c r="M16" s="22">
        <v>17.600000000000001</v>
      </c>
      <c r="N16" s="40">
        <f t="shared" si="0"/>
        <v>0.89449541284403666</v>
      </c>
      <c r="O16" s="40">
        <f t="shared" si="1"/>
        <v>0.80733944954128445</v>
      </c>
      <c r="P16" s="4">
        <v>3.2</v>
      </c>
      <c r="Q16" s="72">
        <f>VLOOKUP('All inst data'!A16,'all mice (except april 2012)'!$A$2:$G$218,7,FALSE)</f>
        <v>113</v>
      </c>
      <c r="S16" s="22">
        <v>15</v>
      </c>
      <c r="T16" s="22">
        <v>15</v>
      </c>
      <c r="U16" s="22">
        <v>1</v>
      </c>
      <c r="V16">
        <v>130318</v>
      </c>
      <c r="W16" s="22" t="s">
        <v>3</v>
      </c>
      <c r="X16" s="22">
        <v>27.2</v>
      </c>
      <c r="Z16" s="40">
        <f t="shared" si="2"/>
        <v>0</v>
      </c>
      <c r="AA16">
        <v>3.4</v>
      </c>
    </row>
    <row r="17" spans="1:27" x14ac:dyDescent="0.25">
      <c r="A17" s="43">
        <v>4</v>
      </c>
      <c r="B17" s="43">
        <v>4</v>
      </c>
      <c r="C17" s="43">
        <v>1</v>
      </c>
      <c r="D17" s="43">
        <v>2</v>
      </c>
      <c r="E17" s="43">
        <v>130314</v>
      </c>
      <c r="F17" s="43">
        <v>81354</v>
      </c>
      <c r="G17" s="43" t="s">
        <v>0</v>
      </c>
      <c r="H17">
        <v>4</v>
      </c>
      <c r="I17">
        <v>3</v>
      </c>
      <c r="J17">
        <v>3</v>
      </c>
      <c r="K17" s="6">
        <v>22.3</v>
      </c>
      <c r="L17" s="22">
        <v>19.7</v>
      </c>
      <c r="M17" s="22">
        <v>18</v>
      </c>
      <c r="N17" s="40">
        <f t="shared" si="0"/>
        <v>0.88340807174887881</v>
      </c>
      <c r="O17" s="40">
        <f t="shared" si="1"/>
        <v>0.80717488789237668</v>
      </c>
      <c r="P17" s="4">
        <v>3.2</v>
      </c>
      <c r="Q17" s="72">
        <f>VLOOKUP('All inst data'!A17,'all mice (except april 2012)'!$A$2:$G$218,7,FALSE)</f>
        <v>113</v>
      </c>
      <c r="S17" s="22">
        <v>16</v>
      </c>
      <c r="T17" s="22">
        <v>16</v>
      </c>
      <c r="U17" s="22">
        <v>1</v>
      </c>
      <c r="V17">
        <v>130318</v>
      </c>
      <c r="W17" s="22" t="s">
        <v>3</v>
      </c>
      <c r="X17" s="22">
        <v>24.8</v>
      </c>
      <c r="Z17" s="40">
        <f t="shared" si="2"/>
        <v>0</v>
      </c>
      <c r="AA17">
        <v>3.4</v>
      </c>
    </row>
    <row r="18" spans="1:27" x14ac:dyDescent="0.25">
      <c r="A18" s="43">
        <v>5</v>
      </c>
      <c r="B18" s="43">
        <v>5</v>
      </c>
      <c r="C18" s="43">
        <v>1</v>
      </c>
      <c r="D18" s="43">
        <v>2</v>
      </c>
      <c r="E18" s="43">
        <v>130314</v>
      </c>
      <c r="F18" s="43">
        <v>81354</v>
      </c>
      <c r="G18" s="43" t="s">
        <v>2</v>
      </c>
      <c r="H18">
        <v>5</v>
      </c>
      <c r="I18">
        <v>300</v>
      </c>
      <c r="J18">
        <v>128</v>
      </c>
      <c r="K18" s="6">
        <v>24</v>
      </c>
      <c r="L18" s="22">
        <v>21.6</v>
      </c>
      <c r="M18" s="22">
        <v>20.399999999999999</v>
      </c>
      <c r="N18" s="40">
        <f t="shared" si="0"/>
        <v>0.9</v>
      </c>
      <c r="O18" s="40">
        <f t="shared" si="1"/>
        <v>0.85</v>
      </c>
      <c r="P18" s="4">
        <v>2.5499999999999998</v>
      </c>
      <c r="Q18" s="72">
        <f>VLOOKUP('All inst data'!A18,'all mice (except april 2012)'!$A$2:$G$218,7,FALSE)</f>
        <v>99</v>
      </c>
      <c r="S18" s="22">
        <v>17</v>
      </c>
      <c r="T18" s="22">
        <v>17</v>
      </c>
      <c r="U18" s="22">
        <v>1</v>
      </c>
      <c r="V18">
        <v>130318</v>
      </c>
      <c r="W18" s="22" t="s">
        <v>6</v>
      </c>
      <c r="X18" s="22">
        <v>29</v>
      </c>
      <c r="Z18" s="40">
        <f t="shared" si="2"/>
        <v>0</v>
      </c>
      <c r="AA18">
        <v>3.7</v>
      </c>
    </row>
    <row r="19" spans="1:27" x14ac:dyDescent="0.25">
      <c r="A19" s="43">
        <v>6</v>
      </c>
      <c r="B19" s="43">
        <v>6</v>
      </c>
      <c r="C19" s="43">
        <v>1</v>
      </c>
      <c r="D19" s="43">
        <v>2</v>
      </c>
      <c r="E19" s="43">
        <v>130314</v>
      </c>
      <c r="F19" s="43">
        <v>81354</v>
      </c>
      <c r="G19" s="43" t="s">
        <v>2</v>
      </c>
      <c r="H19">
        <v>6</v>
      </c>
      <c r="I19">
        <v>303</v>
      </c>
      <c r="J19">
        <v>128</v>
      </c>
      <c r="K19" s="6">
        <v>20.3</v>
      </c>
      <c r="L19" s="22">
        <v>19.100000000000001</v>
      </c>
      <c r="M19" s="43">
        <v>17.8</v>
      </c>
      <c r="N19" s="40">
        <f t="shared" si="0"/>
        <v>0.94088669950738923</v>
      </c>
      <c r="O19" s="40">
        <f t="shared" si="1"/>
        <v>0.87684729064039413</v>
      </c>
      <c r="P19" s="4">
        <v>2.5499999999999998</v>
      </c>
      <c r="Q19" s="72">
        <f>VLOOKUP('All inst data'!A19,'all mice (except april 2012)'!$A$2:$G$218,7,FALSE)</f>
        <v>99</v>
      </c>
      <c r="S19" s="22">
        <v>18</v>
      </c>
      <c r="T19" s="22">
        <v>18</v>
      </c>
      <c r="U19" s="22">
        <v>1</v>
      </c>
      <c r="V19">
        <v>130318</v>
      </c>
      <c r="W19" s="22" t="s">
        <v>6</v>
      </c>
      <c r="X19" s="22">
        <v>30.2</v>
      </c>
      <c r="Z19" s="40">
        <f t="shared" si="2"/>
        <v>0</v>
      </c>
      <c r="AA19">
        <v>3.7</v>
      </c>
    </row>
    <row r="20" spans="1:27" x14ac:dyDescent="0.25">
      <c r="A20" s="43">
        <v>7</v>
      </c>
      <c r="B20" s="43">
        <v>7</v>
      </c>
      <c r="C20" s="43">
        <v>1</v>
      </c>
      <c r="D20" s="43">
        <v>2</v>
      </c>
      <c r="E20" s="43">
        <v>130314</v>
      </c>
      <c r="F20" s="43">
        <v>81354</v>
      </c>
      <c r="G20" s="43" t="s">
        <v>4</v>
      </c>
      <c r="H20">
        <v>7</v>
      </c>
      <c r="I20">
        <v>0</v>
      </c>
      <c r="J20">
        <v>0</v>
      </c>
      <c r="K20" s="6">
        <v>24.9</v>
      </c>
      <c r="L20" s="22">
        <v>22.8</v>
      </c>
      <c r="M20" s="22">
        <v>21.2</v>
      </c>
      <c r="N20" s="40">
        <f t="shared" si="0"/>
        <v>0.9156626506024097</v>
      </c>
      <c r="O20" s="40">
        <f t="shared" si="1"/>
        <v>0.85140562248995988</v>
      </c>
      <c r="P20" s="4">
        <v>2.35</v>
      </c>
      <c r="Q20" s="72">
        <f>VLOOKUP('All inst data'!A20,'all mice (except april 2012)'!$A$2:$G$218,7,FALSE)</f>
        <v>113</v>
      </c>
      <c r="S20" s="22">
        <v>19</v>
      </c>
      <c r="T20" s="22">
        <v>19</v>
      </c>
      <c r="U20" s="22">
        <v>1</v>
      </c>
      <c r="V20">
        <v>130318</v>
      </c>
      <c r="W20" s="22" t="s">
        <v>7</v>
      </c>
      <c r="X20" s="22">
        <v>29.4</v>
      </c>
      <c r="Z20" s="40">
        <f t="shared" si="2"/>
        <v>0</v>
      </c>
      <c r="AA20">
        <v>3.75</v>
      </c>
    </row>
    <row r="21" spans="1:27" x14ac:dyDescent="0.25">
      <c r="A21" s="43">
        <v>8</v>
      </c>
      <c r="B21" s="43">
        <v>8</v>
      </c>
      <c r="C21" s="43">
        <v>1</v>
      </c>
      <c r="D21" s="43">
        <v>2</v>
      </c>
      <c r="E21" s="43">
        <v>130314</v>
      </c>
      <c r="F21" s="43">
        <v>81354</v>
      </c>
      <c r="G21" s="43" t="s">
        <v>4</v>
      </c>
      <c r="H21">
        <v>8</v>
      </c>
      <c r="I21">
        <v>0</v>
      </c>
      <c r="J21">
        <v>0</v>
      </c>
      <c r="K21" s="6">
        <v>25.9</v>
      </c>
      <c r="L21" s="22">
        <v>23</v>
      </c>
      <c r="M21" s="22">
        <v>21.5</v>
      </c>
      <c r="N21" s="40">
        <f t="shared" si="0"/>
        <v>0.88803088803088803</v>
      </c>
      <c r="O21" s="40">
        <f t="shared" si="1"/>
        <v>0.83011583011583012</v>
      </c>
      <c r="P21" s="4">
        <v>2.35</v>
      </c>
      <c r="Q21" s="72">
        <f>VLOOKUP('All inst data'!A21,'all mice (except april 2012)'!$A$2:$G$218,7,FALSE)</f>
        <v>113</v>
      </c>
      <c r="S21" s="22">
        <v>20</v>
      </c>
      <c r="T21" s="22">
        <v>20</v>
      </c>
      <c r="U21" s="22">
        <v>1</v>
      </c>
      <c r="V21">
        <v>130318</v>
      </c>
      <c r="W21" s="22" t="s">
        <v>7</v>
      </c>
      <c r="X21" s="22">
        <v>27.8</v>
      </c>
      <c r="Z21" s="40">
        <f t="shared" si="2"/>
        <v>0</v>
      </c>
      <c r="AA21">
        <v>3.75</v>
      </c>
    </row>
    <row r="22" spans="1:27" x14ac:dyDescent="0.25">
      <c r="A22" s="43">
        <v>9</v>
      </c>
      <c r="B22" s="43">
        <v>9</v>
      </c>
      <c r="C22" s="43">
        <v>1</v>
      </c>
      <c r="D22" s="43">
        <v>2</v>
      </c>
      <c r="E22" s="43">
        <v>130314</v>
      </c>
      <c r="F22" s="43">
        <v>81354</v>
      </c>
      <c r="G22" s="43" t="s">
        <v>8</v>
      </c>
      <c r="H22">
        <v>9</v>
      </c>
      <c r="I22">
        <v>5</v>
      </c>
      <c r="J22">
        <v>5</v>
      </c>
      <c r="K22" s="6">
        <v>26.3</v>
      </c>
      <c r="L22" s="22">
        <v>23.6</v>
      </c>
      <c r="M22" s="43">
        <v>22.5</v>
      </c>
      <c r="N22" s="40">
        <f t="shared" si="0"/>
        <v>0.89733840304182511</v>
      </c>
      <c r="O22" s="40">
        <f t="shared" si="1"/>
        <v>0.85551330798479086</v>
      </c>
      <c r="P22" s="4">
        <v>3.1</v>
      </c>
      <c r="Q22" s="72">
        <f>VLOOKUP('All inst data'!A22,'all mice (except april 2012)'!$A$2:$G$218,7,FALSE)</f>
        <v>113</v>
      </c>
      <c r="S22" s="22">
        <v>21</v>
      </c>
      <c r="T22" s="22">
        <v>21</v>
      </c>
      <c r="U22" s="22">
        <v>1</v>
      </c>
      <c r="V22">
        <v>130318</v>
      </c>
      <c r="W22" s="22" t="s">
        <v>9</v>
      </c>
      <c r="X22" s="22">
        <v>29.7</v>
      </c>
      <c r="Z22" s="40">
        <f t="shared" si="2"/>
        <v>0</v>
      </c>
      <c r="AA22">
        <v>3.55</v>
      </c>
    </row>
    <row r="23" spans="1:27" x14ac:dyDescent="0.25">
      <c r="A23" s="43">
        <v>10</v>
      </c>
      <c r="B23" s="43">
        <v>10</v>
      </c>
      <c r="C23" s="43">
        <v>1</v>
      </c>
      <c r="D23" s="43">
        <v>2</v>
      </c>
      <c r="E23" s="43">
        <v>130314</v>
      </c>
      <c r="F23" s="43">
        <v>81355</v>
      </c>
      <c r="G23" s="43" t="s">
        <v>8</v>
      </c>
      <c r="H23">
        <v>10</v>
      </c>
      <c r="I23">
        <v>4</v>
      </c>
      <c r="J23">
        <v>3</v>
      </c>
      <c r="K23" s="6">
        <v>26</v>
      </c>
      <c r="L23" s="22">
        <v>22.7</v>
      </c>
      <c r="M23" s="43">
        <v>21.4</v>
      </c>
      <c r="N23" s="40">
        <f t="shared" si="0"/>
        <v>0.87307692307692308</v>
      </c>
      <c r="O23" s="40">
        <f t="shared" si="1"/>
        <v>0.82307692307692304</v>
      </c>
      <c r="P23" s="4">
        <v>3.1</v>
      </c>
      <c r="Q23" s="72">
        <f>VLOOKUP('All inst data'!A23,'all mice (except april 2012)'!$A$2:$G$218,7,FALSE)</f>
        <v>113</v>
      </c>
      <c r="S23" s="22">
        <v>22</v>
      </c>
      <c r="T23" s="22">
        <v>22</v>
      </c>
      <c r="U23" s="22">
        <v>1</v>
      </c>
      <c r="V23">
        <v>130318</v>
      </c>
      <c r="W23" s="22" t="s">
        <v>9</v>
      </c>
      <c r="X23" s="22">
        <v>30.9</v>
      </c>
      <c r="Z23" s="40">
        <f t="shared" si="2"/>
        <v>0</v>
      </c>
      <c r="AA23">
        <v>3.55</v>
      </c>
    </row>
    <row r="24" spans="1:27" x14ac:dyDescent="0.25">
      <c r="A24" s="43">
        <v>11</v>
      </c>
      <c r="B24" s="43">
        <v>11</v>
      </c>
      <c r="C24" s="43">
        <v>1</v>
      </c>
      <c r="D24" s="43">
        <v>2</v>
      </c>
      <c r="E24" s="43">
        <v>130314</v>
      </c>
      <c r="F24" s="43">
        <v>81355</v>
      </c>
      <c r="G24" s="43" t="s">
        <v>5</v>
      </c>
      <c r="H24">
        <v>11</v>
      </c>
      <c r="I24">
        <v>2165</v>
      </c>
      <c r="J24">
        <v>500</v>
      </c>
      <c r="K24" s="6">
        <v>28</v>
      </c>
      <c r="L24" s="22">
        <v>24.4</v>
      </c>
      <c r="M24" s="22">
        <v>22.7</v>
      </c>
      <c r="N24" s="40">
        <f t="shared" si="0"/>
        <v>0.87142857142857133</v>
      </c>
      <c r="O24" s="40">
        <f t="shared" si="1"/>
        <v>0.81071428571428572</v>
      </c>
      <c r="P24" s="4">
        <v>3.45</v>
      </c>
      <c r="Q24" s="72">
        <f>VLOOKUP('All inst data'!A24,'all mice (except april 2012)'!$A$2:$G$218,7,FALSE)</f>
        <v>99</v>
      </c>
      <c r="S24" s="22">
        <v>23</v>
      </c>
      <c r="T24" s="22">
        <v>23</v>
      </c>
      <c r="U24" s="22">
        <v>1</v>
      </c>
      <c r="V24">
        <v>130318</v>
      </c>
      <c r="W24" s="22" t="s">
        <v>87</v>
      </c>
      <c r="X24" s="22">
        <v>31.9</v>
      </c>
      <c r="Z24" s="40">
        <f t="shared" si="2"/>
        <v>0</v>
      </c>
      <c r="AA24">
        <v>3.8</v>
      </c>
    </row>
    <row r="25" spans="1:27" x14ac:dyDescent="0.25">
      <c r="A25" s="43">
        <v>12</v>
      </c>
      <c r="B25" s="43">
        <v>12</v>
      </c>
      <c r="C25" s="43">
        <v>1</v>
      </c>
      <c r="D25" s="43">
        <v>2</v>
      </c>
      <c r="E25" s="43">
        <v>130314</v>
      </c>
      <c r="F25" s="43">
        <v>81355</v>
      </c>
      <c r="G25" s="43" t="s">
        <v>5</v>
      </c>
      <c r="H25">
        <v>12</v>
      </c>
      <c r="I25">
        <v>2174</v>
      </c>
      <c r="J25">
        <v>500</v>
      </c>
      <c r="K25" s="6">
        <v>31.5</v>
      </c>
      <c r="L25" s="22">
        <v>28.1</v>
      </c>
      <c r="M25" s="22">
        <v>26.5</v>
      </c>
      <c r="N25" s="40">
        <f t="shared" si="0"/>
        <v>0.89206349206349211</v>
      </c>
      <c r="O25" s="40">
        <f t="shared" si="1"/>
        <v>0.84126984126984128</v>
      </c>
      <c r="P25" s="4">
        <v>3.45</v>
      </c>
      <c r="Q25" s="72">
        <f>VLOOKUP('All inst data'!A25,'all mice (except april 2012)'!$A$2:$G$218,7,FALSE)</f>
        <v>99</v>
      </c>
      <c r="S25" s="22">
        <v>24</v>
      </c>
      <c r="T25" s="22">
        <v>24</v>
      </c>
      <c r="U25" s="22">
        <v>1</v>
      </c>
      <c r="V25">
        <v>130318</v>
      </c>
      <c r="W25" s="22" t="s">
        <v>87</v>
      </c>
      <c r="X25" s="22">
        <v>31.6</v>
      </c>
      <c r="Z25" s="40">
        <f t="shared" si="2"/>
        <v>0</v>
      </c>
      <c r="AA25">
        <v>3.8</v>
      </c>
    </row>
    <row r="26" spans="1:27" x14ac:dyDescent="0.25">
      <c r="A26" s="43">
        <v>1</v>
      </c>
      <c r="B26" s="43">
        <v>1</v>
      </c>
      <c r="C26" s="43">
        <v>1</v>
      </c>
      <c r="D26" s="43">
        <v>3</v>
      </c>
      <c r="E26" s="43">
        <v>130315</v>
      </c>
      <c r="F26" s="43">
        <v>105008</v>
      </c>
      <c r="G26" s="43" t="s">
        <v>127</v>
      </c>
      <c r="H26">
        <v>1</v>
      </c>
      <c r="I26">
        <v>2171</v>
      </c>
      <c r="J26">
        <v>500</v>
      </c>
      <c r="K26" s="6">
        <v>26.1</v>
      </c>
      <c r="L26" s="22">
        <v>23</v>
      </c>
      <c r="M26" s="22">
        <v>22</v>
      </c>
      <c r="N26" s="40">
        <f t="shared" si="0"/>
        <v>0.88122605363984674</v>
      </c>
      <c r="O26" s="40">
        <f t="shared" si="1"/>
        <v>0.84291187739463602</v>
      </c>
      <c r="P26" s="4">
        <v>2.65</v>
      </c>
      <c r="Q26" s="72">
        <f>VLOOKUP('All inst data'!A26,'all mice (except april 2012)'!$A$2:$G$218,7,FALSE)</f>
        <v>99</v>
      </c>
      <c r="S26" s="22">
        <v>25</v>
      </c>
      <c r="T26" s="22">
        <v>1</v>
      </c>
      <c r="U26" s="22">
        <v>2</v>
      </c>
      <c r="V26">
        <v>130420</v>
      </c>
      <c r="W26" s="22" t="s">
        <v>129</v>
      </c>
      <c r="X26" s="22">
        <v>29.4</v>
      </c>
      <c r="Z26" s="40">
        <f t="shared" si="2"/>
        <v>0</v>
      </c>
      <c r="AA26">
        <v>1.95</v>
      </c>
    </row>
    <row r="27" spans="1:27" x14ac:dyDescent="0.25">
      <c r="A27" s="43">
        <v>2</v>
      </c>
      <c r="B27" s="43">
        <v>2</v>
      </c>
      <c r="C27" s="43">
        <v>1</v>
      </c>
      <c r="D27" s="43">
        <v>3</v>
      </c>
      <c r="E27" s="43">
        <v>130315</v>
      </c>
      <c r="F27" s="43">
        <v>105009</v>
      </c>
      <c r="G27" s="43" t="s">
        <v>127</v>
      </c>
      <c r="H27">
        <v>2</v>
      </c>
      <c r="I27">
        <v>2173</v>
      </c>
      <c r="J27">
        <v>500</v>
      </c>
      <c r="K27" s="6">
        <v>29.2</v>
      </c>
      <c r="L27" s="22">
        <v>27.3</v>
      </c>
      <c r="M27" s="43">
        <v>26.4</v>
      </c>
      <c r="N27" s="40">
        <f t="shared" si="0"/>
        <v>0.93493150684931514</v>
      </c>
      <c r="O27" s="40">
        <f t="shared" si="1"/>
        <v>0.90410958904109584</v>
      </c>
      <c r="P27" s="4">
        <v>2.65</v>
      </c>
      <c r="Q27" s="72">
        <f>VLOOKUP('All inst data'!A27,'all mice (except april 2012)'!$A$2:$G$218,7,FALSE)</f>
        <v>99</v>
      </c>
      <c r="S27" s="22">
        <v>26</v>
      </c>
      <c r="T27" s="22">
        <v>2</v>
      </c>
      <c r="U27" s="22">
        <v>2</v>
      </c>
      <c r="V27">
        <v>130420</v>
      </c>
      <c r="W27" s="22" t="s">
        <v>129</v>
      </c>
      <c r="X27" s="22">
        <v>27.4</v>
      </c>
      <c r="Z27" s="40">
        <f t="shared" si="2"/>
        <v>0</v>
      </c>
      <c r="AA27">
        <v>1.95</v>
      </c>
    </row>
    <row r="28" spans="1:27" x14ac:dyDescent="0.25">
      <c r="A28" s="43">
        <v>3</v>
      </c>
      <c r="B28" s="43">
        <v>3</v>
      </c>
      <c r="C28" s="43">
        <v>1</v>
      </c>
      <c r="D28" s="43">
        <v>3</v>
      </c>
      <c r="E28" s="43">
        <v>130315</v>
      </c>
      <c r="F28" s="43">
        <v>105009</v>
      </c>
      <c r="G28" s="43" t="s">
        <v>0</v>
      </c>
      <c r="H28">
        <v>3</v>
      </c>
      <c r="I28">
        <v>20</v>
      </c>
      <c r="J28">
        <v>19</v>
      </c>
      <c r="K28" s="6">
        <v>21.8</v>
      </c>
      <c r="L28" s="22">
        <v>19.100000000000001</v>
      </c>
      <c r="M28" s="22">
        <v>16.899999999999999</v>
      </c>
      <c r="N28" s="40">
        <f t="shared" si="0"/>
        <v>0.87614678899082576</v>
      </c>
      <c r="O28" s="40">
        <f t="shared" si="1"/>
        <v>0.77522935779816504</v>
      </c>
      <c r="P28" s="4">
        <v>3.4</v>
      </c>
      <c r="Q28" s="72">
        <f>VLOOKUP('All inst data'!A28,'all mice (except april 2012)'!$A$2:$G$218,7,FALSE)</f>
        <v>113</v>
      </c>
      <c r="S28" s="22">
        <v>27</v>
      </c>
      <c r="T28" s="22">
        <v>3</v>
      </c>
      <c r="U28" s="22">
        <v>2</v>
      </c>
      <c r="V28">
        <v>130420</v>
      </c>
      <c r="W28" s="22" t="s">
        <v>129</v>
      </c>
      <c r="X28" s="22">
        <v>27.7</v>
      </c>
      <c r="Z28" s="40">
        <f t="shared" si="2"/>
        <v>0</v>
      </c>
      <c r="AA28">
        <v>1.95</v>
      </c>
    </row>
    <row r="29" spans="1:27" ht="18.75" customHeight="1" x14ac:dyDescent="0.25">
      <c r="A29" s="43">
        <v>4</v>
      </c>
      <c r="B29" s="43">
        <v>4</v>
      </c>
      <c r="C29" s="43">
        <v>1</v>
      </c>
      <c r="D29" s="43">
        <v>3</v>
      </c>
      <c r="E29" s="43">
        <v>130315</v>
      </c>
      <c r="F29" s="43">
        <v>105009</v>
      </c>
      <c r="G29" s="43" t="s">
        <v>0</v>
      </c>
      <c r="H29">
        <v>4</v>
      </c>
      <c r="I29">
        <v>24</v>
      </c>
      <c r="J29">
        <v>22</v>
      </c>
      <c r="K29" s="6">
        <v>22.3</v>
      </c>
      <c r="L29" s="22">
        <v>19.5</v>
      </c>
      <c r="M29" s="43">
        <v>17.2</v>
      </c>
      <c r="N29" s="40">
        <f t="shared" si="0"/>
        <v>0.87443946188340804</v>
      </c>
      <c r="O29" s="40">
        <f t="shared" si="1"/>
        <v>0.77130044843049317</v>
      </c>
      <c r="P29" s="4">
        <v>3.4</v>
      </c>
      <c r="Q29" s="72">
        <f>VLOOKUP('All inst data'!A29,'all mice (except april 2012)'!$A$2:$G$218,7,FALSE)</f>
        <v>113</v>
      </c>
      <c r="S29" s="22">
        <v>28</v>
      </c>
      <c r="T29" s="22">
        <v>4</v>
      </c>
      <c r="U29" s="22">
        <v>2</v>
      </c>
      <c r="V29">
        <v>130420</v>
      </c>
      <c r="W29" s="22" t="s">
        <v>185</v>
      </c>
      <c r="X29" s="22">
        <v>26.7</v>
      </c>
      <c r="Z29" s="40">
        <f t="shared" si="2"/>
        <v>0</v>
      </c>
      <c r="AA29">
        <v>1.7</v>
      </c>
    </row>
    <row r="30" spans="1:27" x14ac:dyDescent="0.25">
      <c r="A30" s="43">
        <v>5</v>
      </c>
      <c r="B30" s="43">
        <v>5</v>
      </c>
      <c r="C30" s="43">
        <v>1</v>
      </c>
      <c r="D30" s="43">
        <v>3</v>
      </c>
      <c r="E30" s="43">
        <v>130315</v>
      </c>
      <c r="F30" s="43">
        <v>105009</v>
      </c>
      <c r="G30" s="43" t="s">
        <v>2</v>
      </c>
      <c r="H30">
        <v>5</v>
      </c>
      <c r="I30">
        <v>760</v>
      </c>
      <c r="J30">
        <v>221</v>
      </c>
      <c r="K30" s="6">
        <v>24</v>
      </c>
      <c r="L30" s="22">
        <v>21.2</v>
      </c>
      <c r="M30" s="22">
        <v>19.8</v>
      </c>
      <c r="N30" s="40">
        <f t="shared" si="0"/>
        <v>0.8833333333333333</v>
      </c>
      <c r="O30" s="40">
        <f t="shared" si="1"/>
        <v>0.82500000000000007</v>
      </c>
      <c r="P30" s="4">
        <v>2.8</v>
      </c>
      <c r="Q30" s="72">
        <f>VLOOKUP('All inst data'!A30,'all mice (except april 2012)'!$A$2:$G$218,7,FALSE)</f>
        <v>99</v>
      </c>
      <c r="S30" s="22">
        <v>29</v>
      </c>
      <c r="T30" s="22">
        <v>5</v>
      </c>
      <c r="U30" s="22">
        <v>2</v>
      </c>
      <c r="V30">
        <v>130420</v>
      </c>
      <c r="W30" s="22" t="s">
        <v>185</v>
      </c>
      <c r="X30" s="22">
        <v>23.4</v>
      </c>
      <c r="Z30" s="40">
        <f t="shared" si="2"/>
        <v>0</v>
      </c>
      <c r="AA30">
        <v>1.7</v>
      </c>
    </row>
    <row r="31" spans="1:27" x14ac:dyDescent="0.25">
      <c r="A31" s="43">
        <v>6</v>
      </c>
      <c r="B31" s="43">
        <v>6</v>
      </c>
      <c r="C31" s="43">
        <v>1</v>
      </c>
      <c r="D31" s="43">
        <v>3</v>
      </c>
      <c r="E31" s="43">
        <v>130315</v>
      </c>
      <c r="F31" s="43">
        <v>105009</v>
      </c>
      <c r="G31" s="43" t="s">
        <v>2</v>
      </c>
      <c r="H31">
        <v>6</v>
      </c>
      <c r="I31">
        <v>1994</v>
      </c>
      <c r="J31">
        <v>462</v>
      </c>
      <c r="K31" s="6">
        <v>20.3</v>
      </c>
      <c r="L31" s="22">
        <v>18.3</v>
      </c>
      <c r="M31" s="43">
        <v>17.3</v>
      </c>
      <c r="N31" s="40">
        <f t="shared" si="0"/>
        <v>0.90147783251231528</v>
      </c>
      <c r="O31" s="40">
        <f t="shared" si="1"/>
        <v>0.85221674876847286</v>
      </c>
      <c r="P31" s="4">
        <v>2.8</v>
      </c>
      <c r="Q31" s="72">
        <f>VLOOKUP('All inst data'!A31,'all mice (except april 2012)'!$A$2:$G$218,7,FALSE)</f>
        <v>99</v>
      </c>
      <c r="S31" s="22">
        <v>30</v>
      </c>
      <c r="T31" s="22">
        <v>6</v>
      </c>
      <c r="U31" s="22">
        <v>2</v>
      </c>
      <c r="V31">
        <v>130420</v>
      </c>
      <c r="W31" s="22" t="s">
        <v>175</v>
      </c>
      <c r="X31" s="22">
        <v>36.200000000000003</v>
      </c>
      <c r="Z31" s="40">
        <f t="shared" si="2"/>
        <v>0</v>
      </c>
      <c r="AA31">
        <v>1.75</v>
      </c>
    </row>
    <row r="32" spans="1:27" x14ac:dyDescent="0.25">
      <c r="A32" s="43">
        <v>7</v>
      </c>
      <c r="B32" s="43">
        <v>7</v>
      </c>
      <c r="C32" s="43">
        <v>1</v>
      </c>
      <c r="D32" s="43">
        <v>3</v>
      </c>
      <c r="E32" s="43">
        <v>130315</v>
      </c>
      <c r="F32" s="43">
        <v>105010</v>
      </c>
      <c r="G32" s="43" t="s">
        <v>4</v>
      </c>
      <c r="H32">
        <v>7</v>
      </c>
      <c r="I32">
        <v>1</v>
      </c>
      <c r="J32">
        <v>1</v>
      </c>
      <c r="K32" s="6">
        <v>24.9</v>
      </c>
      <c r="L32" s="22">
        <v>21.9</v>
      </c>
      <c r="M32" s="22">
        <v>20.100000000000001</v>
      </c>
      <c r="N32" s="40">
        <f t="shared" si="0"/>
        <v>0.87951807228915657</v>
      </c>
      <c r="O32" s="40">
        <f t="shared" si="1"/>
        <v>0.80722891566265076</v>
      </c>
      <c r="P32" s="4">
        <v>2.6</v>
      </c>
      <c r="Q32" s="72">
        <f>VLOOKUP('All inst data'!A32,'all mice (except april 2012)'!$A$2:$G$218,7,FALSE)</f>
        <v>113</v>
      </c>
      <c r="S32" s="22">
        <v>31</v>
      </c>
      <c r="T32" s="22">
        <v>7</v>
      </c>
      <c r="U32" s="22">
        <v>2</v>
      </c>
      <c r="V32">
        <v>130420</v>
      </c>
      <c r="W32" s="22" t="s">
        <v>175</v>
      </c>
      <c r="X32" s="22">
        <v>31.3</v>
      </c>
      <c r="Z32" s="40">
        <f t="shared" si="2"/>
        <v>0</v>
      </c>
      <c r="AA32">
        <v>1.75</v>
      </c>
    </row>
    <row r="33" spans="1:27" x14ac:dyDescent="0.25">
      <c r="A33" s="43">
        <v>8</v>
      </c>
      <c r="B33" s="43">
        <v>8</v>
      </c>
      <c r="C33" s="43">
        <v>1</v>
      </c>
      <c r="D33" s="43">
        <v>3</v>
      </c>
      <c r="E33" s="43">
        <v>130315</v>
      </c>
      <c r="F33" s="43">
        <v>105010</v>
      </c>
      <c r="G33" s="43" t="s">
        <v>4</v>
      </c>
      <c r="H33">
        <v>8</v>
      </c>
      <c r="I33">
        <v>1</v>
      </c>
      <c r="J33">
        <v>1</v>
      </c>
      <c r="K33" s="6">
        <v>25.9</v>
      </c>
      <c r="L33" s="22">
        <v>22.3</v>
      </c>
      <c r="M33" s="22">
        <v>20.7</v>
      </c>
      <c r="N33" s="40">
        <f t="shared" si="0"/>
        <v>0.86100386100386106</v>
      </c>
      <c r="O33" s="40">
        <f t="shared" si="1"/>
        <v>0.7992277992277993</v>
      </c>
      <c r="P33" s="4">
        <v>2.6</v>
      </c>
      <c r="Q33" s="72">
        <f>VLOOKUP('All inst data'!A33,'all mice (except april 2012)'!$A$2:$G$218,7,FALSE)</f>
        <v>113</v>
      </c>
      <c r="S33" s="22">
        <v>32</v>
      </c>
      <c r="T33" s="22">
        <v>8</v>
      </c>
      <c r="U33" s="22">
        <v>2</v>
      </c>
      <c r="V33">
        <v>130420</v>
      </c>
      <c r="W33" s="22" t="s">
        <v>50</v>
      </c>
      <c r="X33" s="22">
        <v>23.2</v>
      </c>
      <c r="Z33" s="40">
        <f t="shared" si="2"/>
        <v>0</v>
      </c>
      <c r="AA33">
        <v>1.95</v>
      </c>
    </row>
    <row r="34" spans="1:27" x14ac:dyDescent="0.25">
      <c r="A34" s="43">
        <v>9</v>
      </c>
      <c r="B34" s="43">
        <v>9</v>
      </c>
      <c r="C34" s="43">
        <v>1</v>
      </c>
      <c r="D34" s="43">
        <v>3</v>
      </c>
      <c r="E34" s="43">
        <v>130315</v>
      </c>
      <c r="F34" s="43">
        <v>105010</v>
      </c>
      <c r="G34" s="43" t="s">
        <v>8</v>
      </c>
      <c r="H34">
        <v>9</v>
      </c>
      <c r="I34">
        <v>15</v>
      </c>
      <c r="J34">
        <v>15</v>
      </c>
      <c r="K34" s="6">
        <v>26.3</v>
      </c>
      <c r="L34" s="22">
        <v>23.4</v>
      </c>
      <c r="M34" s="43">
        <v>21.2</v>
      </c>
      <c r="N34" s="40">
        <f t="shared" si="0"/>
        <v>0.88973384030418246</v>
      </c>
      <c r="O34" s="40">
        <f t="shared" si="1"/>
        <v>0.80608365019011397</v>
      </c>
      <c r="P34" s="4">
        <v>3.6</v>
      </c>
      <c r="Q34" s="72">
        <f>VLOOKUP('All inst data'!A34,'all mice (except april 2012)'!$A$2:$G$218,7,FALSE)</f>
        <v>113</v>
      </c>
      <c r="S34" s="22">
        <v>33</v>
      </c>
      <c r="T34" s="22">
        <v>9</v>
      </c>
      <c r="U34" s="22">
        <v>2</v>
      </c>
      <c r="V34">
        <v>130420</v>
      </c>
      <c r="W34" s="22" t="s">
        <v>50</v>
      </c>
      <c r="X34" s="22">
        <v>24.8</v>
      </c>
      <c r="Z34" s="40">
        <f t="shared" si="2"/>
        <v>0</v>
      </c>
      <c r="AA34">
        <v>1.95</v>
      </c>
    </row>
    <row r="35" spans="1:27" x14ac:dyDescent="0.25">
      <c r="A35" s="43">
        <v>10</v>
      </c>
      <c r="B35" s="43">
        <v>10</v>
      </c>
      <c r="C35" s="43">
        <v>1</v>
      </c>
      <c r="D35" s="43">
        <v>3</v>
      </c>
      <c r="E35" s="43">
        <v>130315</v>
      </c>
      <c r="F35" s="43">
        <v>105010</v>
      </c>
      <c r="G35" s="43" t="s">
        <v>8</v>
      </c>
      <c r="H35">
        <v>10</v>
      </c>
      <c r="I35">
        <v>388</v>
      </c>
      <c r="J35">
        <v>146</v>
      </c>
      <c r="K35" s="6">
        <v>26</v>
      </c>
      <c r="L35" s="22">
        <v>22.3</v>
      </c>
      <c r="M35" s="22">
        <v>21.4</v>
      </c>
      <c r="N35" s="40">
        <f t="shared" si="0"/>
        <v>0.85769230769230775</v>
      </c>
      <c r="O35" s="40">
        <f t="shared" si="1"/>
        <v>0.82307692307692304</v>
      </c>
      <c r="P35" s="4">
        <v>3.6</v>
      </c>
      <c r="Q35" s="72">
        <f>VLOOKUP('All inst data'!A35,'all mice (except april 2012)'!$A$2:$G$218,7,FALSE)</f>
        <v>113</v>
      </c>
      <c r="S35" s="13">
        <v>34</v>
      </c>
      <c r="T35" s="13">
        <v>10</v>
      </c>
      <c r="U35" s="13">
        <v>2</v>
      </c>
      <c r="V35" s="13">
        <v>130420</v>
      </c>
      <c r="W35" s="13" t="s">
        <v>50</v>
      </c>
      <c r="X35" s="13">
        <v>29.5</v>
      </c>
      <c r="Y35" s="13"/>
      <c r="Z35" s="41">
        <f t="shared" si="2"/>
        <v>0</v>
      </c>
      <c r="AA35">
        <v>1.95</v>
      </c>
    </row>
    <row r="36" spans="1:27" x14ac:dyDescent="0.25">
      <c r="A36" s="43">
        <v>11</v>
      </c>
      <c r="B36" s="43">
        <v>11</v>
      </c>
      <c r="C36" s="43">
        <v>1</v>
      </c>
      <c r="D36" s="43">
        <v>3</v>
      </c>
      <c r="E36" s="43">
        <v>130315</v>
      </c>
      <c r="F36" s="43">
        <v>105010</v>
      </c>
      <c r="G36" s="43" t="s">
        <v>5</v>
      </c>
      <c r="H36">
        <v>11</v>
      </c>
      <c r="I36">
        <v>2158</v>
      </c>
      <c r="J36">
        <v>500</v>
      </c>
      <c r="K36" s="6">
        <v>28</v>
      </c>
      <c r="L36" s="22">
        <v>24</v>
      </c>
      <c r="M36" s="22">
        <v>22.3</v>
      </c>
      <c r="N36" s="40">
        <f t="shared" si="0"/>
        <v>0.8571428571428571</v>
      </c>
      <c r="O36" s="40">
        <f t="shared" si="1"/>
        <v>0.79642857142857149</v>
      </c>
      <c r="P36" s="4">
        <v>3.8</v>
      </c>
      <c r="Q36" s="72">
        <f>VLOOKUP('All inst data'!A36,'all mice (except april 2012)'!$A$2:$G$218,7,FALSE)</f>
        <v>99</v>
      </c>
      <c r="S36" s="22">
        <v>35</v>
      </c>
      <c r="T36" s="22">
        <v>11</v>
      </c>
      <c r="U36" s="22">
        <v>2</v>
      </c>
      <c r="V36">
        <v>130420</v>
      </c>
      <c r="W36" s="22" t="s">
        <v>179</v>
      </c>
      <c r="X36" s="22">
        <v>24.9</v>
      </c>
      <c r="Z36" s="40">
        <f t="shared" si="2"/>
        <v>0</v>
      </c>
      <c r="AA36">
        <v>2.2999999999999998</v>
      </c>
    </row>
    <row r="37" spans="1:27" x14ac:dyDescent="0.25">
      <c r="A37" s="43">
        <v>12</v>
      </c>
      <c r="B37" s="43">
        <v>12</v>
      </c>
      <c r="C37" s="43">
        <v>1</v>
      </c>
      <c r="D37" s="43">
        <v>3</v>
      </c>
      <c r="E37" s="43">
        <v>130315</v>
      </c>
      <c r="F37" s="43">
        <v>105010</v>
      </c>
      <c r="G37" s="43" t="s">
        <v>5</v>
      </c>
      <c r="H37">
        <v>12</v>
      </c>
      <c r="I37">
        <v>2165</v>
      </c>
      <c r="J37">
        <v>500</v>
      </c>
      <c r="K37" s="6">
        <v>31.5</v>
      </c>
      <c r="L37" s="22">
        <v>27.3</v>
      </c>
      <c r="M37" s="43">
        <v>25.9</v>
      </c>
      <c r="N37" s="40">
        <f t="shared" si="0"/>
        <v>0.8666666666666667</v>
      </c>
      <c r="O37" s="40">
        <f t="shared" si="1"/>
        <v>0.82222222222222219</v>
      </c>
      <c r="P37" s="4">
        <v>3.8</v>
      </c>
      <c r="Q37" s="72">
        <f>VLOOKUP('All inst data'!A37,'all mice (except april 2012)'!$A$2:$G$218,7,FALSE)</f>
        <v>99</v>
      </c>
      <c r="S37" s="22">
        <v>36</v>
      </c>
      <c r="T37" s="22">
        <v>12</v>
      </c>
      <c r="U37" s="22">
        <v>2</v>
      </c>
      <c r="V37">
        <v>130420</v>
      </c>
      <c r="W37" s="22" t="s">
        <v>165</v>
      </c>
      <c r="X37" s="22">
        <v>19.600000000000001</v>
      </c>
      <c r="Z37" s="40">
        <f t="shared" si="2"/>
        <v>0</v>
      </c>
      <c r="AA37">
        <v>1.8</v>
      </c>
    </row>
    <row r="38" spans="1:27" x14ac:dyDescent="0.25">
      <c r="A38" s="43">
        <v>13</v>
      </c>
      <c r="B38" s="43">
        <v>13</v>
      </c>
      <c r="C38" s="43">
        <v>1</v>
      </c>
      <c r="D38" s="43">
        <v>1</v>
      </c>
      <c r="E38" s="43">
        <v>130319</v>
      </c>
      <c r="F38" s="43">
        <v>94656</v>
      </c>
      <c r="G38" s="43" t="s">
        <v>1</v>
      </c>
      <c r="H38">
        <v>1</v>
      </c>
      <c r="I38">
        <v>4</v>
      </c>
      <c r="J38">
        <v>4</v>
      </c>
      <c r="K38" s="43">
        <v>25</v>
      </c>
      <c r="L38" s="22">
        <v>22.3</v>
      </c>
      <c r="M38" s="43">
        <v>20.399999999999999</v>
      </c>
      <c r="N38" s="40">
        <f t="shared" si="0"/>
        <v>0.89200000000000002</v>
      </c>
      <c r="O38" s="40">
        <f t="shared" si="1"/>
        <v>0.81599999999999995</v>
      </c>
      <c r="P38" s="4">
        <v>3.2</v>
      </c>
      <c r="Q38" s="72">
        <f>VLOOKUP('All inst data'!A38,'all mice (except april 2012)'!$A$2:$G$218,7,FALSE)</f>
        <v>70</v>
      </c>
      <c r="S38" s="22">
        <v>37</v>
      </c>
      <c r="T38" s="22">
        <v>13</v>
      </c>
      <c r="U38" s="22">
        <v>2</v>
      </c>
      <c r="V38">
        <v>130427</v>
      </c>
      <c r="W38" s="22" t="s">
        <v>166</v>
      </c>
      <c r="X38" s="23">
        <v>36</v>
      </c>
      <c r="Z38" s="40">
        <f t="shared" si="2"/>
        <v>0</v>
      </c>
      <c r="AA38">
        <v>2.1</v>
      </c>
    </row>
    <row r="39" spans="1:27" x14ac:dyDescent="0.25">
      <c r="A39" s="43">
        <v>14</v>
      </c>
      <c r="B39" s="43">
        <v>14</v>
      </c>
      <c r="C39" s="43">
        <v>1</v>
      </c>
      <c r="D39" s="43">
        <v>1</v>
      </c>
      <c r="E39" s="43">
        <v>130319</v>
      </c>
      <c r="F39" s="43">
        <v>94656</v>
      </c>
      <c r="G39" s="43" t="s">
        <v>1</v>
      </c>
      <c r="H39">
        <v>2</v>
      </c>
      <c r="I39">
        <v>5</v>
      </c>
      <c r="J39">
        <v>5</v>
      </c>
      <c r="K39" s="43">
        <v>20.6</v>
      </c>
      <c r="L39" s="22">
        <v>19.399999999999999</v>
      </c>
      <c r="M39" s="22">
        <v>17.3</v>
      </c>
      <c r="N39" s="40">
        <f t="shared" si="0"/>
        <v>0.9417475728155339</v>
      </c>
      <c r="O39" s="40">
        <f t="shared" si="1"/>
        <v>0.83980582524271841</v>
      </c>
      <c r="P39" s="4">
        <v>3.2</v>
      </c>
      <c r="Q39" s="72">
        <f>VLOOKUP('All inst data'!A39,'all mice (except april 2012)'!$A$2:$G$218,7,FALSE)</f>
        <v>70</v>
      </c>
      <c r="S39" s="22">
        <v>38</v>
      </c>
      <c r="T39" s="22">
        <v>14</v>
      </c>
      <c r="U39" s="22">
        <v>2</v>
      </c>
      <c r="V39">
        <v>130427</v>
      </c>
      <c r="W39" s="22" t="s">
        <v>166</v>
      </c>
      <c r="X39" s="22">
        <v>37.299999999999997</v>
      </c>
      <c r="Z39" s="40">
        <f t="shared" si="2"/>
        <v>0</v>
      </c>
      <c r="AA39">
        <v>2.1</v>
      </c>
    </row>
    <row r="40" spans="1:27" x14ac:dyDescent="0.25">
      <c r="A40" s="43">
        <v>15</v>
      </c>
      <c r="B40" s="43">
        <v>15</v>
      </c>
      <c r="C40" s="43">
        <v>1</v>
      </c>
      <c r="D40" s="43">
        <v>1</v>
      </c>
      <c r="E40" s="43">
        <v>130319</v>
      </c>
      <c r="F40" s="43">
        <v>94656</v>
      </c>
      <c r="G40" s="43" t="s">
        <v>3</v>
      </c>
      <c r="H40">
        <v>3</v>
      </c>
      <c r="I40">
        <v>2171</v>
      </c>
      <c r="J40">
        <v>500</v>
      </c>
      <c r="K40" s="22">
        <v>27.2</v>
      </c>
      <c r="L40" s="22">
        <v>22.2</v>
      </c>
      <c r="M40" s="22">
        <v>21.4</v>
      </c>
      <c r="N40" s="40">
        <f t="shared" si="0"/>
        <v>0.81617647058823528</v>
      </c>
      <c r="O40" s="40">
        <f t="shared" si="1"/>
        <v>0.78676470588235292</v>
      </c>
      <c r="P40" s="4">
        <v>3.75</v>
      </c>
      <c r="Q40" s="72">
        <f>VLOOKUP('All inst data'!A40,'all mice (except april 2012)'!$A$2:$G$218,7,FALSE)</f>
        <v>91</v>
      </c>
      <c r="S40" s="22">
        <v>39</v>
      </c>
      <c r="T40" s="22">
        <v>15</v>
      </c>
      <c r="U40" s="22">
        <v>2</v>
      </c>
      <c r="V40">
        <v>130427</v>
      </c>
      <c r="W40" s="22" t="s">
        <v>166</v>
      </c>
      <c r="X40" s="22">
        <v>28.9</v>
      </c>
      <c r="Z40" s="40">
        <f t="shared" si="2"/>
        <v>0</v>
      </c>
      <c r="AA40">
        <v>2.1</v>
      </c>
    </row>
    <row r="41" spans="1:27" x14ac:dyDescent="0.25">
      <c r="A41" s="43">
        <v>16</v>
      </c>
      <c r="B41" s="43">
        <v>16</v>
      </c>
      <c r="C41" s="43">
        <v>1</v>
      </c>
      <c r="D41" s="43">
        <v>1</v>
      </c>
      <c r="E41" s="43">
        <v>130319</v>
      </c>
      <c r="F41" s="43">
        <v>94657</v>
      </c>
      <c r="G41" s="43" t="s">
        <v>3</v>
      </c>
      <c r="H41">
        <v>4</v>
      </c>
      <c r="I41">
        <v>359</v>
      </c>
      <c r="J41">
        <v>137</v>
      </c>
      <c r="K41" s="43">
        <v>24.8</v>
      </c>
      <c r="L41" s="22">
        <v>21.6</v>
      </c>
      <c r="M41" s="22">
        <v>20.8</v>
      </c>
      <c r="N41" s="40">
        <f t="shared" si="0"/>
        <v>0.87096774193548387</v>
      </c>
      <c r="O41" s="40">
        <f t="shared" si="1"/>
        <v>0.83870967741935487</v>
      </c>
      <c r="P41" s="4">
        <v>3.75</v>
      </c>
      <c r="Q41" s="72">
        <f>VLOOKUP('All inst data'!A41,'all mice (except april 2012)'!$A$2:$G$218,7,FALSE)</f>
        <v>91</v>
      </c>
      <c r="S41" s="22">
        <v>40</v>
      </c>
      <c r="T41" s="22">
        <v>16</v>
      </c>
      <c r="U41" s="22">
        <v>2</v>
      </c>
      <c r="V41">
        <v>130427</v>
      </c>
      <c r="W41" s="22" t="s">
        <v>177</v>
      </c>
      <c r="X41" s="22">
        <v>31.6</v>
      </c>
      <c r="Z41" s="40">
        <f t="shared" si="2"/>
        <v>0</v>
      </c>
      <c r="AA41">
        <v>2.9</v>
      </c>
    </row>
    <row r="42" spans="1:27" x14ac:dyDescent="0.25">
      <c r="A42" s="43">
        <v>17</v>
      </c>
      <c r="B42" s="43">
        <v>17</v>
      </c>
      <c r="C42" s="43">
        <v>1</v>
      </c>
      <c r="D42" s="43">
        <v>1</v>
      </c>
      <c r="E42" s="43">
        <v>130319</v>
      </c>
      <c r="F42" s="43">
        <v>94657</v>
      </c>
      <c r="G42" s="43" t="s">
        <v>6</v>
      </c>
      <c r="H42">
        <v>5</v>
      </c>
      <c r="I42">
        <v>2294</v>
      </c>
      <c r="J42">
        <v>500</v>
      </c>
      <c r="K42" s="43">
        <v>29</v>
      </c>
      <c r="L42" s="22">
        <v>26.1</v>
      </c>
      <c r="M42" s="22">
        <v>25.1</v>
      </c>
      <c r="N42" s="40">
        <f t="shared" si="0"/>
        <v>0.9</v>
      </c>
      <c r="O42" s="40">
        <f t="shared" si="1"/>
        <v>0.86551724137931041</v>
      </c>
      <c r="P42" s="4">
        <v>3.8</v>
      </c>
      <c r="Q42" s="72">
        <f>VLOOKUP('All inst data'!A42,'all mice (except april 2012)'!$A$2:$G$218,7,FALSE)</f>
        <v>105</v>
      </c>
      <c r="S42" s="22">
        <v>41</v>
      </c>
      <c r="T42" s="22">
        <v>17</v>
      </c>
      <c r="U42" s="22">
        <v>2</v>
      </c>
      <c r="V42">
        <v>130427</v>
      </c>
      <c r="W42" s="22" t="s">
        <v>177</v>
      </c>
      <c r="X42" s="22">
        <v>32.700000000000003</v>
      </c>
      <c r="Z42" s="40">
        <f t="shared" si="2"/>
        <v>0</v>
      </c>
      <c r="AA42">
        <v>2.9</v>
      </c>
    </row>
    <row r="43" spans="1:27" x14ac:dyDescent="0.25">
      <c r="A43" s="43">
        <v>18</v>
      </c>
      <c r="B43" s="43">
        <v>18</v>
      </c>
      <c r="C43" s="43">
        <v>1</v>
      </c>
      <c r="D43" s="43">
        <v>1</v>
      </c>
      <c r="E43" s="43">
        <v>130319</v>
      </c>
      <c r="F43" s="43">
        <v>94657</v>
      </c>
      <c r="G43" s="43" t="s">
        <v>6</v>
      </c>
      <c r="H43">
        <v>6</v>
      </c>
      <c r="I43">
        <v>15</v>
      </c>
      <c r="J43">
        <v>15</v>
      </c>
      <c r="K43" s="43">
        <v>30.2</v>
      </c>
      <c r="L43" s="22">
        <v>25.8</v>
      </c>
      <c r="M43" s="22">
        <v>22.7</v>
      </c>
      <c r="N43" s="40">
        <f t="shared" si="0"/>
        <v>0.85430463576158944</v>
      </c>
      <c r="O43" s="40">
        <f t="shared" si="1"/>
        <v>0.7516556291390728</v>
      </c>
      <c r="P43" s="4">
        <v>3.8</v>
      </c>
      <c r="Q43" s="72">
        <f>VLOOKUP('All inst data'!A43,'all mice (except april 2012)'!$A$2:$G$218,7,FALSE)</f>
        <v>105</v>
      </c>
      <c r="S43" s="22">
        <v>42</v>
      </c>
      <c r="T43" s="22">
        <v>18</v>
      </c>
      <c r="U43" s="22">
        <v>2</v>
      </c>
      <c r="V43">
        <v>130427</v>
      </c>
      <c r="W43" s="22" t="s">
        <v>180</v>
      </c>
      <c r="X43" s="22">
        <v>23.8</v>
      </c>
      <c r="Z43" s="40">
        <f t="shared" si="2"/>
        <v>0</v>
      </c>
      <c r="AA43">
        <v>1.75</v>
      </c>
    </row>
    <row r="44" spans="1:27" x14ac:dyDescent="0.25">
      <c r="A44" s="43">
        <v>19</v>
      </c>
      <c r="B44" s="43">
        <v>19</v>
      </c>
      <c r="C44" s="43">
        <v>1</v>
      </c>
      <c r="D44" s="43">
        <v>1</v>
      </c>
      <c r="E44" s="43">
        <v>130319</v>
      </c>
      <c r="F44" s="43">
        <v>94657</v>
      </c>
      <c r="G44" s="43" t="s">
        <v>7</v>
      </c>
      <c r="H44">
        <v>7</v>
      </c>
      <c r="I44">
        <v>1636</v>
      </c>
      <c r="J44">
        <v>388</v>
      </c>
      <c r="K44" s="43">
        <v>29.4</v>
      </c>
      <c r="L44" s="22">
        <v>26</v>
      </c>
      <c r="M44" s="43">
        <v>24.6</v>
      </c>
      <c r="N44" s="40">
        <f t="shared" si="0"/>
        <v>0.88435374149659873</v>
      </c>
      <c r="O44" s="40">
        <f t="shared" si="1"/>
        <v>0.83673469387755106</v>
      </c>
      <c r="P44" s="4">
        <v>3.65</v>
      </c>
      <c r="Q44" s="72">
        <f>VLOOKUP('All inst data'!A44,'all mice (except april 2012)'!$A$2:$G$218,7,FALSE)</f>
        <v>98</v>
      </c>
      <c r="S44" s="22">
        <v>43</v>
      </c>
      <c r="T44" s="22">
        <v>19</v>
      </c>
      <c r="U44" s="22">
        <v>2</v>
      </c>
      <c r="V44">
        <v>130427</v>
      </c>
      <c r="W44" s="22" t="s">
        <v>180</v>
      </c>
      <c r="X44" s="22">
        <v>24.9</v>
      </c>
      <c r="Z44" s="40">
        <f t="shared" si="2"/>
        <v>0</v>
      </c>
      <c r="AA44">
        <v>1.75</v>
      </c>
    </row>
    <row r="45" spans="1:27" x14ac:dyDescent="0.25">
      <c r="A45" s="43">
        <v>20</v>
      </c>
      <c r="B45" s="43">
        <v>20</v>
      </c>
      <c r="C45" s="43">
        <v>1</v>
      </c>
      <c r="D45" s="43">
        <v>1</v>
      </c>
      <c r="E45" s="43">
        <v>130319</v>
      </c>
      <c r="F45" s="43">
        <v>94657</v>
      </c>
      <c r="G45" s="43" t="s">
        <v>7</v>
      </c>
      <c r="H45">
        <v>8</v>
      </c>
      <c r="I45">
        <v>942</v>
      </c>
      <c r="J45">
        <v>258</v>
      </c>
      <c r="K45" s="43">
        <v>27.8</v>
      </c>
      <c r="L45" s="22">
        <v>25.1</v>
      </c>
      <c r="M45" s="22">
        <v>23.5</v>
      </c>
      <c r="N45" s="40">
        <f t="shared" si="0"/>
        <v>0.90287769784172667</v>
      </c>
      <c r="O45" s="40">
        <f t="shared" si="1"/>
        <v>0.84532374100719421</v>
      </c>
      <c r="P45" s="4">
        <v>3.65</v>
      </c>
      <c r="Q45" s="72">
        <f>VLOOKUP('All inst data'!A45,'all mice (except april 2012)'!$A$2:$G$218,7,FALSE)</f>
        <v>98</v>
      </c>
      <c r="S45" s="22">
        <v>44</v>
      </c>
      <c r="T45" s="22">
        <v>20</v>
      </c>
      <c r="U45" s="22">
        <v>2</v>
      </c>
      <c r="V45">
        <v>130427</v>
      </c>
      <c r="W45" s="22" t="s">
        <v>180</v>
      </c>
      <c r="X45" s="22">
        <v>25.4</v>
      </c>
      <c r="Z45" s="40">
        <f t="shared" si="2"/>
        <v>0</v>
      </c>
      <c r="AA45">
        <v>1.75</v>
      </c>
    </row>
    <row r="46" spans="1:27" x14ac:dyDescent="0.25">
      <c r="A46" s="43">
        <v>21</v>
      </c>
      <c r="B46" s="43">
        <v>21</v>
      </c>
      <c r="C46" s="43">
        <v>1</v>
      </c>
      <c r="D46" s="43">
        <v>1</v>
      </c>
      <c r="E46" s="43">
        <v>130319</v>
      </c>
      <c r="F46" s="43">
        <v>94657</v>
      </c>
      <c r="G46" s="43" t="s">
        <v>9</v>
      </c>
      <c r="H46">
        <v>9</v>
      </c>
      <c r="I46">
        <v>5</v>
      </c>
      <c r="J46">
        <v>5</v>
      </c>
      <c r="K46" s="22">
        <v>29.7</v>
      </c>
      <c r="L46" s="22">
        <v>25.3</v>
      </c>
      <c r="M46" s="43">
        <v>23.8</v>
      </c>
      <c r="N46" s="40">
        <f t="shared" si="0"/>
        <v>0.85185185185185186</v>
      </c>
      <c r="O46" s="40">
        <f t="shared" si="1"/>
        <v>0.80134680134680136</v>
      </c>
      <c r="P46" s="4">
        <v>3.75</v>
      </c>
      <c r="Q46" s="72">
        <f>VLOOKUP('All inst data'!A46,'all mice (except april 2012)'!$A$2:$G$218,7,FALSE)</f>
        <v>105</v>
      </c>
      <c r="S46" s="22">
        <v>45</v>
      </c>
      <c r="T46" s="22">
        <v>21</v>
      </c>
      <c r="U46" s="22">
        <v>2</v>
      </c>
      <c r="V46">
        <v>130427</v>
      </c>
      <c r="W46" s="22" t="s">
        <v>178</v>
      </c>
      <c r="X46" s="22">
        <v>21.6</v>
      </c>
      <c r="Z46" s="40">
        <f t="shared" si="2"/>
        <v>0</v>
      </c>
      <c r="AA46">
        <v>1.75</v>
      </c>
    </row>
    <row r="47" spans="1:27" x14ac:dyDescent="0.25">
      <c r="A47" s="43">
        <v>22</v>
      </c>
      <c r="B47" s="43">
        <v>22</v>
      </c>
      <c r="C47" s="43">
        <v>1</v>
      </c>
      <c r="D47" s="43">
        <v>1</v>
      </c>
      <c r="E47" s="43">
        <v>130319</v>
      </c>
      <c r="F47" s="43">
        <v>94657</v>
      </c>
      <c r="G47" s="43" t="s">
        <v>9</v>
      </c>
      <c r="H47">
        <v>10</v>
      </c>
      <c r="I47">
        <v>4</v>
      </c>
      <c r="J47">
        <v>4</v>
      </c>
      <c r="K47" s="22">
        <v>30.9</v>
      </c>
      <c r="L47" s="22">
        <v>27.1</v>
      </c>
      <c r="M47" s="22">
        <v>24.9</v>
      </c>
      <c r="N47" s="40">
        <f t="shared" si="0"/>
        <v>0.87702265372168298</v>
      </c>
      <c r="O47" s="40">
        <f t="shared" si="1"/>
        <v>0.80582524271844658</v>
      </c>
      <c r="P47" s="4">
        <v>3.75</v>
      </c>
      <c r="Q47" s="72">
        <f>VLOOKUP('All inst data'!A47,'all mice (except april 2012)'!$A$2:$G$218,7,FALSE)</f>
        <v>105</v>
      </c>
      <c r="S47" s="22">
        <v>46</v>
      </c>
      <c r="T47" s="22">
        <v>22</v>
      </c>
      <c r="U47" s="22">
        <v>2</v>
      </c>
      <c r="V47">
        <v>130427</v>
      </c>
      <c r="W47" s="22" t="s">
        <v>178</v>
      </c>
      <c r="X47" s="22">
        <v>21.3</v>
      </c>
      <c r="Z47" s="40">
        <f t="shared" si="2"/>
        <v>0</v>
      </c>
      <c r="AA47">
        <v>1.75</v>
      </c>
    </row>
    <row r="48" spans="1:27" x14ac:dyDescent="0.25">
      <c r="A48" s="43">
        <v>23</v>
      </c>
      <c r="B48" s="43">
        <v>23</v>
      </c>
      <c r="C48" s="43">
        <v>1</v>
      </c>
      <c r="D48" s="43">
        <v>1</v>
      </c>
      <c r="E48" s="43">
        <v>130319</v>
      </c>
      <c r="F48" s="43">
        <v>94658</v>
      </c>
      <c r="G48" s="43" t="s">
        <v>128</v>
      </c>
      <c r="H48">
        <v>11</v>
      </c>
      <c r="I48">
        <v>364</v>
      </c>
      <c r="J48">
        <v>142</v>
      </c>
      <c r="K48" s="43">
        <v>31.9</v>
      </c>
      <c r="L48" s="22">
        <v>28</v>
      </c>
      <c r="M48" s="22">
        <v>26.2</v>
      </c>
      <c r="N48" s="40">
        <f t="shared" si="0"/>
        <v>0.87774294670846398</v>
      </c>
      <c r="O48" s="40">
        <f t="shared" si="1"/>
        <v>0.82131661442006276</v>
      </c>
      <c r="P48" s="4">
        <v>3.7</v>
      </c>
      <c r="Q48" s="72">
        <f>VLOOKUP('All inst data'!A48,'all mice (except april 2012)'!$A$2:$G$218,7,FALSE)</f>
        <v>65</v>
      </c>
      <c r="S48" s="22">
        <v>47</v>
      </c>
      <c r="T48" s="22">
        <v>23</v>
      </c>
      <c r="U48" s="22">
        <v>2</v>
      </c>
      <c r="V48">
        <v>130427</v>
      </c>
      <c r="W48" s="22" t="s">
        <v>178</v>
      </c>
      <c r="X48" s="22">
        <v>22.9</v>
      </c>
      <c r="Z48" s="40">
        <f t="shared" si="2"/>
        <v>0</v>
      </c>
      <c r="AA48">
        <v>1.75</v>
      </c>
    </row>
    <row r="49" spans="1:27" x14ac:dyDescent="0.25">
      <c r="A49" s="43">
        <v>24</v>
      </c>
      <c r="B49" s="43">
        <v>24</v>
      </c>
      <c r="C49" s="43">
        <v>1</v>
      </c>
      <c r="D49" s="43">
        <v>1</v>
      </c>
      <c r="E49" s="43">
        <v>130319</v>
      </c>
      <c r="F49" s="43">
        <v>94658</v>
      </c>
      <c r="G49" s="43" t="s">
        <v>128</v>
      </c>
      <c r="H49">
        <v>12</v>
      </c>
      <c r="I49">
        <v>1383</v>
      </c>
      <c r="J49">
        <v>341</v>
      </c>
      <c r="K49" s="43">
        <v>31.6</v>
      </c>
      <c r="L49" s="22">
        <v>28.5</v>
      </c>
      <c r="M49" s="22">
        <v>27.2</v>
      </c>
      <c r="N49" s="40">
        <f t="shared" si="0"/>
        <v>0.90189873417721511</v>
      </c>
      <c r="O49" s="40">
        <f t="shared" si="1"/>
        <v>0.860759493670886</v>
      </c>
      <c r="P49" s="4">
        <v>3.7</v>
      </c>
      <c r="Q49" s="72">
        <f>VLOOKUP('All inst data'!A49,'all mice (except april 2012)'!$A$2:$G$218,7,FALSE)</f>
        <v>65</v>
      </c>
      <c r="S49" s="22">
        <v>48</v>
      </c>
      <c r="T49" s="22">
        <v>24</v>
      </c>
      <c r="U49" s="22">
        <v>2</v>
      </c>
      <c r="V49">
        <v>130427</v>
      </c>
      <c r="W49" s="22" t="s">
        <v>181</v>
      </c>
      <c r="X49" s="22">
        <v>32.1</v>
      </c>
      <c r="Z49" s="40">
        <f t="shared" si="2"/>
        <v>0</v>
      </c>
      <c r="AA49">
        <v>2.6</v>
      </c>
    </row>
    <row r="50" spans="1:27" x14ac:dyDescent="0.25">
      <c r="A50" s="43">
        <v>13</v>
      </c>
      <c r="B50" s="43">
        <v>13</v>
      </c>
      <c r="C50" s="43">
        <v>1</v>
      </c>
      <c r="D50" s="43">
        <v>2</v>
      </c>
      <c r="E50" s="43">
        <v>130320</v>
      </c>
      <c r="F50" s="43">
        <v>113635</v>
      </c>
      <c r="G50" s="43" t="s">
        <v>1</v>
      </c>
      <c r="H50">
        <v>1</v>
      </c>
      <c r="I50">
        <v>5</v>
      </c>
      <c r="J50">
        <v>5</v>
      </c>
      <c r="K50" s="43">
        <v>25</v>
      </c>
      <c r="L50" s="22">
        <v>22.2</v>
      </c>
      <c r="M50" s="22">
        <v>20.2</v>
      </c>
      <c r="N50" s="40">
        <f t="shared" si="0"/>
        <v>0.88800000000000001</v>
      </c>
      <c r="O50" s="40">
        <f t="shared" si="1"/>
        <v>0.80799999999999994</v>
      </c>
      <c r="P50" s="4">
        <v>3.3</v>
      </c>
      <c r="Q50" s="72">
        <f>VLOOKUP('All inst data'!A50,'all mice (except april 2012)'!$A$2:$G$218,7,FALSE)</f>
        <v>70</v>
      </c>
      <c r="S50" s="22">
        <v>49</v>
      </c>
      <c r="T50" s="22">
        <v>25</v>
      </c>
      <c r="U50" s="22">
        <v>2</v>
      </c>
      <c r="V50">
        <v>130430</v>
      </c>
      <c r="W50" s="22" t="s">
        <v>182</v>
      </c>
      <c r="X50" s="22">
        <v>20.5</v>
      </c>
      <c r="Z50" s="40">
        <f t="shared" si="2"/>
        <v>0</v>
      </c>
      <c r="AA50">
        <v>1.8</v>
      </c>
    </row>
    <row r="51" spans="1:27" x14ac:dyDescent="0.25">
      <c r="A51" s="43">
        <v>14</v>
      </c>
      <c r="B51" s="43">
        <v>14</v>
      </c>
      <c r="C51" s="43">
        <v>1</v>
      </c>
      <c r="D51" s="43">
        <v>2</v>
      </c>
      <c r="E51" s="43">
        <v>130320</v>
      </c>
      <c r="F51" s="43">
        <v>113635</v>
      </c>
      <c r="G51" s="43" t="s">
        <v>1</v>
      </c>
      <c r="H51">
        <v>2</v>
      </c>
      <c r="I51">
        <v>363</v>
      </c>
      <c r="J51">
        <v>142</v>
      </c>
      <c r="K51" s="43">
        <v>20.6</v>
      </c>
      <c r="L51" s="22">
        <v>19.100000000000001</v>
      </c>
      <c r="M51" s="22">
        <v>17.399999999999999</v>
      </c>
      <c r="N51" s="40">
        <f t="shared" si="0"/>
        <v>0.92718446601941751</v>
      </c>
      <c r="O51" s="40">
        <f t="shared" si="1"/>
        <v>0.84466019417475713</v>
      </c>
      <c r="P51" s="4">
        <v>3.3</v>
      </c>
      <c r="Q51" s="72">
        <f>VLOOKUP('All inst data'!A51,'all mice (except april 2012)'!$A$2:$G$218,7,FALSE)</f>
        <v>70</v>
      </c>
      <c r="S51" s="22">
        <v>50</v>
      </c>
      <c r="T51" s="22">
        <v>26</v>
      </c>
      <c r="U51" s="22">
        <v>2</v>
      </c>
      <c r="V51">
        <v>130430</v>
      </c>
      <c r="W51" s="22" t="s">
        <v>182</v>
      </c>
      <c r="X51" s="22">
        <v>23.5</v>
      </c>
      <c r="Z51" s="40">
        <f t="shared" si="2"/>
        <v>0</v>
      </c>
      <c r="AA51">
        <v>1.8</v>
      </c>
    </row>
    <row r="52" spans="1:27" x14ac:dyDescent="0.25">
      <c r="A52" s="43">
        <v>15</v>
      </c>
      <c r="B52" s="43">
        <v>15</v>
      </c>
      <c r="C52" s="43">
        <v>1</v>
      </c>
      <c r="D52" s="43">
        <v>2</v>
      </c>
      <c r="E52" s="43">
        <v>130320</v>
      </c>
      <c r="F52" s="43">
        <v>113636</v>
      </c>
      <c r="G52" s="43" t="s">
        <v>3</v>
      </c>
      <c r="H52">
        <v>3</v>
      </c>
      <c r="I52">
        <v>2167</v>
      </c>
      <c r="J52">
        <v>500</v>
      </c>
      <c r="K52" s="43">
        <v>27.2</v>
      </c>
      <c r="L52" s="22">
        <v>23</v>
      </c>
      <c r="M52" s="22">
        <v>21.3</v>
      </c>
      <c r="N52" s="40">
        <f t="shared" si="0"/>
        <v>0.84558823529411764</v>
      </c>
      <c r="O52" s="40">
        <f t="shared" si="1"/>
        <v>0.78308823529411764</v>
      </c>
      <c r="P52" s="4">
        <v>3.8</v>
      </c>
      <c r="Q52" s="72">
        <f>VLOOKUP('All inst data'!A52,'all mice (except april 2012)'!$A$2:$G$218,7,FALSE)</f>
        <v>91</v>
      </c>
      <c r="S52" s="22">
        <v>51</v>
      </c>
      <c r="T52" s="22">
        <v>27</v>
      </c>
      <c r="U52" s="22">
        <v>2</v>
      </c>
      <c r="V52">
        <v>130430</v>
      </c>
      <c r="W52" s="22" t="s">
        <v>182</v>
      </c>
      <c r="X52" s="22">
        <v>25.2</v>
      </c>
      <c r="Z52" s="40">
        <f t="shared" si="2"/>
        <v>0</v>
      </c>
      <c r="AA52">
        <v>1.8</v>
      </c>
    </row>
    <row r="53" spans="1:27" x14ac:dyDescent="0.25">
      <c r="A53" s="43">
        <v>16</v>
      </c>
      <c r="B53" s="43">
        <v>16</v>
      </c>
      <c r="C53" s="43">
        <v>1</v>
      </c>
      <c r="D53" s="43">
        <v>2</v>
      </c>
      <c r="E53" s="43">
        <v>130320</v>
      </c>
      <c r="F53" s="43">
        <v>113636</v>
      </c>
      <c r="G53" s="43" t="s">
        <v>3</v>
      </c>
      <c r="H53">
        <v>4</v>
      </c>
      <c r="I53">
        <v>2173</v>
      </c>
      <c r="J53">
        <v>500</v>
      </c>
      <c r="K53" s="43">
        <v>24.8</v>
      </c>
      <c r="L53" s="22">
        <v>22.4</v>
      </c>
      <c r="M53" s="22">
        <v>20.6</v>
      </c>
      <c r="N53" s="40">
        <f t="shared" si="0"/>
        <v>0.90322580645161277</v>
      </c>
      <c r="O53" s="40">
        <f t="shared" si="1"/>
        <v>0.83064516129032262</v>
      </c>
      <c r="P53" s="37">
        <v>3.8</v>
      </c>
      <c r="Q53" s="72">
        <f>VLOOKUP('All inst data'!A53,'all mice (except april 2012)'!$A$2:$G$218,7,FALSE)</f>
        <v>91</v>
      </c>
      <c r="S53" s="22">
        <v>52</v>
      </c>
      <c r="T53" s="22">
        <v>28</v>
      </c>
      <c r="U53" s="22">
        <v>2</v>
      </c>
      <c r="V53">
        <v>130430</v>
      </c>
      <c r="W53" s="18" t="s">
        <v>183</v>
      </c>
      <c r="X53" s="22">
        <v>28.3</v>
      </c>
      <c r="Z53" s="40">
        <f t="shared" si="2"/>
        <v>0</v>
      </c>
      <c r="AA53">
        <v>1.75</v>
      </c>
    </row>
    <row r="54" spans="1:27" x14ac:dyDescent="0.25">
      <c r="A54" s="43">
        <v>17</v>
      </c>
      <c r="B54" s="43">
        <v>17</v>
      </c>
      <c r="C54" s="43">
        <v>1</v>
      </c>
      <c r="D54" s="43">
        <v>2</v>
      </c>
      <c r="E54" s="43">
        <v>130320</v>
      </c>
      <c r="F54" s="43">
        <v>113636</v>
      </c>
      <c r="G54" s="43" t="s">
        <v>6</v>
      </c>
      <c r="H54">
        <v>5</v>
      </c>
      <c r="I54">
        <v>2435</v>
      </c>
      <c r="J54">
        <v>500</v>
      </c>
      <c r="K54" s="43">
        <v>29</v>
      </c>
      <c r="L54" s="22">
        <v>26.8</v>
      </c>
      <c r="M54" s="22">
        <v>25</v>
      </c>
      <c r="N54" s="40">
        <f t="shared" si="0"/>
        <v>0.92413793103448283</v>
      </c>
      <c r="O54" s="40">
        <f t="shared" si="1"/>
        <v>0.86206896551724133</v>
      </c>
      <c r="P54" s="37">
        <v>3.7</v>
      </c>
      <c r="Q54" s="72">
        <f>VLOOKUP('All inst data'!A54,'all mice (except april 2012)'!$A$2:$G$218,7,FALSE)</f>
        <v>105</v>
      </c>
      <c r="S54" s="22">
        <v>53</v>
      </c>
      <c r="T54" s="22">
        <v>29</v>
      </c>
      <c r="U54" s="22">
        <v>2</v>
      </c>
      <c r="V54">
        <v>130430</v>
      </c>
      <c r="W54" s="18" t="s">
        <v>183</v>
      </c>
      <c r="X54" s="22">
        <v>29.6</v>
      </c>
      <c r="Z54" s="40">
        <f t="shared" si="2"/>
        <v>0</v>
      </c>
      <c r="AA54">
        <v>1.75</v>
      </c>
    </row>
    <row r="55" spans="1:27" x14ac:dyDescent="0.25">
      <c r="A55" s="43">
        <v>18</v>
      </c>
      <c r="B55" s="43">
        <v>18</v>
      </c>
      <c r="C55" s="43">
        <v>1</v>
      </c>
      <c r="D55" s="43">
        <v>2</v>
      </c>
      <c r="E55" s="43">
        <v>130320</v>
      </c>
      <c r="F55" s="43">
        <v>113636</v>
      </c>
      <c r="G55" s="43" t="s">
        <v>6</v>
      </c>
      <c r="H55">
        <v>6</v>
      </c>
      <c r="I55">
        <v>2174</v>
      </c>
      <c r="J55">
        <v>500</v>
      </c>
      <c r="K55" s="22">
        <v>30.2</v>
      </c>
      <c r="L55" s="22">
        <v>26.9</v>
      </c>
      <c r="M55" s="43">
        <v>23.9</v>
      </c>
      <c r="N55" s="40">
        <f t="shared" si="0"/>
        <v>0.89072847682119205</v>
      </c>
      <c r="O55" s="40">
        <f t="shared" si="1"/>
        <v>0.79139072847682113</v>
      </c>
      <c r="P55" s="37">
        <v>3.7</v>
      </c>
      <c r="Q55" s="72">
        <f>VLOOKUP('All inst data'!A55,'all mice (except april 2012)'!$A$2:$G$218,7,FALSE)</f>
        <v>105</v>
      </c>
      <c r="S55" s="22">
        <v>54</v>
      </c>
      <c r="T55" s="22">
        <v>30</v>
      </c>
      <c r="U55" s="22">
        <v>2</v>
      </c>
      <c r="V55">
        <v>130430</v>
      </c>
      <c r="W55" s="43" t="s">
        <v>181</v>
      </c>
      <c r="X55" s="22">
        <v>29.4</v>
      </c>
      <c r="Z55" s="40">
        <f t="shared" si="2"/>
        <v>0</v>
      </c>
      <c r="AA55">
        <v>2</v>
      </c>
    </row>
    <row r="56" spans="1:27" x14ac:dyDescent="0.25">
      <c r="A56" s="43">
        <v>19</v>
      </c>
      <c r="B56" s="43">
        <v>19</v>
      </c>
      <c r="C56" s="43">
        <v>1</v>
      </c>
      <c r="D56" s="43">
        <v>2</v>
      </c>
      <c r="E56" s="43">
        <v>130320</v>
      </c>
      <c r="F56" s="43">
        <v>113636</v>
      </c>
      <c r="G56" s="43" t="s">
        <v>7</v>
      </c>
      <c r="H56">
        <v>7</v>
      </c>
      <c r="I56">
        <v>2256</v>
      </c>
      <c r="J56">
        <v>500</v>
      </c>
      <c r="K56" s="43">
        <v>29.4</v>
      </c>
      <c r="L56" s="22">
        <v>26.2</v>
      </c>
      <c r="M56" s="22">
        <v>24.4</v>
      </c>
      <c r="N56" s="40">
        <f t="shared" si="0"/>
        <v>0.891156462585034</v>
      </c>
      <c r="O56" s="40">
        <f t="shared" si="1"/>
        <v>0.82993197278911568</v>
      </c>
      <c r="P56" s="37">
        <v>3.4</v>
      </c>
      <c r="Q56" s="72">
        <f>VLOOKUP('All inst data'!A56,'all mice (except april 2012)'!$A$2:$G$218,7,FALSE)</f>
        <v>98</v>
      </c>
      <c r="S56" s="22">
        <v>55</v>
      </c>
      <c r="T56" s="22">
        <v>31</v>
      </c>
      <c r="U56" s="22">
        <v>2</v>
      </c>
      <c r="V56">
        <v>130430</v>
      </c>
      <c r="W56" s="43" t="s">
        <v>184</v>
      </c>
      <c r="X56" s="22">
        <v>29.4</v>
      </c>
      <c r="Z56" s="40">
        <f t="shared" si="2"/>
        <v>0</v>
      </c>
      <c r="AA56">
        <v>2.1</v>
      </c>
    </row>
    <row r="57" spans="1:27" x14ac:dyDescent="0.25">
      <c r="A57" s="43">
        <v>20</v>
      </c>
      <c r="B57" s="43">
        <v>20</v>
      </c>
      <c r="C57" s="43">
        <v>1</v>
      </c>
      <c r="D57" s="43">
        <v>2</v>
      </c>
      <c r="E57" s="43">
        <v>130320</v>
      </c>
      <c r="F57" s="43">
        <v>113636</v>
      </c>
      <c r="G57" s="43" t="s">
        <v>7</v>
      </c>
      <c r="H57">
        <v>8</v>
      </c>
      <c r="I57">
        <v>2098</v>
      </c>
      <c r="J57">
        <v>486</v>
      </c>
      <c r="K57" s="43">
        <v>27.8</v>
      </c>
      <c r="L57" s="22">
        <v>25.1</v>
      </c>
      <c r="M57" s="22">
        <v>24.1</v>
      </c>
      <c r="N57" s="40">
        <f t="shared" si="0"/>
        <v>0.90287769784172667</v>
      </c>
      <c r="O57" s="40">
        <f t="shared" si="1"/>
        <v>0.86690647482014394</v>
      </c>
      <c r="P57" s="37">
        <v>3.4</v>
      </c>
      <c r="Q57" s="72">
        <f>VLOOKUP('All inst data'!A57,'all mice (except april 2012)'!$A$2:$G$218,7,FALSE)</f>
        <v>98</v>
      </c>
      <c r="S57" s="22">
        <v>56</v>
      </c>
      <c r="T57" s="22">
        <v>32</v>
      </c>
      <c r="U57" s="22">
        <v>2</v>
      </c>
      <c r="V57">
        <v>130430</v>
      </c>
      <c r="W57" s="43" t="s">
        <v>184</v>
      </c>
      <c r="X57" s="22">
        <v>31</v>
      </c>
      <c r="Z57" s="40">
        <f t="shared" si="2"/>
        <v>0</v>
      </c>
      <c r="AA57">
        <v>2.1</v>
      </c>
    </row>
    <row r="58" spans="1:27" x14ac:dyDescent="0.25">
      <c r="A58" s="43">
        <v>21</v>
      </c>
      <c r="B58" s="43">
        <v>21</v>
      </c>
      <c r="C58" s="43">
        <v>1</v>
      </c>
      <c r="D58" s="43">
        <v>2</v>
      </c>
      <c r="E58" s="43">
        <v>130320</v>
      </c>
      <c r="F58" s="43">
        <v>113636</v>
      </c>
      <c r="G58" s="43" t="s">
        <v>9</v>
      </c>
      <c r="H58">
        <v>9</v>
      </c>
      <c r="I58">
        <v>186</v>
      </c>
      <c r="J58">
        <v>107</v>
      </c>
      <c r="K58" s="43">
        <v>29.7</v>
      </c>
      <c r="L58" s="22">
        <v>25.5</v>
      </c>
      <c r="M58" s="22">
        <v>24.2</v>
      </c>
      <c r="N58" s="40">
        <f t="shared" si="0"/>
        <v>0.85858585858585856</v>
      </c>
      <c r="O58" s="40">
        <f t="shared" si="1"/>
        <v>0.81481481481481477</v>
      </c>
      <c r="P58" s="37">
        <v>3.8</v>
      </c>
      <c r="Q58" s="72">
        <f>VLOOKUP('All inst data'!A58,'all mice (except april 2012)'!$A$2:$G$218,7,FALSE)</f>
        <v>105</v>
      </c>
      <c r="S58" s="22">
        <v>57</v>
      </c>
      <c r="T58" s="22">
        <v>33</v>
      </c>
      <c r="U58" s="22">
        <v>2</v>
      </c>
      <c r="V58">
        <v>130430</v>
      </c>
      <c r="W58" s="43" t="s">
        <v>166</v>
      </c>
      <c r="X58" s="22">
        <v>30</v>
      </c>
      <c r="Z58" s="40">
        <f t="shared" si="2"/>
        <v>0</v>
      </c>
      <c r="AA58">
        <v>1.95</v>
      </c>
    </row>
    <row r="59" spans="1:27" x14ac:dyDescent="0.25">
      <c r="A59" s="43">
        <v>22</v>
      </c>
      <c r="B59" s="43">
        <v>22</v>
      </c>
      <c r="C59" s="43">
        <v>1</v>
      </c>
      <c r="D59" s="43">
        <v>2</v>
      </c>
      <c r="E59" s="43">
        <v>130320</v>
      </c>
      <c r="F59" s="43">
        <v>113636</v>
      </c>
      <c r="G59" s="43" t="s">
        <v>9</v>
      </c>
      <c r="H59">
        <v>10</v>
      </c>
      <c r="I59">
        <v>3</v>
      </c>
      <c r="J59">
        <v>3</v>
      </c>
      <c r="K59" s="43">
        <v>30.9</v>
      </c>
      <c r="L59" s="22">
        <v>27</v>
      </c>
      <c r="M59" s="22">
        <v>24.4</v>
      </c>
      <c r="N59" s="40">
        <f t="shared" si="0"/>
        <v>0.87378640776699035</v>
      </c>
      <c r="O59" s="40">
        <f t="shared" si="1"/>
        <v>0.78964401294498376</v>
      </c>
      <c r="P59" s="37">
        <v>3.8</v>
      </c>
      <c r="Q59" s="72">
        <f>VLOOKUP('All inst data'!A59,'all mice (except april 2012)'!$A$2:$G$218,7,FALSE)</f>
        <v>105</v>
      </c>
      <c r="S59" s="22">
        <v>58</v>
      </c>
      <c r="T59" s="22">
        <v>34</v>
      </c>
      <c r="U59" s="22">
        <v>2</v>
      </c>
      <c r="V59">
        <v>130430</v>
      </c>
      <c r="W59" s="43" t="s">
        <v>166</v>
      </c>
      <c r="X59" s="22">
        <v>35.200000000000003</v>
      </c>
      <c r="Z59" s="40">
        <f t="shared" si="2"/>
        <v>0</v>
      </c>
      <c r="AA59">
        <v>1.95</v>
      </c>
    </row>
    <row r="60" spans="1:27" x14ac:dyDescent="0.25">
      <c r="A60" s="43">
        <v>23</v>
      </c>
      <c r="B60" s="43">
        <v>23</v>
      </c>
      <c r="C60" s="43">
        <v>1</v>
      </c>
      <c r="D60" s="43">
        <v>2</v>
      </c>
      <c r="E60" s="43">
        <v>130320</v>
      </c>
      <c r="F60" s="43">
        <v>113637</v>
      </c>
      <c r="G60" s="43" t="s">
        <v>128</v>
      </c>
      <c r="H60">
        <v>11</v>
      </c>
      <c r="I60">
        <v>738</v>
      </c>
      <c r="J60">
        <v>216</v>
      </c>
      <c r="K60" s="43">
        <v>31.9</v>
      </c>
      <c r="L60" s="22">
        <v>28.2</v>
      </c>
      <c r="M60" s="43">
        <v>26.3</v>
      </c>
      <c r="N60" s="40">
        <f t="shared" si="0"/>
        <v>0.88401253918495304</v>
      </c>
      <c r="O60" s="40">
        <f t="shared" si="1"/>
        <v>0.82445141065830729</v>
      </c>
      <c r="P60" s="37">
        <v>3.5</v>
      </c>
      <c r="Q60" s="72">
        <f>VLOOKUP('All inst data'!A60,'all mice (except april 2012)'!$A$2:$G$218,7,FALSE)</f>
        <v>65</v>
      </c>
      <c r="S60" s="22">
        <v>59</v>
      </c>
      <c r="T60" s="22">
        <v>35</v>
      </c>
      <c r="U60" s="22">
        <v>2</v>
      </c>
      <c r="V60">
        <v>130430</v>
      </c>
      <c r="W60" s="43" t="s">
        <v>177</v>
      </c>
      <c r="X60" s="22">
        <v>33.4</v>
      </c>
      <c r="Z60" s="40">
        <f t="shared" si="2"/>
        <v>0</v>
      </c>
      <c r="AA60">
        <v>2.15</v>
      </c>
    </row>
    <row r="61" spans="1:27" x14ac:dyDescent="0.25">
      <c r="A61" s="43">
        <v>24</v>
      </c>
      <c r="B61" s="43">
        <v>24</v>
      </c>
      <c r="C61" s="43">
        <v>1</v>
      </c>
      <c r="D61" s="43">
        <v>2</v>
      </c>
      <c r="E61" s="43">
        <v>130320</v>
      </c>
      <c r="F61" s="43">
        <v>113637</v>
      </c>
      <c r="G61" s="43" t="s">
        <v>128</v>
      </c>
      <c r="H61">
        <v>12</v>
      </c>
      <c r="I61">
        <v>1013</v>
      </c>
      <c r="J61">
        <v>270</v>
      </c>
      <c r="K61" s="43">
        <v>31.6</v>
      </c>
      <c r="L61" s="22">
        <v>28.7</v>
      </c>
      <c r="M61" s="22">
        <v>26.8</v>
      </c>
      <c r="N61" s="40">
        <f t="shared" si="0"/>
        <v>0.90822784810126578</v>
      </c>
      <c r="O61" s="40">
        <f t="shared" si="1"/>
        <v>0.84810126582278478</v>
      </c>
      <c r="P61" s="37">
        <v>3.5</v>
      </c>
      <c r="Q61" s="72">
        <f>VLOOKUP('All inst data'!A61,'all mice (except april 2012)'!$A$2:$G$218,7,FALSE)</f>
        <v>65</v>
      </c>
      <c r="S61" s="22">
        <v>60</v>
      </c>
      <c r="T61" s="22">
        <v>36</v>
      </c>
      <c r="U61" s="22">
        <v>2</v>
      </c>
      <c r="V61">
        <v>130430</v>
      </c>
      <c r="W61" s="43" t="s">
        <v>177</v>
      </c>
      <c r="X61" s="22">
        <v>31</v>
      </c>
      <c r="Z61" s="40">
        <f t="shared" si="2"/>
        <v>0</v>
      </c>
      <c r="AA61">
        <v>2.15</v>
      </c>
    </row>
    <row r="62" spans="1:27" x14ac:dyDescent="0.25">
      <c r="A62" s="43">
        <v>13</v>
      </c>
      <c r="B62" s="43">
        <v>13</v>
      </c>
      <c r="C62" s="43">
        <v>1</v>
      </c>
      <c r="D62" s="43">
        <v>3</v>
      </c>
      <c r="E62" s="43">
        <v>130321</v>
      </c>
      <c r="F62" s="43">
        <v>112000</v>
      </c>
      <c r="G62" s="43" t="s">
        <v>1</v>
      </c>
      <c r="H62">
        <v>1</v>
      </c>
      <c r="I62">
        <v>2</v>
      </c>
      <c r="J62">
        <v>2</v>
      </c>
      <c r="K62" s="43">
        <v>25</v>
      </c>
      <c r="L62" s="22">
        <v>22.2</v>
      </c>
      <c r="M62" s="22">
        <v>20.399999999999999</v>
      </c>
      <c r="N62" s="40">
        <f t="shared" si="0"/>
        <v>0.88800000000000001</v>
      </c>
      <c r="O62" s="40">
        <f t="shared" si="1"/>
        <v>0.81599999999999995</v>
      </c>
      <c r="P62" s="37">
        <v>3.3</v>
      </c>
      <c r="Q62" s="72">
        <f>VLOOKUP('All inst data'!A62,'all mice (except april 2012)'!$A$2:$G$218,7,FALSE)</f>
        <v>70</v>
      </c>
      <c r="S62" s="22">
        <v>61</v>
      </c>
      <c r="T62" s="22">
        <v>37</v>
      </c>
      <c r="U62" s="22">
        <v>2</v>
      </c>
      <c r="V62">
        <v>130503</v>
      </c>
      <c r="W62" s="22" t="s">
        <v>167</v>
      </c>
      <c r="X62" s="23">
        <v>23.4</v>
      </c>
      <c r="Z62" s="40">
        <f t="shared" si="2"/>
        <v>0</v>
      </c>
      <c r="AA62">
        <v>1.65</v>
      </c>
    </row>
    <row r="63" spans="1:27" x14ac:dyDescent="0.25">
      <c r="A63" s="43">
        <v>14</v>
      </c>
      <c r="B63" s="43">
        <v>14</v>
      </c>
      <c r="C63" s="43">
        <v>1</v>
      </c>
      <c r="D63" s="43">
        <v>3</v>
      </c>
      <c r="E63" s="43">
        <v>130321</v>
      </c>
      <c r="F63" s="43">
        <v>112000</v>
      </c>
      <c r="G63" s="43" t="s">
        <v>1</v>
      </c>
      <c r="H63">
        <v>2</v>
      </c>
      <c r="I63">
        <v>2138</v>
      </c>
      <c r="J63">
        <v>484</v>
      </c>
      <c r="K63" s="43">
        <v>20.6</v>
      </c>
      <c r="L63" s="22">
        <v>19.100000000000001</v>
      </c>
      <c r="M63" s="22">
        <v>18.5</v>
      </c>
      <c r="N63" s="40">
        <f t="shared" si="0"/>
        <v>0.92718446601941751</v>
      </c>
      <c r="O63" s="40">
        <f t="shared" si="1"/>
        <v>0.8980582524271844</v>
      </c>
      <c r="P63" s="37">
        <v>3.3</v>
      </c>
      <c r="Q63" s="72">
        <f>VLOOKUP('All inst data'!A63,'all mice (except april 2012)'!$A$2:$G$218,7,FALSE)</f>
        <v>70</v>
      </c>
      <c r="S63" s="22">
        <v>62</v>
      </c>
      <c r="T63" s="22">
        <v>38</v>
      </c>
      <c r="U63" s="22">
        <v>2</v>
      </c>
      <c r="V63">
        <v>130503</v>
      </c>
      <c r="W63" s="22" t="s">
        <v>167</v>
      </c>
      <c r="X63" s="23">
        <v>21.3</v>
      </c>
      <c r="Z63" s="40">
        <f t="shared" si="2"/>
        <v>0</v>
      </c>
      <c r="AA63">
        <v>1.65</v>
      </c>
    </row>
    <row r="64" spans="1:27" x14ac:dyDescent="0.25">
      <c r="A64" s="43">
        <v>15</v>
      </c>
      <c r="B64" s="43">
        <v>15</v>
      </c>
      <c r="C64" s="43">
        <v>1</v>
      </c>
      <c r="D64" s="43">
        <v>3</v>
      </c>
      <c r="E64" s="43">
        <v>130321</v>
      </c>
      <c r="F64" s="43">
        <v>112000</v>
      </c>
      <c r="G64" s="43" t="s">
        <v>3</v>
      </c>
      <c r="H64">
        <v>3</v>
      </c>
      <c r="I64">
        <v>2164</v>
      </c>
      <c r="J64">
        <v>500</v>
      </c>
      <c r="K64" s="43">
        <v>27.2</v>
      </c>
      <c r="L64" s="22">
        <v>23.4</v>
      </c>
      <c r="M64" s="43">
        <v>22</v>
      </c>
      <c r="N64" s="40">
        <f t="shared" si="0"/>
        <v>0.86029411764705876</v>
      </c>
      <c r="O64" s="40">
        <f t="shared" si="1"/>
        <v>0.80882352941176472</v>
      </c>
      <c r="P64" s="37">
        <v>3.65</v>
      </c>
      <c r="Q64" s="72">
        <f>VLOOKUP('All inst data'!A64,'all mice (except april 2012)'!$A$2:$G$218,7,FALSE)</f>
        <v>91</v>
      </c>
      <c r="S64" s="22">
        <v>63</v>
      </c>
      <c r="T64" s="22">
        <v>39</v>
      </c>
      <c r="U64" s="22">
        <v>2</v>
      </c>
      <c r="V64">
        <v>130503</v>
      </c>
      <c r="W64" s="22" t="s">
        <v>167</v>
      </c>
      <c r="X64" s="23">
        <v>22.3</v>
      </c>
      <c r="Z64" s="40">
        <f t="shared" si="2"/>
        <v>0</v>
      </c>
      <c r="AA64">
        <v>1.65</v>
      </c>
    </row>
    <row r="65" spans="1:27" x14ac:dyDescent="0.25">
      <c r="A65" s="43">
        <v>16</v>
      </c>
      <c r="B65" s="43">
        <v>16</v>
      </c>
      <c r="C65" s="43">
        <v>1</v>
      </c>
      <c r="D65" s="43">
        <v>3</v>
      </c>
      <c r="E65" s="43">
        <v>130321</v>
      </c>
      <c r="F65" s="43">
        <v>112000</v>
      </c>
      <c r="G65" s="43" t="s">
        <v>3</v>
      </c>
      <c r="H65">
        <v>4</v>
      </c>
      <c r="I65">
        <v>2158</v>
      </c>
      <c r="J65">
        <v>500</v>
      </c>
      <c r="K65" s="43">
        <v>24.8</v>
      </c>
      <c r="L65" s="22">
        <v>23.4</v>
      </c>
      <c r="M65" s="22">
        <v>22</v>
      </c>
      <c r="N65" s="40">
        <f t="shared" si="0"/>
        <v>0.94354838709677413</v>
      </c>
      <c r="O65" s="40">
        <f t="shared" si="1"/>
        <v>0.88709677419354838</v>
      </c>
      <c r="P65" s="37">
        <v>3.65</v>
      </c>
      <c r="Q65" s="72">
        <f>VLOOKUP('All inst data'!A65,'all mice (except april 2012)'!$A$2:$G$218,7,FALSE)</f>
        <v>91</v>
      </c>
      <c r="S65" s="22">
        <v>64</v>
      </c>
      <c r="T65" s="22">
        <v>40</v>
      </c>
      <c r="U65" s="22">
        <v>2</v>
      </c>
      <c r="V65">
        <v>130503</v>
      </c>
      <c r="W65" s="22" t="s">
        <v>168</v>
      </c>
      <c r="X65" s="23">
        <v>29.2</v>
      </c>
      <c r="Z65" s="40">
        <f t="shared" si="2"/>
        <v>0</v>
      </c>
      <c r="AA65">
        <v>2.1</v>
      </c>
    </row>
    <row r="66" spans="1:27" x14ac:dyDescent="0.25">
      <c r="A66" s="43">
        <v>17</v>
      </c>
      <c r="B66" s="43">
        <v>17</v>
      </c>
      <c r="C66" s="43">
        <v>1</v>
      </c>
      <c r="D66" s="43">
        <v>3</v>
      </c>
      <c r="E66" s="43">
        <v>130321</v>
      </c>
      <c r="F66" s="43">
        <v>112000</v>
      </c>
      <c r="G66" s="43" t="s">
        <v>6</v>
      </c>
      <c r="H66">
        <v>5</v>
      </c>
      <c r="I66">
        <v>2376</v>
      </c>
      <c r="J66">
        <v>500</v>
      </c>
      <c r="K66" s="43">
        <v>29</v>
      </c>
      <c r="L66" s="22">
        <v>26.3</v>
      </c>
      <c r="M66" s="22">
        <v>25.9</v>
      </c>
      <c r="N66" s="40">
        <f t="shared" ref="N66:N129" si="3">L66/K66</f>
        <v>0.90689655172413797</v>
      </c>
      <c r="O66" s="40">
        <f t="shared" ref="O66:O129" si="4">M66/K66</f>
        <v>0.89310344827586197</v>
      </c>
      <c r="P66" s="37">
        <v>3.8</v>
      </c>
      <c r="Q66" s="72">
        <f>VLOOKUP('All inst data'!A66,'all mice (except april 2012)'!$A$2:$G$218,7,FALSE)</f>
        <v>105</v>
      </c>
      <c r="S66" s="22">
        <v>65</v>
      </c>
      <c r="T66" s="22">
        <v>41</v>
      </c>
      <c r="U66" s="22">
        <v>2</v>
      </c>
      <c r="V66">
        <v>130503</v>
      </c>
      <c r="W66" s="22" t="s">
        <v>168</v>
      </c>
      <c r="X66" s="23">
        <v>29.7</v>
      </c>
      <c r="Z66" s="40">
        <f t="shared" si="2"/>
        <v>0</v>
      </c>
      <c r="AA66">
        <v>2.1</v>
      </c>
    </row>
    <row r="67" spans="1:27" x14ac:dyDescent="0.25">
      <c r="A67" s="43">
        <v>18</v>
      </c>
      <c r="B67" s="43">
        <v>18</v>
      </c>
      <c r="C67" s="43">
        <v>1</v>
      </c>
      <c r="D67" s="43">
        <v>3</v>
      </c>
      <c r="E67" s="43">
        <v>130321</v>
      </c>
      <c r="F67" s="43">
        <v>112000</v>
      </c>
      <c r="G67" s="43" t="s">
        <v>6</v>
      </c>
      <c r="H67">
        <v>6</v>
      </c>
      <c r="I67">
        <v>2178</v>
      </c>
      <c r="J67">
        <v>500</v>
      </c>
      <c r="K67" s="43">
        <v>30.2</v>
      </c>
      <c r="L67" s="22">
        <v>25.6</v>
      </c>
      <c r="M67" s="43">
        <v>24.4</v>
      </c>
      <c r="N67" s="40">
        <f t="shared" si="3"/>
        <v>0.84768211920529812</v>
      </c>
      <c r="O67" s="40">
        <f t="shared" si="4"/>
        <v>0.80794701986754969</v>
      </c>
      <c r="P67" s="37">
        <v>3.8</v>
      </c>
      <c r="Q67" s="72">
        <f>VLOOKUP('All inst data'!A67,'all mice (except april 2012)'!$A$2:$G$218,7,FALSE)</f>
        <v>105</v>
      </c>
      <c r="S67" s="22">
        <v>66</v>
      </c>
      <c r="T67" s="22">
        <v>42</v>
      </c>
      <c r="U67" s="22">
        <v>2</v>
      </c>
      <c r="V67">
        <v>130503</v>
      </c>
      <c r="W67" s="22" t="s">
        <v>169</v>
      </c>
      <c r="X67" s="23">
        <v>25.3</v>
      </c>
      <c r="Z67" s="40">
        <f t="shared" ref="Z67:Z130" si="5">Y67/X67</f>
        <v>0</v>
      </c>
      <c r="AA67">
        <v>1.5</v>
      </c>
    </row>
    <row r="68" spans="1:27" x14ac:dyDescent="0.25">
      <c r="A68" s="43">
        <v>19</v>
      </c>
      <c r="B68" s="43">
        <v>19</v>
      </c>
      <c r="C68" s="43">
        <v>1</v>
      </c>
      <c r="D68" s="43">
        <v>3</v>
      </c>
      <c r="E68" s="43">
        <v>130321</v>
      </c>
      <c r="F68" s="43">
        <v>112000</v>
      </c>
      <c r="G68" s="43" t="s">
        <v>7</v>
      </c>
      <c r="H68">
        <v>7</v>
      </c>
      <c r="I68">
        <v>2234</v>
      </c>
      <c r="J68">
        <v>500</v>
      </c>
      <c r="K68" s="22">
        <v>29.4</v>
      </c>
      <c r="L68" s="22">
        <v>26.2</v>
      </c>
      <c r="M68" s="22">
        <v>24.9</v>
      </c>
      <c r="N68" s="40">
        <f t="shared" si="3"/>
        <v>0.891156462585034</v>
      </c>
      <c r="O68" s="40">
        <f t="shared" si="4"/>
        <v>0.84693877551020402</v>
      </c>
      <c r="P68" s="37">
        <v>3.4</v>
      </c>
      <c r="Q68" s="72">
        <f>VLOOKUP('All inst data'!A68,'all mice (except april 2012)'!$A$2:$G$218,7,FALSE)</f>
        <v>98</v>
      </c>
      <c r="S68" s="22">
        <v>67</v>
      </c>
      <c r="T68" s="22">
        <v>43</v>
      </c>
      <c r="U68" s="22">
        <v>2</v>
      </c>
      <c r="V68">
        <v>130503</v>
      </c>
      <c r="W68" s="22" t="s">
        <v>169</v>
      </c>
      <c r="X68" s="23">
        <v>24.1</v>
      </c>
      <c r="Z68" s="40">
        <f t="shared" si="5"/>
        <v>0</v>
      </c>
      <c r="AA68">
        <v>1.5</v>
      </c>
    </row>
    <row r="69" spans="1:27" x14ac:dyDescent="0.25">
      <c r="A69" s="43">
        <v>20</v>
      </c>
      <c r="B69" s="43">
        <v>20</v>
      </c>
      <c r="C69" s="43">
        <v>1</v>
      </c>
      <c r="D69" s="43">
        <v>3</v>
      </c>
      <c r="E69" s="43">
        <v>130321</v>
      </c>
      <c r="F69" s="43">
        <v>112001</v>
      </c>
      <c r="G69" s="43" t="s">
        <v>7</v>
      </c>
      <c r="H69">
        <v>8</v>
      </c>
      <c r="I69">
        <v>1543</v>
      </c>
      <c r="J69">
        <v>374</v>
      </c>
      <c r="K69" s="43">
        <v>27.8</v>
      </c>
      <c r="L69" s="22">
        <v>25</v>
      </c>
      <c r="M69" s="22">
        <v>24.7</v>
      </c>
      <c r="N69" s="40">
        <f t="shared" si="3"/>
        <v>0.89928057553956831</v>
      </c>
      <c r="O69" s="40">
        <f t="shared" si="4"/>
        <v>0.88848920863309344</v>
      </c>
      <c r="P69" s="37">
        <v>3.4</v>
      </c>
      <c r="Q69" s="72">
        <f>VLOOKUP('All inst data'!A69,'all mice (except april 2012)'!$A$2:$G$218,7,FALSE)</f>
        <v>98</v>
      </c>
      <c r="S69" s="22">
        <v>68</v>
      </c>
      <c r="T69" s="22">
        <v>44</v>
      </c>
      <c r="U69" s="22">
        <v>2</v>
      </c>
      <c r="V69">
        <v>130503</v>
      </c>
      <c r="W69" s="22" t="s">
        <v>170</v>
      </c>
      <c r="X69" s="23">
        <v>26.5</v>
      </c>
      <c r="Z69" s="40">
        <f t="shared" si="5"/>
        <v>0</v>
      </c>
      <c r="AA69">
        <v>1.85</v>
      </c>
    </row>
    <row r="70" spans="1:27" x14ac:dyDescent="0.25">
      <c r="A70" s="43">
        <v>21</v>
      </c>
      <c r="B70" s="43">
        <v>21</v>
      </c>
      <c r="C70" s="43">
        <v>1</v>
      </c>
      <c r="D70" s="43">
        <v>3</v>
      </c>
      <c r="E70" s="43">
        <v>130321</v>
      </c>
      <c r="F70" s="43">
        <v>112001</v>
      </c>
      <c r="G70" s="43" t="s">
        <v>9</v>
      </c>
      <c r="H70">
        <v>9</v>
      </c>
      <c r="I70">
        <v>612</v>
      </c>
      <c r="J70">
        <v>190</v>
      </c>
      <c r="K70" s="43">
        <v>29.7</v>
      </c>
      <c r="L70" s="22">
        <v>25.4</v>
      </c>
      <c r="M70" s="43">
        <v>24.3</v>
      </c>
      <c r="N70" s="40">
        <f t="shared" si="3"/>
        <v>0.85521885521885521</v>
      </c>
      <c r="O70" s="40">
        <f t="shared" si="4"/>
        <v>0.81818181818181823</v>
      </c>
      <c r="P70" s="37">
        <v>3.9</v>
      </c>
      <c r="Q70" s="72">
        <f>VLOOKUP('All inst data'!A70,'all mice (except april 2012)'!$A$2:$G$218,7,FALSE)</f>
        <v>105</v>
      </c>
      <c r="S70" s="22">
        <v>69</v>
      </c>
      <c r="T70" s="22">
        <v>45</v>
      </c>
      <c r="U70" s="22">
        <v>2</v>
      </c>
      <c r="V70">
        <v>130503</v>
      </c>
      <c r="W70" s="22" t="s">
        <v>170</v>
      </c>
      <c r="X70" s="23">
        <v>24.2</v>
      </c>
      <c r="Z70" s="40">
        <f t="shared" si="5"/>
        <v>0</v>
      </c>
      <c r="AA70">
        <v>1.85</v>
      </c>
    </row>
    <row r="71" spans="1:27" x14ac:dyDescent="0.25">
      <c r="A71" s="43">
        <v>22</v>
      </c>
      <c r="B71" s="43">
        <v>22</v>
      </c>
      <c r="C71" s="43">
        <v>1</v>
      </c>
      <c r="D71" s="43">
        <v>3</v>
      </c>
      <c r="E71" s="43">
        <v>130321</v>
      </c>
      <c r="F71" s="43">
        <v>112001</v>
      </c>
      <c r="G71" s="43" t="s">
        <v>9</v>
      </c>
      <c r="H71">
        <v>10</v>
      </c>
      <c r="I71">
        <v>5</v>
      </c>
      <c r="J71">
        <v>5</v>
      </c>
      <c r="K71" s="43">
        <v>30.9</v>
      </c>
      <c r="L71" s="22">
        <v>27.2</v>
      </c>
      <c r="M71" s="22">
        <v>25.2</v>
      </c>
      <c r="N71" s="40">
        <f t="shared" si="3"/>
        <v>0.88025889967637538</v>
      </c>
      <c r="O71" s="40">
        <f t="shared" si="4"/>
        <v>0.81553398058252424</v>
      </c>
      <c r="P71" s="37">
        <v>3.9</v>
      </c>
      <c r="Q71" s="72">
        <f>VLOOKUP('All inst data'!A71,'all mice (except april 2012)'!$A$2:$G$218,7,FALSE)</f>
        <v>105</v>
      </c>
      <c r="S71" s="22">
        <v>70</v>
      </c>
      <c r="T71" s="22">
        <v>46</v>
      </c>
      <c r="U71" s="22">
        <v>2</v>
      </c>
      <c r="V71">
        <v>130503</v>
      </c>
      <c r="W71" s="22" t="s">
        <v>183</v>
      </c>
      <c r="X71" s="7">
        <v>27.4</v>
      </c>
      <c r="Z71" s="40">
        <f t="shared" si="5"/>
        <v>0</v>
      </c>
      <c r="AA71">
        <v>1.3</v>
      </c>
    </row>
    <row r="72" spans="1:27" x14ac:dyDescent="0.25">
      <c r="A72" s="43">
        <v>23</v>
      </c>
      <c r="B72" s="43">
        <v>23</v>
      </c>
      <c r="C72" s="43">
        <v>1</v>
      </c>
      <c r="D72" s="43">
        <v>3</v>
      </c>
      <c r="E72" s="43">
        <v>130321</v>
      </c>
      <c r="F72" s="43">
        <v>112001</v>
      </c>
      <c r="G72" s="43" t="s">
        <v>128</v>
      </c>
      <c r="H72">
        <v>11</v>
      </c>
      <c r="I72">
        <v>587</v>
      </c>
      <c r="J72">
        <v>187</v>
      </c>
      <c r="K72" s="43">
        <v>31.9</v>
      </c>
      <c r="L72" s="22">
        <v>27.6</v>
      </c>
      <c r="M72" s="22">
        <v>26.3</v>
      </c>
      <c r="N72" s="40">
        <f t="shared" si="3"/>
        <v>0.86520376175548597</v>
      </c>
      <c r="O72" s="40">
        <f t="shared" si="4"/>
        <v>0.82445141065830729</v>
      </c>
      <c r="P72" s="37">
        <v>3.6</v>
      </c>
      <c r="Q72" s="72">
        <f>VLOOKUP('All inst data'!A72,'all mice (except april 2012)'!$A$2:$G$218,7,FALSE)</f>
        <v>65</v>
      </c>
      <c r="S72" s="22">
        <v>71</v>
      </c>
      <c r="T72" s="22">
        <v>47</v>
      </c>
      <c r="U72" s="22">
        <v>2</v>
      </c>
      <c r="V72">
        <v>130503</v>
      </c>
      <c r="W72" s="22" t="s">
        <v>183</v>
      </c>
      <c r="X72" s="7">
        <v>28.9</v>
      </c>
      <c r="Z72" s="40">
        <f t="shared" si="5"/>
        <v>0</v>
      </c>
      <c r="AA72">
        <v>1.3</v>
      </c>
    </row>
    <row r="73" spans="1:27" x14ac:dyDescent="0.25">
      <c r="A73" s="43">
        <v>24</v>
      </c>
      <c r="B73" s="43">
        <v>24</v>
      </c>
      <c r="C73" s="43">
        <v>1</v>
      </c>
      <c r="D73" s="43">
        <v>3</v>
      </c>
      <c r="E73" s="43">
        <v>130321</v>
      </c>
      <c r="F73" s="43">
        <v>112001</v>
      </c>
      <c r="G73" s="43" t="s">
        <v>128</v>
      </c>
      <c r="H73">
        <v>12</v>
      </c>
      <c r="I73">
        <v>306</v>
      </c>
      <c r="J73">
        <v>131</v>
      </c>
      <c r="K73" s="43">
        <v>31.6</v>
      </c>
      <c r="L73" s="22">
        <v>28.2</v>
      </c>
      <c r="M73" s="43">
        <v>26.8</v>
      </c>
      <c r="N73" s="40">
        <f t="shared" si="3"/>
        <v>0.89240506329113922</v>
      </c>
      <c r="O73" s="40">
        <f t="shared" si="4"/>
        <v>0.84810126582278478</v>
      </c>
      <c r="P73" s="37">
        <v>3.6</v>
      </c>
      <c r="Q73" s="72">
        <f>VLOOKUP('All inst data'!A73,'all mice (except april 2012)'!$A$2:$G$218,7,FALSE)</f>
        <v>65</v>
      </c>
      <c r="S73" s="22">
        <v>72</v>
      </c>
      <c r="T73" s="22">
        <v>48</v>
      </c>
      <c r="U73" s="22">
        <v>2</v>
      </c>
      <c r="V73">
        <v>130503</v>
      </c>
      <c r="W73" s="22" t="s">
        <v>183</v>
      </c>
      <c r="X73" s="7">
        <v>26.2</v>
      </c>
      <c r="Z73" s="40">
        <f t="shared" si="5"/>
        <v>0</v>
      </c>
      <c r="AA73">
        <v>1.3</v>
      </c>
    </row>
    <row r="74" spans="1:27" x14ac:dyDescent="0.25">
      <c r="A74" s="43">
        <v>25</v>
      </c>
      <c r="B74" s="43">
        <v>1</v>
      </c>
      <c r="C74" s="43">
        <v>2</v>
      </c>
      <c r="D74" s="43">
        <v>1</v>
      </c>
      <c r="E74" s="43">
        <v>130421</v>
      </c>
      <c r="F74" s="43">
        <v>104705</v>
      </c>
      <c r="G74" s="43" t="s">
        <v>129</v>
      </c>
      <c r="H74">
        <v>1</v>
      </c>
      <c r="I74">
        <v>1314</v>
      </c>
      <c r="J74">
        <v>327</v>
      </c>
      <c r="K74" s="43">
        <v>29.4</v>
      </c>
      <c r="L74" s="22">
        <v>26.3</v>
      </c>
      <c r="M74" s="22">
        <v>24.8</v>
      </c>
      <c r="N74" s="40">
        <f t="shared" si="3"/>
        <v>0.89455782312925181</v>
      </c>
      <c r="O74" s="40">
        <f t="shared" si="4"/>
        <v>0.84353741496598644</v>
      </c>
      <c r="P74" s="38">
        <v>1.9</v>
      </c>
      <c r="Q74" s="72">
        <f>VLOOKUP('All inst data'!A74,'all mice (except april 2012)'!$A$2:$G$218,7,FALSE)</f>
        <v>122</v>
      </c>
      <c r="S74" s="22">
        <v>73</v>
      </c>
      <c r="T74" s="22">
        <v>49</v>
      </c>
      <c r="U74" s="22">
        <v>2</v>
      </c>
      <c r="V74">
        <v>130506</v>
      </c>
      <c r="W74" s="22" t="s">
        <v>175</v>
      </c>
      <c r="X74" s="7">
        <v>22.9</v>
      </c>
      <c r="Z74" s="40">
        <f t="shared" si="5"/>
        <v>0</v>
      </c>
      <c r="AA74">
        <v>1.5</v>
      </c>
    </row>
    <row r="75" spans="1:27" x14ac:dyDescent="0.25">
      <c r="A75" s="43">
        <v>26</v>
      </c>
      <c r="B75" s="43">
        <v>2</v>
      </c>
      <c r="C75" s="43">
        <v>2</v>
      </c>
      <c r="D75" s="43">
        <v>1</v>
      </c>
      <c r="E75" s="43">
        <v>130421</v>
      </c>
      <c r="F75" s="43">
        <v>104706</v>
      </c>
      <c r="G75" s="43" t="s">
        <v>129</v>
      </c>
      <c r="H75">
        <v>2</v>
      </c>
      <c r="I75">
        <v>1487</v>
      </c>
      <c r="J75">
        <v>360</v>
      </c>
      <c r="K75" s="22">
        <v>27.4</v>
      </c>
      <c r="L75" s="22">
        <v>25.3</v>
      </c>
      <c r="M75" s="7">
        <v>23.8</v>
      </c>
      <c r="N75" s="40">
        <f t="shared" si="3"/>
        <v>0.92335766423357668</v>
      </c>
      <c r="O75" s="40">
        <f t="shared" si="4"/>
        <v>0.86861313868613144</v>
      </c>
      <c r="P75" s="38">
        <v>1.9</v>
      </c>
      <c r="Q75" s="72">
        <f>VLOOKUP('All inst data'!A75,'all mice (except april 2012)'!$A$2:$G$218,7,FALSE)</f>
        <v>122</v>
      </c>
      <c r="S75" s="22">
        <v>74</v>
      </c>
      <c r="T75" s="22">
        <v>50</v>
      </c>
      <c r="U75" s="22">
        <v>2</v>
      </c>
      <c r="V75">
        <v>130506</v>
      </c>
      <c r="W75" s="22" t="s">
        <v>175</v>
      </c>
      <c r="X75" s="7">
        <v>25.7</v>
      </c>
      <c r="Z75" s="40">
        <f t="shared" si="5"/>
        <v>0</v>
      </c>
      <c r="AA75">
        <v>1.5</v>
      </c>
    </row>
    <row r="76" spans="1:27" x14ac:dyDescent="0.25">
      <c r="A76" s="43">
        <v>27</v>
      </c>
      <c r="B76" s="43">
        <v>3</v>
      </c>
      <c r="C76" s="43">
        <v>2</v>
      </c>
      <c r="D76" s="43">
        <v>1</v>
      </c>
      <c r="E76" s="43">
        <v>130421</v>
      </c>
      <c r="F76" s="43">
        <v>104706</v>
      </c>
      <c r="G76" s="43" t="s">
        <v>129</v>
      </c>
      <c r="H76">
        <v>3</v>
      </c>
      <c r="I76">
        <v>3</v>
      </c>
      <c r="J76">
        <v>3</v>
      </c>
      <c r="K76" s="22">
        <v>27.7</v>
      </c>
      <c r="L76" s="22">
        <v>24.6</v>
      </c>
      <c r="M76" s="7">
        <v>23.4</v>
      </c>
      <c r="N76" s="40">
        <f t="shared" si="3"/>
        <v>0.88808664259927805</v>
      </c>
      <c r="O76" s="40">
        <f t="shared" si="4"/>
        <v>0.84476534296028882</v>
      </c>
      <c r="P76" s="38">
        <v>1.9</v>
      </c>
      <c r="Q76" s="72">
        <f>VLOOKUP('All inst data'!A76,'all mice (except april 2012)'!$A$2:$G$218,7,FALSE)</f>
        <v>122</v>
      </c>
      <c r="S76" s="22">
        <v>75</v>
      </c>
      <c r="T76" s="22">
        <v>51</v>
      </c>
      <c r="U76" s="22">
        <v>2</v>
      </c>
      <c r="V76">
        <v>130506</v>
      </c>
      <c r="W76" s="22" t="s">
        <v>175</v>
      </c>
      <c r="X76" s="7">
        <v>26.4</v>
      </c>
      <c r="Z76" s="40">
        <f t="shared" si="5"/>
        <v>0</v>
      </c>
      <c r="AA76">
        <v>1.5</v>
      </c>
    </row>
    <row r="77" spans="1:27" x14ac:dyDescent="0.25">
      <c r="A77" s="43">
        <v>28</v>
      </c>
      <c r="B77" s="43">
        <v>4</v>
      </c>
      <c r="C77" s="43">
        <v>2</v>
      </c>
      <c r="D77" s="43">
        <v>1</v>
      </c>
      <c r="E77" s="43">
        <v>130421</v>
      </c>
      <c r="F77" s="43">
        <v>104706</v>
      </c>
      <c r="G77" s="43" t="s">
        <v>185</v>
      </c>
      <c r="H77">
        <v>4</v>
      </c>
      <c r="I77">
        <v>10</v>
      </c>
      <c r="J77">
        <v>10</v>
      </c>
      <c r="K77" s="43">
        <v>26.7</v>
      </c>
      <c r="L77" s="22">
        <v>23.4</v>
      </c>
      <c r="M77" s="7">
        <v>22</v>
      </c>
      <c r="N77" s="40">
        <f t="shared" si="3"/>
        <v>0.87640449438202239</v>
      </c>
      <c r="O77" s="40">
        <f t="shared" si="4"/>
        <v>0.82397003745318353</v>
      </c>
      <c r="P77" s="38">
        <v>1.8</v>
      </c>
      <c r="Q77" s="72">
        <f>VLOOKUP('All inst data'!A77,'all mice (except april 2012)'!$A$2:$G$218,7,FALSE)</f>
        <v>110</v>
      </c>
      <c r="S77" s="22">
        <v>76</v>
      </c>
      <c r="T77" s="22">
        <v>52</v>
      </c>
      <c r="U77" s="22">
        <v>2</v>
      </c>
      <c r="V77">
        <v>130506</v>
      </c>
      <c r="W77" s="22" t="s">
        <v>186</v>
      </c>
      <c r="X77" s="7">
        <v>23.1</v>
      </c>
      <c r="Z77" s="40">
        <f t="shared" si="5"/>
        <v>0</v>
      </c>
      <c r="AA77">
        <v>2.2000000000000002</v>
      </c>
    </row>
    <row r="78" spans="1:27" x14ac:dyDescent="0.25">
      <c r="A78" s="43">
        <v>29</v>
      </c>
      <c r="B78" s="43">
        <v>5</v>
      </c>
      <c r="C78" s="43">
        <v>2</v>
      </c>
      <c r="D78" s="43">
        <v>1</v>
      </c>
      <c r="E78" s="43">
        <v>130421</v>
      </c>
      <c r="F78" s="43">
        <v>104706</v>
      </c>
      <c r="G78" s="43" t="s">
        <v>185</v>
      </c>
      <c r="H78">
        <v>5</v>
      </c>
      <c r="I78">
        <v>42</v>
      </c>
      <c r="J78">
        <v>40</v>
      </c>
      <c r="K78" s="43">
        <v>23.4</v>
      </c>
      <c r="L78" s="22">
        <v>20.9</v>
      </c>
      <c r="M78" s="7">
        <v>19.8</v>
      </c>
      <c r="N78" s="40">
        <f t="shared" si="3"/>
        <v>0.89316239316239321</v>
      </c>
      <c r="O78" s="40">
        <f t="shared" si="4"/>
        <v>0.84615384615384626</v>
      </c>
      <c r="P78" s="38">
        <v>1.8</v>
      </c>
      <c r="Q78" s="72">
        <f>VLOOKUP('All inst data'!A78,'all mice (except april 2012)'!$A$2:$G$218,7,FALSE)</f>
        <v>110</v>
      </c>
      <c r="S78" s="22">
        <v>77</v>
      </c>
      <c r="T78" s="22">
        <v>53</v>
      </c>
      <c r="U78" s="22">
        <v>2</v>
      </c>
      <c r="V78">
        <v>130506</v>
      </c>
      <c r="W78" s="22" t="s">
        <v>186</v>
      </c>
      <c r="X78" s="7">
        <v>19.899999999999999</v>
      </c>
      <c r="Z78" s="40">
        <f t="shared" si="5"/>
        <v>0</v>
      </c>
      <c r="AA78">
        <v>2.2000000000000002</v>
      </c>
    </row>
    <row r="79" spans="1:27" x14ac:dyDescent="0.25">
      <c r="A79" s="43">
        <v>30</v>
      </c>
      <c r="B79" s="43">
        <v>6</v>
      </c>
      <c r="C79" s="43">
        <v>2</v>
      </c>
      <c r="D79" s="43">
        <v>1</v>
      </c>
      <c r="E79" s="43">
        <v>130421</v>
      </c>
      <c r="F79" s="43">
        <v>104706</v>
      </c>
      <c r="G79" s="43" t="s">
        <v>175</v>
      </c>
      <c r="H79">
        <v>6</v>
      </c>
      <c r="I79">
        <v>174</v>
      </c>
      <c r="J79">
        <v>103</v>
      </c>
      <c r="K79" s="43">
        <v>36.200000000000003</v>
      </c>
      <c r="L79" s="22">
        <v>32.4</v>
      </c>
      <c r="M79" s="7">
        <v>32.200000000000003</v>
      </c>
      <c r="N79" s="40">
        <f t="shared" si="3"/>
        <v>0.8950276243093922</v>
      </c>
      <c r="O79" s="40">
        <f t="shared" si="4"/>
        <v>0.88950276243093929</v>
      </c>
      <c r="P79" s="38">
        <v>1.7</v>
      </c>
      <c r="Q79" s="72">
        <f>VLOOKUP('All inst data'!A79,'all mice (except april 2012)'!$A$2:$G$218,7,FALSE)</f>
        <v>119</v>
      </c>
      <c r="S79" s="22">
        <v>78</v>
      </c>
      <c r="T79" s="22">
        <v>54</v>
      </c>
      <c r="U79" s="22">
        <v>2</v>
      </c>
      <c r="V79">
        <v>130506</v>
      </c>
      <c r="W79" s="22" t="s">
        <v>176</v>
      </c>
      <c r="X79" s="7">
        <v>26.3</v>
      </c>
      <c r="Z79" s="40">
        <f t="shared" si="5"/>
        <v>0</v>
      </c>
      <c r="AA79">
        <v>2.25</v>
      </c>
    </row>
    <row r="80" spans="1:27" x14ac:dyDescent="0.25">
      <c r="A80" s="43">
        <v>31</v>
      </c>
      <c r="B80" s="43">
        <v>7</v>
      </c>
      <c r="C80" s="43">
        <v>2</v>
      </c>
      <c r="D80" s="43">
        <v>1</v>
      </c>
      <c r="E80" s="43">
        <v>130421</v>
      </c>
      <c r="F80" s="43">
        <v>104706</v>
      </c>
      <c r="G80" s="43" t="s">
        <v>175</v>
      </c>
      <c r="H80">
        <v>7</v>
      </c>
      <c r="I80">
        <v>199</v>
      </c>
      <c r="J80">
        <v>107</v>
      </c>
      <c r="K80" s="22">
        <v>31.3</v>
      </c>
      <c r="L80" s="22">
        <v>27.7</v>
      </c>
      <c r="M80" s="7">
        <v>27.7</v>
      </c>
      <c r="N80" s="40">
        <f t="shared" si="3"/>
        <v>0.88498402555910538</v>
      </c>
      <c r="O80" s="40">
        <f t="shared" si="4"/>
        <v>0.88498402555910538</v>
      </c>
      <c r="P80" s="38">
        <v>1.7</v>
      </c>
      <c r="Q80" s="72">
        <f>VLOOKUP('All inst data'!A80,'all mice (except april 2012)'!$A$2:$G$218,7,FALSE)</f>
        <v>119</v>
      </c>
      <c r="S80" s="22">
        <v>79</v>
      </c>
      <c r="T80" s="22">
        <v>55</v>
      </c>
      <c r="U80" s="22">
        <v>2</v>
      </c>
      <c r="V80">
        <v>130506</v>
      </c>
      <c r="W80" s="22" t="s">
        <v>176</v>
      </c>
      <c r="X80" s="7">
        <v>27</v>
      </c>
      <c r="Z80" s="40">
        <f t="shared" si="5"/>
        <v>0</v>
      </c>
      <c r="AA80">
        <v>2.25</v>
      </c>
    </row>
    <row r="81" spans="1:27" x14ac:dyDescent="0.25">
      <c r="A81" s="43">
        <v>32</v>
      </c>
      <c r="B81" s="43">
        <v>8</v>
      </c>
      <c r="C81" s="43">
        <v>2</v>
      </c>
      <c r="D81" s="43">
        <v>1</v>
      </c>
      <c r="E81" s="43">
        <v>130421</v>
      </c>
      <c r="F81" s="43">
        <v>104706</v>
      </c>
      <c r="G81" s="43" t="s">
        <v>50</v>
      </c>
      <c r="H81">
        <v>8</v>
      </c>
      <c r="I81">
        <v>593</v>
      </c>
      <c r="J81">
        <v>184</v>
      </c>
      <c r="K81" s="43">
        <v>23.2</v>
      </c>
      <c r="L81" s="22">
        <v>21.3</v>
      </c>
      <c r="M81" s="7">
        <v>19.8</v>
      </c>
      <c r="N81" s="40">
        <f t="shared" si="3"/>
        <v>0.9181034482758621</v>
      </c>
      <c r="O81" s="40">
        <f t="shared" si="4"/>
        <v>0.85344827586206906</v>
      </c>
      <c r="P81" s="38">
        <v>1.85</v>
      </c>
      <c r="Q81" s="72">
        <f>VLOOKUP('All inst data'!A81,'all mice (except april 2012)'!$A$2:$G$218,7,FALSE)</f>
        <v>119</v>
      </c>
      <c r="S81" s="22">
        <v>80</v>
      </c>
      <c r="T81" s="22">
        <v>56</v>
      </c>
      <c r="U81" s="22">
        <v>2</v>
      </c>
      <c r="V81">
        <v>130506</v>
      </c>
      <c r="W81" s="22" t="s">
        <v>176</v>
      </c>
      <c r="X81" s="7">
        <v>21.9</v>
      </c>
      <c r="Z81" s="40">
        <f t="shared" si="5"/>
        <v>0</v>
      </c>
      <c r="AA81">
        <v>2.25</v>
      </c>
    </row>
    <row r="82" spans="1:27" x14ac:dyDescent="0.25">
      <c r="A82" s="43">
        <v>33</v>
      </c>
      <c r="B82" s="43">
        <v>9</v>
      </c>
      <c r="C82" s="43">
        <v>2</v>
      </c>
      <c r="D82" s="43">
        <v>1</v>
      </c>
      <c r="E82" s="43">
        <v>130421</v>
      </c>
      <c r="F82" s="43">
        <v>104706</v>
      </c>
      <c r="G82" s="43" t="s">
        <v>50</v>
      </c>
      <c r="H82">
        <v>9</v>
      </c>
      <c r="I82">
        <v>8</v>
      </c>
      <c r="J82">
        <v>8</v>
      </c>
      <c r="K82" s="43">
        <v>24.8</v>
      </c>
      <c r="L82" s="22">
        <v>22.6</v>
      </c>
      <c r="M82" s="7">
        <v>21</v>
      </c>
      <c r="N82" s="40">
        <f t="shared" si="3"/>
        <v>0.91129032258064524</v>
      </c>
      <c r="O82" s="40">
        <f t="shared" si="4"/>
        <v>0.84677419354838712</v>
      </c>
      <c r="P82" s="38">
        <v>1.85</v>
      </c>
      <c r="Q82" s="72">
        <f>VLOOKUP('All inst data'!A82,'all mice (except april 2012)'!$A$2:$G$218,7,FALSE)</f>
        <v>119</v>
      </c>
      <c r="S82" s="22">
        <v>81</v>
      </c>
      <c r="T82" s="22">
        <v>57</v>
      </c>
      <c r="U82" s="22">
        <v>2</v>
      </c>
      <c r="V82">
        <v>130506</v>
      </c>
      <c r="W82" s="22" t="s">
        <v>174</v>
      </c>
      <c r="X82" s="22">
        <v>21.5</v>
      </c>
      <c r="Z82" s="40">
        <f t="shared" si="5"/>
        <v>0</v>
      </c>
      <c r="AA82">
        <v>2.7</v>
      </c>
    </row>
    <row r="83" spans="1:27" x14ac:dyDescent="0.25">
      <c r="A83" s="13">
        <v>34</v>
      </c>
      <c r="B83" s="13">
        <v>10</v>
      </c>
      <c r="C83" s="13">
        <v>2</v>
      </c>
      <c r="D83" s="13">
        <v>1</v>
      </c>
      <c r="E83" s="13">
        <v>130421</v>
      </c>
      <c r="F83" s="13">
        <v>104707</v>
      </c>
      <c r="G83" s="13" t="s">
        <v>50</v>
      </c>
      <c r="H83" s="13">
        <v>10</v>
      </c>
      <c r="I83" s="13">
        <v>744</v>
      </c>
      <c r="J83" s="13">
        <v>218</v>
      </c>
      <c r="K83" s="13">
        <v>29.5</v>
      </c>
      <c r="L83" s="13">
        <v>27</v>
      </c>
      <c r="M83" s="36">
        <v>25.8</v>
      </c>
      <c r="N83" s="40">
        <f t="shared" si="3"/>
        <v>0.9152542372881356</v>
      </c>
      <c r="O83" s="40">
        <f t="shared" si="4"/>
        <v>0.87457627118644066</v>
      </c>
      <c r="P83" s="38">
        <v>1.85</v>
      </c>
      <c r="Q83" s="72">
        <f>VLOOKUP('All inst data'!A83,'all mice (except april 2012)'!$A$2:$G$218,7,FALSE)</f>
        <v>119</v>
      </c>
      <c r="S83" s="22">
        <v>82</v>
      </c>
      <c r="T83" s="22">
        <v>58</v>
      </c>
      <c r="U83" s="22">
        <v>2</v>
      </c>
      <c r="V83">
        <v>130506</v>
      </c>
      <c r="W83" s="22" t="s">
        <v>174</v>
      </c>
      <c r="X83" s="22">
        <v>20.5</v>
      </c>
      <c r="Z83" s="40">
        <f t="shared" si="5"/>
        <v>0</v>
      </c>
      <c r="AA83">
        <v>2.7</v>
      </c>
    </row>
    <row r="84" spans="1:27" x14ac:dyDescent="0.25">
      <c r="A84" s="43">
        <v>35</v>
      </c>
      <c r="B84" s="43">
        <v>11</v>
      </c>
      <c r="C84" s="43">
        <v>2</v>
      </c>
      <c r="D84" s="43">
        <v>1</v>
      </c>
      <c r="E84" s="43">
        <v>130421</v>
      </c>
      <c r="F84" s="43">
        <v>104707</v>
      </c>
      <c r="G84" s="43" t="s">
        <v>179</v>
      </c>
      <c r="H84">
        <v>11</v>
      </c>
      <c r="I84">
        <v>261</v>
      </c>
      <c r="J84">
        <v>120</v>
      </c>
      <c r="K84" s="43">
        <v>24.9</v>
      </c>
      <c r="L84" s="22">
        <v>23.2</v>
      </c>
      <c r="M84" s="7">
        <v>20.8</v>
      </c>
      <c r="N84" s="40">
        <f t="shared" si="3"/>
        <v>0.93172690763052213</v>
      </c>
      <c r="O84" s="40">
        <f t="shared" si="4"/>
        <v>0.83534136546184745</v>
      </c>
      <c r="P84" s="38">
        <v>2.4</v>
      </c>
      <c r="Q84" s="72">
        <f>VLOOKUP('All inst data'!A84,'all mice (except april 2012)'!$A$2:$G$218,7,FALSE)</f>
        <v>113</v>
      </c>
      <c r="S84" s="22">
        <v>83</v>
      </c>
      <c r="T84" s="22">
        <v>59</v>
      </c>
      <c r="U84" s="22">
        <v>2</v>
      </c>
      <c r="V84">
        <v>130506</v>
      </c>
      <c r="W84" s="22" t="s">
        <v>171</v>
      </c>
      <c r="X84" s="22">
        <v>18.3</v>
      </c>
      <c r="Z84" s="40">
        <f t="shared" si="5"/>
        <v>0</v>
      </c>
      <c r="AA84">
        <v>3.15</v>
      </c>
    </row>
    <row r="85" spans="1:27" x14ac:dyDescent="0.25">
      <c r="A85" s="43">
        <v>36</v>
      </c>
      <c r="B85" s="43">
        <v>12</v>
      </c>
      <c r="C85" s="43">
        <v>2</v>
      </c>
      <c r="D85" s="43">
        <v>1</v>
      </c>
      <c r="E85" s="43">
        <v>130421</v>
      </c>
      <c r="F85" s="43">
        <v>104707</v>
      </c>
      <c r="G85" s="43" t="s">
        <v>165</v>
      </c>
      <c r="H85">
        <v>12</v>
      </c>
      <c r="I85">
        <v>1645</v>
      </c>
      <c r="J85">
        <v>388</v>
      </c>
      <c r="K85" s="43">
        <v>19.600000000000001</v>
      </c>
      <c r="L85" s="22">
        <v>17.7</v>
      </c>
      <c r="M85" s="7">
        <v>17.7</v>
      </c>
      <c r="N85" s="40">
        <f t="shared" si="3"/>
        <v>0.90306122448979587</v>
      </c>
      <c r="O85" s="40">
        <f t="shared" si="4"/>
        <v>0.90306122448979587</v>
      </c>
      <c r="P85" s="38">
        <v>1.8</v>
      </c>
      <c r="Q85" s="72">
        <f>VLOOKUP('All inst data'!A85,'all mice (except april 2012)'!$A$2:$G$218,7,FALSE)</f>
        <v>102</v>
      </c>
      <c r="S85" s="22">
        <v>84</v>
      </c>
      <c r="T85" s="22">
        <v>60</v>
      </c>
      <c r="U85" s="22">
        <v>2</v>
      </c>
      <c r="V85">
        <v>130506</v>
      </c>
      <c r="W85" s="22" t="s">
        <v>171</v>
      </c>
      <c r="X85" s="7">
        <v>14.8</v>
      </c>
      <c r="Z85" s="40">
        <f t="shared" si="5"/>
        <v>0</v>
      </c>
      <c r="AA85">
        <v>3.15</v>
      </c>
    </row>
    <row r="86" spans="1:27" x14ac:dyDescent="0.25">
      <c r="A86" s="43">
        <v>25</v>
      </c>
      <c r="B86" s="43">
        <v>1</v>
      </c>
      <c r="C86" s="43">
        <v>2</v>
      </c>
      <c r="D86" s="43">
        <v>2</v>
      </c>
      <c r="E86" s="43">
        <v>130422</v>
      </c>
      <c r="F86" s="43">
        <v>94818</v>
      </c>
      <c r="G86" s="43" t="s">
        <v>129</v>
      </c>
      <c r="H86">
        <v>1</v>
      </c>
      <c r="I86">
        <v>1913</v>
      </c>
      <c r="J86">
        <v>442</v>
      </c>
      <c r="K86" s="22">
        <v>29.4</v>
      </c>
      <c r="L86" s="22">
        <v>26.4</v>
      </c>
      <c r="M86" s="7">
        <v>25.4</v>
      </c>
      <c r="N86" s="40">
        <f t="shared" si="3"/>
        <v>0.89795918367346939</v>
      </c>
      <c r="O86" s="40">
        <f t="shared" si="4"/>
        <v>0.86394557823129248</v>
      </c>
      <c r="P86" s="38">
        <v>1.9</v>
      </c>
      <c r="Q86" s="72">
        <f>VLOOKUP('All inst data'!A86,'all mice (except april 2012)'!$A$2:$G$218,7,FALSE)</f>
        <v>122</v>
      </c>
      <c r="S86" s="22">
        <v>85</v>
      </c>
      <c r="T86" s="22">
        <v>1</v>
      </c>
      <c r="U86" s="22">
        <v>3</v>
      </c>
      <c r="V86">
        <v>130520</v>
      </c>
      <c r="W86" s="22" t="s">
        <v>169</v>
      </c>
      <c r="X86" s="7">
        <v>27.4</v>
      </c>
      <c r="Z86" s="40">
        <f t="shared" si="5"/>
        <v>0</v>
      </c>
      <c r="AA86">
        <v>1.9</v>
      </c>
    </row>
    <row r="87" spans="1:27" x14ac:dyDescent="0.25">
      <c r="A87" s="43">
        <v>26</v>
      </c>
      <c r="B87" s="43">
        <v>2</v>
      </c>
      <c r="C87" s="43">
        <v>2</v>
      </c>
      <c r="D87" s="43">
        <v>2</v>
      </c>
      <c r="E87" s="43">
        <v>130422</v>
      </c>
      <c r="F87" s="43">
        <v>94819</v>
      </c>
      <c r="G87" s="43" t="s">
        <v>129</v>
      </c>
      <c r="H87">
        <v>2</v>
      </c>
      <c r="I87">
        <v>1463</v>
      </c>
      <c r="J87">
        <v>355</v>
      </c>
      <c r="K87" s="43">
        <v>27.4</v>
      </c>
      <c r="L87" s="22">
        <v>25.4</v>
      </c>
      <c r="M87" s="7">
        <v>25</v>
      </c>
      <c r="N87" s="40">
        <f t="shared" si="3"/>
        <v>0.92700729927007297</v>
      </c>
      <c r="O87" s="40">
        <f t="shared" si="4"/>
        <v>0.91240875912408759</v>
      </c>
      <c r="P87" s="38">
        <v>1.9</v>
      </c>
      <c r="Q87" s="72">
        <f>VLOOKUP('All inst data'!A87,'all mice (except april 2012)'!$A$2:$G$218,7,FALSE)</f>
        <v>122</v>
      </c>
      <c r="S87" s="22">
        <v>86</v>
      </c>
      <c r="T87" s="22">
        <v>2</v>
      </c>
      <c r="U87" s="22">
        <v>3</v>
      </c>
      <c r="V87">
        <v>130520</v>
      </c>
      <c r="W87" s="22" t="s">
        <v>169</v>
      </c>
      <c r="X87" s="7">
        <v>27.2</v>
      </c>
      <c r="Z87" s="40">
        <f t="shared" si="5"/>
        <v>0</v>
      </c>
      <c r="AA87">
        <v>1.9</v>
      </c>
    </row>
    <row r="88" spans="1:27" x14ac:dyDescent="0.25">
      <c r="A88" s="43">
        <v>27</v>
      </c>
      <c r="B88" s="43">
        <v>3</v>
      </c>
      <c r="C88" s="43">
        <v>2</v>
      </c>
      <c r="D88" s="43">
        <v>2</v>
      </c>
      <c r="E88" s="43">
        <v>130422</v>
      </c>
      <c r="F88" s="43">
        <v>94819</v>
      </c>
      <c r="G88" s="43" t="s">
        <v>129</v>
      </c>
      <c r="H88">
        <v>3</v>
      </c>
      <c r="I88">
        <v>0</v>
      </c>
      <c r="J88">
        <v>0</v>
      </c>
      <c r="K88" s="22">
        <v>27.7</v>
      </c>
      <c r="L88" s="22">
        <v>24.4</v>
      </c>
      <c r="M88" s="7">
        <v>23.2</v>
      </c>
      <c r="N88" s="40">
        <f t="shared" si="3"/>
        <v>0.88086642599277976</v>
      </c>
      <c r="O88" s="40">
        <f t="shared" si="4"/>
        <v>0.83754512635379064</v>
      </c>
      <c r="P88" s="38">
        <v>1.9</v>
      </c>
      <c r="Q88" s="72">
        <f>VLOOKUP('All inst data'!A88,'all mice (except april 2012)'!$A$2:$G$218,7,FALSE)</f>
        <v>122</v>
      </c>
      <c r="S88" s="22">
        <v>87</v>
      </c>
      <c r="T88" s="22">
        <v>3</v>
      </c>
      <c r="U88" s="22">
        <v>3</v>
      </c>
      <c r="V88">
        <v>130520</v>
      </c>
      <c r="W88" s="22" t="s">
        <v>179</v>
      </c>
      <c r="X88" s="7">
        <v>26.4</v>
      </c>
      <c r="Z88" s="40">
        <f t="shared" si="5"/>
        <v>0</v>
      </c>
      <c r="AA88">
        <v>2.0499999999999998</v>
      </c>
    </row>
    <row r="89" spans="1:27" x14ac:dyDescent="0.25">
      <c r="A89" s="43">
        <v>28</v>
      </c>
      <c r="B89" s="43">
        <v>4</v>
      </c>
      <c r="C89" s="43">
        <v>2</v>
      </c>
      <c r="D89" s="43">
        <v>2</v>
      </c>
      <c r="E89" s="43">
        <v>130422</v>
      </c>
      <c r="F89" s="43">
        <v>94819</v>
      </c>
      <c r="G89" s="43" t="s">
        <v>185</v>
      </c>
      <c r="H89">
        <v>4</v>
      </c>
      <c r="I89">
        <v>0</v>
      </c>
      <c r="J89">
        <v>0</v>
      </c>
      <c r="K89" s="22">
        <v>26.7</v>
      </c>
      <c r="L89" s="22">
        <v>23.3</v>
      </c>
      <c r="M89" s="7">
        <v>22.9</v>
      </c>
      <c r="N89" s="40">
        <f t="shared" si="3"/>
        <v>0.87265917602996257</v>
      </c>
      <c r="O89" s="40">
        <f t="shared" si="4"/>
        <v>0.85767790262172283</v>
      </c>
      <c r="P89" s="38">
        <v>1.8</v>
      </c>
      <c r="Q89" s="72">
        <f>VLOOKUP('All inst data'!A89,'all mice (except april 2012)'!$A$2:$G$218,7,FALSE)</f>
        <v>110</v>
      </c>
      <c r="S89" s="22">
        <v>88</v>
      </c>
      <c r="T89" s="22">
        <v>4</v>
      </c>
      <c r="U89" s="22">
        <v>3</v>
      </c>
      <c r="V89">
        <v>130520</v>
      </c>
      <c r="W89" s="22" t="s">
        <v>179</v>
      </c>
      <c r="X89" s="7">
        <v>26.9</v>
      </c>
      <c r="Z89" s="40">
        <f t="shared" si="5"/>
        <v>0</v>
      </c>
      <c r="AA89">
        <v>2.0499999999999998</v>
      </c>
    </row>
    <row r="90" spans="1:27" x14ac:dyDescent="0.25">
      <c r="A90" s="43">
        <v>29</v>
      </c>
      <c r="B90" s="43">
        <v>5</v>
      </c>
      <c r="C90" s="43">
        <v>2</v>
      </c>
      <c r="D90" s="43">
        <v>2</v>
      </c>
      <c r="E90" s="43">
        <v>130422</v>
      </c>
      <c r="F90" s="43">
        <v>94819</v>
      </c>
      <c r="G90" s="43" t="s">
        <v>185</v>
      </c>
      <c r="H90">
        <v>5</v>
      </c>
      <c r="I90">
        <v>710</v>
      </c>
      <c r="J90">
        <v>209</v>
      </c>
      <c r="K90" s="43">
        <v>23.4</v>
      </c>
      <c r="L90" s="22">
        <v>20.8</v>
      </c>
      <c r="M90" s="7">
        <v>20.3</v>
      </c>
      <c r="N90" s="40">
        <f t="shared" si="3"/>
        <v>0.88888888888888895</v>
      </c>
      <c r="O90" s="40">
        <f t="shared" si="4"/>
        <v>0.86752136752136766</v>
      </c>
      <c r="P90" s="38">
        <v>1.8</v>
      </c>
      <c r="Q90" s="72">
        <f>VLOOKUP('All inst data'!A90,'all mice (except april 2012)'!$A$2:$G$218,7,FALSE)</f>
        <v>110</v>
      </c>
      <c r="S90" s="22">
        <v>89</v>
      </c>
      <c r="T90" s="22">
        <v>5</v>
      </c>
      <c r="U90" s="22">
        <v>3</v>
      </c>
      <c r="V90">
        <v>130520</v>
      </c>
      <c r="W90" s="22" t="s">
        <v>174</v>
      </c>
      <c r="X90" s="7">
        <v>26.4</v>
      </c>
      <c r="Z90" s="40">
        <f t="shared" si="5"/>
        <v>0</v>
      </c>
      <c r="AA90">
        <v>2.2999999999999998</v>
      </c>
    </row>
    <row r="91" spans="1:27" x14ac:dyDescent="0.25">
      <c r="A91" s="43">
        <v>30</v>
      </c>
      <c r="B91" s="43">
        <v>6</v>
      </c>
      <c r="C91" s="43">
        <v>2</v>
      </c>
      <c r="D91" s="43">
        <v>2</v>
      </c>
      <c r="E91" s="43">
        <v>130422</v>
      </c>
      <c r="F91" s="43">
        <v>94819</v>
      </c>
      <c r="G91" s="43" t="s">
        <v>175</v>
      </c>
      <c r="H91">
        <v>6</v>
      </c>
      <c r="I91">
        <v>819</v>
      </c>
      <c r="J91">
        <v>228</v>
      </c>
      <c r="K91" s="22">
        <v>36.200000000000003</v>
      </c>
      <c r="L91" s="22">
        <v>31.8</v>
      </c>
      <c r="M91" s="7">
        <v>31.9</v>
      </c>
      <c r="N91" s="40">
        <f t="shared" si="3"/>
        <v>0.87845303867403313</v>
      </c>
      <c r="O91" s="40">
        <f t="shared" si="4"/>
        <v>0.88121546961325958</v>
      </c>
      <c r="P91" s="38">
        <v>1.7</v>
      </c>
      <c r="Q91" s="72">
        <f>VLOOKUP('All inst data'!A91,'all mice (except april 2012)'!$A$2:$G$218,7,FALSE)</f>
        <v>119</v>
      </c>
      <c r="S91" s="22">
        <v>90</v>
      </c>
      <c r="T91" s="22">
        <v>6</v>
      </c>
      <c r="U91" s="22">
        <v>3</v>
      </c>
      <c r="V91">
        <v>130520</v>
      </c>
      <c r="W91" s="22" t="s">
        <v>165</v>
      </c>
      <c r="X91" s="7">
        <v>27.8</v>
      </c>
      <c r="Z91" s="40">
        <f t="shared" si="5"/>
        <v>0</v>
      </c>
      <c r="AA91">
        <v>1.9</v>
      </c>
    </row>
    <row r="92" spans="1:27" x14ac:dyDescent="0.25">
      <c r="A92" s="43">
        <v>31</v>
      </c>
      <c r="B92" s="43">
        <v>7</v>
      </c>
      <c r="C92" s="43">
        <v>2</v>
      </c>
      <c r="D92" s="43">
        <v>2</v>
      </c>
      <c r="E92" s="43">
        <v>130422</v>
      </c>
      <c r="F92" s="43">
        <v>94819</v>
      </c>
      <c r="G92" s="43" t="s">
        <v>175</v>
      </c>
      <c r="H92">
        <v>7</v>
      </c>
      <c r="I92">
        <v>432</v>
      </c>
      <c r="J92">
        <v>153</v>
      </c>
      <c r="K92" s="43">
        <v>31.3</v>
      </c>
      <c r="L92" s="22">
        <v>27.7</v>
      </c>
      <c r="M92" s="7">
        <v>27.3</v>
      </c>
      <c r="N92" s="40">
        <f t="shared" si="3"/>
        <v>0.88498402555910538</v>
      </c>
      <c r="O92" s="40">
        <f t="shared" si="4"/>
        <v>0.87220447284345048</v>
      </c>
      <c r="P92" s="38">
        <v>1.7</v>
      </c>
      <c r="Q92" s="72">
        <f>VLOOKUP('All inst data'!A92,'all mice (except april 2012)'!$A$2:$G$218,7,FALSE)</f>
        <v>119</v>
      </c>
      <c r="S92" s="22">
        <v>91</v>
      </c>
      <c r="T92" s="22">
        <v>7</v>
      </c>
      <c r="U92" s="22">
        <v>3</v>
      </c>
      <c r="V92">
        <v>130520</v>
      </c>
      <c r="W92" s="22" t="s">
        <v>172</v>
      </c>
      <c r="X92" s="7">
        <v>29.9</v>
      </c>
      <c r="Z92" s="40">
        <f t="shared" si="5"/>
        <v>0</v>
      </c>
      <c r="AA92">
        <v>1.9</v>
      </c>
    </row>
    <row r="93" spans="1:27" x14ac:dyDescent="0.25">
      <c r="A93" s="43">
        <v>32</v>
      </c>
      <c r="B93" s="43">
        <v>8</v>
      </c>
      <c r="C93" s="43">
        <v>2</v>
      </c>
      <c r="D93" s="43">
        <v>2</v>
      </c>
      <c r="E93" s="43">
        <v>130422</v>
      </c>
      <c r="F93" s="43">
        <v>94819</v>
      </c>
      <c r="G93" s="43" t="s">
        <v>50</v>
      </c>
      <c r="H93">
        <v>8</v>
      </c>
      <c r="I93">
        <v>1032</v>
      </c>
      <c r="J93">
        <v>270</v>
      </c>
      <c r="K93" s="22">
        <v>23.2</v>
      </c>
      <c r="L93" s="22">
        <v>21.3</v>
      </c>
      <c r="M93" s="7">
        <v>20</v>
      </c>
      <c r="N93" s="40">
        <f t="shared" si="3"/>
        <v>0.9181034482758621</v>
      </c>
      <c r="O93" s="40">
        <f t="shared" si="4"/>
        <v>0.86206896551724144</v>
      </c>
      <c r="P93" s="38">
        <v>1.8</v>
      </c>
      <c r="Q93" s="72">
        <f>VLOOKUP('All inst data'!A93,'all mice (except april 2012)'!$A$2:$G$218,7,FALSE)</f>
        <v>119</v>
      </c>
      <c r="S93" s="22">
        <v>92</v>
      </c>
      <c r="T93" s="22">
        <v>8</v>
      </c>
      <c r="U93" s="22">
        <v>3</v>
      </c>
      <c r="V93">
        <v>130520</v>
      </c>
      <c r="W93" s="22" t="s">
        <v>172</v>
      </c>
      <c r="X93" s="7">
        <v>27.3</v>
      </c>
      <c r="Z93" s="40">
        <f t="shared" si="5"/>
        <v>0</v>
      </c>
      <c r="AA93">
        <v>1.9</v>
      </c>
    </row>
    <row r="94" spans="1:27" x14ac:dyDescent="0.25">
      <c r="A94" s="43">
        <v>33</v>
      </c>
      <c r="B94" s="43">
        <v>9</v>
      </c>
      <c r="C94" s="43">
        <v>2</v>
      </c>
      <c r="D94" s="43">
        <v>2</v>
      </c>
      <c r="E94" s="43">
        <v>130422</v>
      </c>
      <c r="F94" s="43">
        <v>94819</v>
      </c>
      <c r="G94" s="43" t="s">
        <v>50</v>
      </c>
      <c r="H94">
        <v>9</v>
      </c>
      <c r="I94">
        <v>0</v>
      </c>
      <c r="J94">
        <v>0</v>
      </c>
      <c r="K94" s="43">
        <v>24.8</v>
      </c>
      <c r="L94" s="22">
        <v>22.6</v>
      </c>
      <c r="M94" s="7">
        <v>21.7</v>
      </c>
      <c r="N94" s="40">
        <f t="shared" si="3"/>
        <v>0.91129032258064524</v>
      </c>
      <c r="O94" s="40">
        <f t="shared" si="4"/>
        <v>0.875</v>
      </c>
      <c r="P94" s="38">
        <v>1.8</v>
      </c>
      <c r="Q94" s="72">
        <f>VLOOKUP('All inst data'!A94,'all mice (except april 2012)'!$A$2:$G$218,7,FALSE)</f>
        <v>119</v>
      </c>
      <c r="S94" s="22">
        <v>93</v>
      </c>
      <c r="T94" s="22">
        <v>9</v>
      </c>
      <c r="U94" s="22">
        <v>3</v>
      </c>
      <c r="V94">
        <v>130520</v>
      </c>
      <c r="W94" s="22" t="s">
        <v>168</v>
      </c>
      <c r="X94" s="7">
        <v>32.5</v>
      </c>
      <c r="Z94" s="40">
        <f t="shared" si="5"/>
        <v>0</v>
      </c>
      <c r="AA94">
        <v>2</v>
      </c>
    </row>
    <row r="95" spans="1:27" x14ac:dyDescent="0.25">
      <c r="A95" s="13">
        <v>34</v>
      </c>
      <c r="B95" s="13">
        <v>10</v>
      </c>
      <c r="C95" s="13">
        <v>2</v>
      </c>
      <c r="D95" s="13">
        <v>2</v>
      </c>
      <c r="E95" s="13">
        <v>130422</v>
      </c>
      <c r="F95" s="13">
        <v>94819</v>
      </c>
      <c r="G95" s="13" t="s">
        <v>50</v>
      </c>
      <c r="H95" s="13">
        <v>10</v>
      </c>
      <c r="I95" s="13">
        <v>342</v>
      </c>
      <c r="J95" s="13">
        <v>139</v>
      </c>
      <c r="K95" s="13">
        <v>29.5</v>
      </c>
      <c r="L95" s="13">
        <v>26.7</v>
      </c>
      <c r="M95" s="36">
        <v>25.5</v>
      </c>
      <c r="N95" s="40">
        <f t="shared" si="3"/>
        <v>0.90508474576271181</v>
      </c>
      <c r="O95" s="40">
        <f t="shared" si="4"/>
        <v>0.86440677966101698</v>
      </c>
      <c r="P95" s="38">
        <v>1.8</v>
      </c>
      <c r="Q95" s="72">
        <f>VLOOKUP('All inst data'!A95,'all mice (except april 2012)'!$A$2:$G$218,7,FALSE)</f>
        <v>119</v>
      </c>
      <c r="S95" s="22">
        <v>94</v>
      </c>
      <c r="T95" s="22">
        <v>10</v>
      </c>
      <c r="U95" s="22">
        <v>3</v>
      </c>
      <c r="V95">
        <v>130520</v>
      </c>
      <c r="W95" s="22" t="s">
        <v>168</v>
      </c>
      <c r="X95" s="7">
        <v>34.299999999999997</v>
      </c>
      <c r="Z95" s="40">
        <f t="shared" si="5"/>
        <v>0</v>
      </c>
      <c r="AA95">
        <v>2</v>
      </c>
    </row>
    <row r="96" spans="1:27" x14ac:dyDescent="0.25">
      <c r="A96" s="43">
        <v>35</v>
      </c>
      <c r="B96" s="43">
        <v>11</v>
      </c>
      <c r="C96" s="43">
        <v>2</v>
      </c>
      <c r="D96" s="43">
        <v>2</v>
      </c>
      <c r="E96" s="43">
        <v>130422</v>
      </c>
      <c r="F96" s="43">
        <v>94819</v>
      </c>
      <c r="G96" s="43" t="s">
        <v>179</v>
      </c>
      <c r="H96">
        <v>11</v>
      </c>
      <c r="I96">
        <v>1155</v>
      </c>
      <c r="J96">
        <v>295</v>
      </c>
      <c r="K96" s="43">
        <v>24.9</v>
      </c>
      <c r="L96" s="22">
        <v>22.4</v>
      </c>
      <c r="M96" s="7">
        <v>21.3</v>
      </c>
      <c r="N96" s="40">
        <f t="shared" si="3"/>
        <v>0.89959839357429716</v>
      </c>
      <c r="O96" s="40">
        <f t="shared" si="4"/>
        <v>0.85542168674698804</v>
      </c>
      <c r="P96" s="38">
        <v>2.4</v>
      </c>
      <c r="Q96" s="72">
        <f>VLOOKUP('All inst data'!A96,'all mice (except april 2012)'!$A$2:$G$218,7,FALSE)</f>
        <v>113</v>
      </c>
      <c r="S96" s="22">
        <v>95</v>
      </c>
      <c r="T96" s="22">
        <v>11</v>
      </c>
      <c r="U96" s="22">
        <v>3</v>
      </c>
      <c r="V96">
        <v>130520</v>
      </c>
      <c r="W96" s="22" t="s">
        <v>175</v>
      </c>
      <c r="X96" s="7">
        <v>41.8</v>
      </c>
      <c r="Z96" s="40">
        <f t="shared" si="5"/>
        <v>0</v>
      </c>
      <c r="AA96">
        <v>2.1</v>
      </c>
    </row>
    <row r="97" spans="1:27" x14ac:dyDescent="0.25">
      <c r="A97" s="43">
        <v>36</v>
      </c>
      <c r="B97" s="43">
        <v>12</v>
      </c>
      <c r="C97" s="43">
        <v>2</v>
      </c>
      <c r="D97" s="43">
        <v>2</v>
      </c>
      <c r="E97" s="43">
        <v>130422</v>
      </c>
      <c r="F97" s="43">
        <v>94820</v>
      </c>
      <c r="G97" s="43" t="s">
        <v>165</v>
      </c>
      <c r="H97">
        <v>12</v>
      </c>
      <c r="I97">
        <v>1830</v>
      </c>
      <c r="J97">
        <v>420</v>
      </c>
      <c r="K97" s="43">
        <v>19.600000000000001</v>
      </c>
      <c r="L97" s="22">
        <v>18</v>
      </c>
      <c r="M97" s="7">
        <v>18</v>
      </c>
      <c r="N97" s="40">
        <f t="shared" si="3"/>
        <v>0.91836734693877542</v>
      </c>
      <c r="O97" s="40">
        <f t="shared" si="4"/>
        <v>0.91836734693877542</v>
      </c>
      <c r="P97" s="38">
        <v>1.7</v>
      </c>
      <c r="Q97" s="72">
        <f>VLOOKUP('All inst data'!A97,'all mice (except april 2012)'!$A$2:$G$218,7,FALSE)</f>
        <v>102</v>
      </c>
      <c r="S97" s="22">
        <v>96</v>
      </c>
      <c r="T97" s="22">
        <v>12</v>
      </c>
      <c r="U97" s="22">
        <v>3</v>
      </c>
      <c r="V97">
        <v>130520</v>
      </c>
      <c r="W97" s="22" t="s">
        <v>175</v>
      </c>
      <c r="X97" s="7">
        <v>33.5</v>
      </c>
      <c r="Z97" s="40">
        <f t="shared" si="5"/>
        <v>0</v>
      </c>
      <c r="AA97">
        <v>2.1</v>
      </c>
    </row>
    <row r="98" spans="1:27" x14ac:dyDescent="0.25">
      <c r="A98" s="43">
        <v>25</v>
      </c>
      <c r="B98" s="43">
        <v>1</v>
      </c>
      <c r="C98" s="43">
        <v>2</v>
      </c>
      <c r="D98" s="43">
        <v>3</v>
      </c>
      <c r="E98" s="43">
        <v>130423</v>
      </c>
      <c r="F98" s="43">
        <v>90927</v>
      </c>
      <c r="G98" s="43" t="s">
        <v>129</v>
      </c>
      <c r="H98">
        <v>1</v>
      </c>
      <c r="I98">
        <v>1718</v>
      </c>
      <c r="J98">
        <v>407</v>
      </c>
      <c r="K98" s="43">
        <v>29.4</v>
      </c>
      <c r="L98" s="22">
        <v>25.9</v>
      </c>
      <c r="M98" s="7">
        <v>24.9</v>
      </c>
      <c r="N98" s="40">
        <f t="shared" si="3"/>
        <v>0.88095238095238093</v>
      </c>
      <c r="O98" s="40">
        <f t="shared" si="4"/>
        <v>0.84693877551020402</v>
      </c>
      <c r="P98" s="38">
        <v>2.2000000000000002</v>
      </c>
      <c r="Q98" s="72">
        <f>VLOOKUP('All inst data'!A98,'all mice (except april 2012)'!$A$2:$G$218,7,FALSE)</f>
        <v>122</v>
      </c>
      <c r="S98" s="22">
        <v>97</v>
      </c>
      <c r="T98" s="22">
        <v>13</v>
      </c>
      <c r="U98" s="22">
        <v>3</v>
      </c>
      <c r="V98">
        <v>130528</v>
      </c>
      <c r="W98" s="22" t="s">
        <v>170</v>
      </c>
      <c r="X98" s="7">
        <v>41.2</v>
      </c>
      <c r="Z98" s="40">
        <f t="shared" si="5"/>
        <v>0</v>
      </c>
      <c r="AA98">
        <v>1.5</v>
      </c>
    </row>
    <row r="99" spans="1:27" x14ac:dyDescent="0.25">
      <c r="A99" s="43">
        <v>26</v>
      </c>
      <c r="B99" s="43">
        <v>2</v>
      </c>
      <c r="C99" s="43">
        <v>2</v>
      </c>
      <c r="D99" s="43">
        <v>3</v>
      </c>
      <c r="E99" s="43">
        <v>130423</v>
      </c>
      <c r="F99" s="43">
        <v>90927</v>
      </c>
      <c r="G99" s="43" t="s">
        <v>129</v>
      </c>
      <c r="H99">
        <v>2</v>
      </c>
      <c r="I99">
        <v>1266</v>
      </c>
      <c r="J99">
        <v>319</v>
      </c>
      <c r="K99" s="22">
        <v>27.4</v>
      </c>
      <c r="L99" s="22">
        <v>25.3</v>
      </c>
      <c r="M99" s="7">
        <v>24.9</v>
      </c>
      <c r="N99" s="40">
        <f t="shared" si="3"/>
        <v>0.92335766423357668</v>
      </c>
      <c r="O99" s="40">
        <f t="shared" si="4"/>
        <v>0.90875912408759119</v>
      </c>
      <c r="P99" s="38">
        <v>2.2000000000000002</v>
      </c>
      <c r="Q99" s="72">
        <f>VLOOKUP('All inst data'!A99,'all mice (except april 2012)'!$A$2:$G$218,7,FALSE)</f>
        <v>122</v>
      </c>
      <c r="S99" s="22">
        <v>98</v>
      </c>
      <c r="T99" s="22">
        <v>14</v>
      </c>
      <c r="U99" s="22">
        <v>3</v>
      </c>
      <c r="V99">
        <v>130528</v>
      </c>
      <c r="W99" s="22" t="s">
        <v>170</v>
      </c>
      <c r="X99" s="7">
        <v>41.8</v>
      </c>
      <c r="Z99" s="40">
        <f t="shared" si="5"/>
        <v>0</v>
      </c>
      <c r="AA99">
        <v>1.5</v>
      </c>
    </row>
    <row r="100" spans="1:27" x14ac:dyDescent="0.25">
      <c r="A100" s="43">
        <v>27</v>
      </c>
      <c r="B100" s="43">
        <v>3</v>
      </c>
      <c r="C100" s="43">
        <v>2</v>
      </c>
      <c r="D100" s="43">
        <v>3</v>
      </c>
      <c r="E100" s="43">
        <v>130423</v>
      </c>
      <c r="F100" s="43">
        <v>90927</v>
      </c>
      <c r="G100" s="43" t="s">
        <v>129</v>
      </c>
      <c r="H100">
        <v>3</v>
      </c>
      <c r="I100">
        <v>1</v>
      </c>
      <c r="J100">
        <v>1</v>
      </c>
      <c r="K100" s="43">
        <v>27.7</v>
      </c>
      <c r="L100" s="22">
        <v>23.4</v>
      </c>
      <c r="M100" s="7">
        <v>22.6</v>
      </c>
      <c r="N100" s="40">
        <f t="shared" si="3"/>
        <v>0.84476534296028882</v>
      </c>
      <c r="O100" s="40">
        <f t="shared" si="4"/>
        <v>0.81588447653429608</v>
      </c>
      <c r="P100" s="4">
        <v>2.2000000000000002</v>
      </c>
      <c r="Q100" s="72">
        <f>VLOOKUP('All inst data'!A100,'all mice (except april 2012)'!$A$2:$G$218,7,FALSE)</f>
        <v>122</v>
      </c>
      <c r="S100" s="22">
        <v>99</v>
      </c>
      <c r="T100" s="22">
        <v>15</v>
      </c>
      <c r="U100" s="22">
        <v>3</v>
      </c>
      <c r="V100">
        <v>130528</v>
      </c>
      <c r="W100" s="22" t="s">
        <v>170</v>
      </c>
      <c r="X100" s="7">
        <v>43.4</v>
      </c>
      <c r="Z100" s="40">
        <f t="shared" si="5"/>
        <v>0</v>
      </c>
      <c r="AA100">
        <v>1.5</v>
      </c>
    </row>
    <row r="101" spans="1:27" x14ac:dyDescent="0.25">
      <c r="A101" s="43">
        <v>28</v>
      </c>
      <c r="B101" s="43">
        <v>4</v>
      </c>
      <c r="C101" s="43">
        <v>2</v>
      </c>
      <c r="D101" s="43">
        <v>3</v>
      </c>
      <c r="E101" s="43">
        <v>130423</v>
      </c>
      <c r="F101" s="43">
        <v>90927</v>
      </c>
      <c r="G101" s="43" t="s">
        <v>185</v>
      </c>
      <c r="H101">
        <v>4</v>
      </c>
      <c r="I101">
        <v>0</v>
      </c>
      <c r="J101">
        <v>0</v>
      </c>
      <c r="K101" s="43">
        <v>26.7</v>
      </c>
      <c r="L101" s="22">
        <v>22.8</v>
      </c>
      <c r="M101" s="7">
        <v>22.1</v>
      </c>
      <c r="N101" s="40">
        <f t="shared" si="3"/>
        <v>0.85393258426966301</v>
      </c>
      <c r="O101" s="40">
        <f t="shared" si="4"/>
        <v>0.82771535580524347</v>
      </c>
      <c r="P101" s="38">
        <v>2.1</v>
      </c>
      <c r="Q101" s="72">
        <f>VLOOKUP('All inst data'!A101,'all mice (except april 2012)'!$A$2:$G$218,7,FALSE)</f>
        <v>110</v>
      </c>
      <c r="S101" s="22">
        <v>100</v>
      </c>
      <c r="T101" s="22">
        <v>16</v>
      </c>
      <c r="U101" s="22">
        <v>3</v>
      </c>
      <c r="V101">
        <v>130528</v>
      </c>
      <c r="W101" s="22" t="s">
        <v>165</v>
      </c>
      <c r="X101" s="7">
        <v>21.8</v>
      </c>
      <c r="Z101" s="40">
        <f t="shared" si="5"/>
        <v>0</v>
      </c>
      <c r="AA101">
        <v>1.6</v>
      </c>
    </row>
    <row r="102" spans="1:27" x14ac:dyDescent="0.25">
      <c r="A102" s="43">
        <v>29</v>
      </c>
      <c r="B102" s="43">
        <v>5</v>
      </c>
      <c r="C102" s="43">
        <v>2</v>
      </c>
      <c r="D102" s="43">
        <v>3</v>
      </c>
      <c r="E102" s="43">
        <v>130423</v>
      </c>
      <c r="F102" s="43">
        <v>90927</v>
      </c>
      <c r="G102" s="43" t="s">
        <v>185</v>
      </c>
      <c r="H102">
        <v>5</v>
      </c>
      <c r="I102">
        <v>1303</v>
      </c>
      <c r="J102">
        <v>325</v>
      </c>
      <c r="K102" s="43">
        <v>23.4</v>
      </c>
      <c r="L102" s="22">
        <v>20.7</v>
      </c>
      <c r="M102" s="7">
        <v>20.3</v>
      </c>
      <c r="N102" s="40">
        <f t="shared" si="3"/>
        <v>0.88461538461538469</v>
      </c>
      <c r="O102" s="40">
        <f t="shared" si="4"/>
        <v>0.86752136752136766</v>
      </c>
      <c r="P102" s="38">
        <v>2.1</v>
      </c>
      <c r="Q102" s="72">
        <f>VLOOKUP('All inst data'!A102,'all mice (except april 2012)'!$A$2:$G$218,7,FALSE)</f>
        <v>110</v>
      </c>
      <c r="S102" s="22">
        <v>101</v>
      </c>
      <c r="T102" s="22">
        <v>17</v>
      </c>
      <c r="U102" s="22">
        <v>3</v>
      </c>
      <c r="V102">
        <v>130528</v>
      </c>
      <c r="W102" s="22" t="s">
        <v>165</v>
      </c>
      <c r="X102" s="7">
        <v>21.1</v>
      </c>
      <c r="Z102" s="40">
        <f t="shared" si="5"/>
        <v>0</v>
      </c>
      <c r="AA102">
        <v>1.6</v>
      </c>
    </row>
    <row r="103" spans="1:27" x14ac:dyDescent="0.25">
      <c r="A103" s="43">
        <v>30</v>
      </c>
      <c r="B103" s="43">
        <v>6</v>
      </c>
      <c r="C103" s="43">
        <v>2</v>
      </c>
      <c r="D103" s="43">
        <v>3</v>
      </c>
      <c r="E103" s="43">
        <v>130423</v>
      </c>
      <c r="F103" s="43">
        <v>90927</v>
      </c>
      <c r="G103" s="43" t="s">
        <v>175</v>
      </c>
      <c r="H103">
        <v>6</v>
      </c>
      <c r="I103">
        <v>1919</v>
      </c>
      <c r="J103">
        <v>441</v>
      </c>
      <c r="K103" s="43">
        <v>36.200000000000003</v>
      </c>
      <c r="L103" s="22">
        <v>31.3</v>
      </c>
      <c r="M103" s="7">
        <v>31.5</v>
      </c>
      <c r="N103" s="40">
        <f t="shared" si="3"/>
        <v>0.86464088397790051</v>
      </c>
      <c r="O103" s="40">
        <f t="shared" si="4"/>
        <v>0.87016574585635353</v>
      </c>
      <c r="P103" s="38">
        <v>2.2000000000000002</v>
      </c>
      <c r="Q103" s="72">
        <f>VLOOKUP('All inst data'!A103,'all mice (except april 2012)'!$A$2:$G$218,7,FALSE)</f>
        <v>119</v>
      </c>
      <c r="S103" s="22">
        <v>102</v>
      </c>
      <c r="T103" s="22">
        <v>18</v>
      </c>
      <c r="U103" s="22">
        <v>3</v>
      </c>
      <c r="V103">
        <v>130602</v>
      </c>
      <c r="W103" s="22" t="s">
        <v>171</v>
      </c>
      <c r="X103" s="7">
        <v>22.9</v>
      </c>
      <c r="Z103" s="40">
        <f t="shared" si="5"/>
        <v>0</v>
      </c>
      <c r="AA103">
        <v>2.8</v>
      </c>
    </row>
    <row r="104" spans="1:27" x14ac:dyDescent="0.25">
      <c r="A104" s="43">
        <v>31</v>
      </c>
      <c r="B104" s="43">
        <v>7</v>
      </c>
      <c r="C104" s="43">
        <v>2</v>
      </c>
      <c r="D104" s="43">
        <v>3</v>
      </c>
      <c r="E104" s="43">
        <v>130423</v>
      </c>
      <c r="F104" s="43">
        <v>90928</v>
      </c>
      <c r="G104" s="43" t="s">
        <v>175</v>
      </c>
      <c r="H104">
        <v>7</v>
      </c>
      <c r="I104">
        <v>568</v>
      </c>
      <c r="J104">
        <v>183</v>
      </c>
      <c r="K104" s="43">
        <v>31.3</v>
      </c>
      <c r="L104" s="22">
        <v>26.8</v>
      </c>
      <c r="M104" s="7">
        <v>26.1</v>
      </c>
      <c r="N104" s="40">
        <f t="shared" si="3"/>
        <v>0.85623003194888181</v>
      </c>
      <c r="O104" s="40">
        <f t="shared" si="4"/>
        <v>0.83386581469648569</v>
      </c>
      <c r="P104" s="38">
        <v>2.2000000000000002</v>
      </c>
      <c r="Q104" s="72">
        <f>VLOOKUP('All inst data'!A104,'all mice (except april 2012)'!$A$2:$G$218,7,FALSE)</f>
        <v>119</v>
      </c>
      <c r="S104" s="22">
        <v>103</v>
      </c>
      <c r="T104" s="22">
        <v>19</v>
      </c>
      <c r="U104" s="22">
        <v>3</v>
      </c>
      <c r="V104">
        <v>130602</v>
      </c>
      <c r="W104" s="22" t="s">
        <v>171</v>
      </c>
      <c r="X104" s="7">
        <v>23.3</v>
      </c>
      <c r="Z104" s="40">
        <f t="shared" si="5"/>
        <v>0</v>
      </c>
      <c r="AA104">
        <v>2.8</v>
      </c>
    </row>
    <row r="105" spans="1:27" x14ac:dyDescent="0.25">
      <c r="A105" s="43">
        <v>32</v>
      </c>
      <c r="B105" s="43">
        <v>8</v>
      </c>
      <c r="C105" s="43">
        <v>2</v>
      </c>
      <c r="D105" s="43">
        <v>3</v>
      </c>
      <c r="E105" s="43">
        <v>130423</v>
      </c>
      <c r="F105" s="43">
        <v>90928</v>
      </c>
      <c r="G105" s="43" t="s">
        <v>50</v>
      </c>
      <c r="H105">
        <v>8</v>
      </c>
      <c r="I105">
        <v>1087</v>
      </c>
      <c r="J105">
        <v>281</v>
      </c>
      <c r="K105" s="22">
        <v>23.2</v>
      </c>
      <c r="L105" s="22">
        <v>20.8</v>
      </c>
      <c r="M105" s="7">
        <v>19.7</v>
      </c>
      <c r="N105" s="40">
        <f t="shared" si="3"/>
        <v>0.89655172413793105</v>
      </c>
      <c r="O105" s="40">
        <f t="shared" si="4"/>
        <v>0.84913793103448276</v>
      </c>
      <c r="P105" s="38">
        <v>2</v>
      </c>
      <c r="Q105" s="72">
        <f>VLOOKUP('All inst data'!A105,'all mice (except april 2012)'!$A$2:$G$218,7,FALSE)</f>
        <v>119</v>
      </c>
      <c r="S105" s="22">
        <v>104</v>
      </c>
      <c r="T105" s="22">
        <v>20</v>
      </c>
      <c r="U105" s="22">
        <v>3</v>
      </c>
      <c r="V105">
        <v>130602</v>
      </c>
      <c r="W105" s="22" t="s">
        <v>171</v>
      </c>
      <c r="X105" s="7">
        <v>23.6</v>
      </c>
      <c r="Z105" s="40">
        <f t="shared" si="5"/>
        <v>0</v>
      </c>
      <c r="AA105">
        <v>2.8</v>
      </c>
    </row>
    <row r="106" spans="1:27" x14ac:dyDescent="0.25">
      <c r="A106" s="43">
        <v>33</v>
      </c>
      <c r="B106" s="43">
        <v>9</v>
      </c>
      <c r="C106" s="43">
        <v>2</v>
      </c>
      <c r="D106" s="43">
        <v>3</v>
      </c>
      <c r="E106" s="43">
        <v>130423</v>
      </c>
      <c r="F106" s="43">
        <v>90928</v>
      </c>
      <c r="G106" s="43" t="s">
        <v>50</v>
      </c>
      <c r="H106">
        <v>9</v>
      </c>
      <c r="I106">
        <v>1</v>
      </c>
      <c r="J106">
        <v>1</v>
      </c>
      <c r="K106" s="43">
        <v>24.8</v>
      </c>
      <c r="L106" s="22">
        <v>22</v>
      </c>
      <c r="M106" s="7">
        <v>21.4</v>
      </c>
      <c r="N106" s="40">
        <f t="shared" si="3"/>
        <v>0.88709677419354838</v>
      </c>
      <c r="O106" s="40">
        <f t="shared" si="4"/>
        <v>0.86290322580645151</v>
      </c>
      <c r="P106" s="38">
        <v>2</v>
      </c>
      <c r="Q106" s="72">
        <f>VLOOKUP('All inst data'!A106,'all mice (except april 2012)'!$A$2:$G$218,7,FALSE)</f>
        <v>119</v>
      </c>
      <c r="S106" s="22">
        <v>105</v>
      </c>
      <c r="T106" s="22">
        <v>21</v>
      </c>
      <c r="U106" s="22">
        <v>3</v>
      </c>
      <c r="V106">
        <v>130602</v>
      </c>
      <c r="W106" s="22" t="s">
        <v>177</v>
      </c>
      <c r="X106" s="7">
        <v>30</v>
      </c>
      <c r="Z106" s="40">
        <f t="shared" si="5"/>
        <v>0</v>
      </c>
      <c r="AA106">
        <v>2.4500000000000002</v>
      </c>
    </row>
    <row r="107" spans="1:27" x14ac:dyDescent="0.25">
      <c r="A107" s="13">
        <v>34</v>
      </c>
      <c r="B107" s="13">
        <v>10</v>
      </c>
      <c r="C107" s="13">
        <v>2</v>
      </c>
      <c r="D107" s="13">
        <v>3</v>
      </c>
      <c r="E107" s="13">
        <v>130423</v>
      </c>
      <c r="F107" s="13">
        <v>93016</v>
      </c>
      <c r="G107" s="13" t="s">
        <v>50</v>
      </c>
      <c r="H107" s="13">
        <v>10</v>
      </c>
      <c r="I107" s="13">
        <v>268</v>
      </c>
      <c r="J107" s="13">
        <v>121</v>
      </c>
      <c r="K107" s="13">
        <v>29.5</v>
      </c>
      <c r="L107" s="13">
        <v>26.5</v>
      </c>
      <c r="M107" s="36">
        <v>25</v>
      </c>
      <c r="N107" s="40">
        <f t="shared" si="3"/>
        <v>0.89830508474576276</v>
      </c>
      <c r="O107" s="40">
        <f t="shared" si="4"/>
        <v>0.84745762711864403</v>
      </c>
      <c r="P107" s="38">
        <v>2</v>
      </c>
      <c r="Q107" s="72">
        <f>VLOOKUP('All inst data'!A107,'all mice (except april 2012)'!$A$2:$G$218,7,FALSE)</f>
        <v>119</v>
      </c>
      <c r="S107" s="22">
        <v>106</v>
      </c>
      <c r="T107" s="22">
        <v>22</v>
      </c>
      <c r="U107" s="22">
        <v>3</v>
      </c>
      <c r="V107">
        <v>130602</v>
      </c>
      <c r="W107" s="22" t="s">
        <v>177</v>
      </c>
      <c r="X107" s="7">
        <v>30.8</v>
      </c>
      <c r="Z107" s="40">
        <f t="shared" si="5"/>
        <v>0</v>
      </c>
      <c r="AA107">
        <v>2.4500000000000002</v>
      </c>
    </row>
    <row r="108" spans="1:27" x14ac:dyDescent="0.25">
      <c r="A108" s="43">
        <v>35</v>
      </c>
      <c r="B108" s="43">
        <v>11</v>
      </c>
      <c r="C108" s="43">
        <v>2</v>
      </c>
      <c r="D108" s="43">
        <v>3</v>
      </c>
      <c r="E108" s="43">
        <v>130423</v>
      </c>
      <c r="F108" s="43">
        <v>90928</v>
      </c>
      <c r="G108" s="43" t="s">
        <v>179</v>
      </c>
      <c r="H108">
        <v>11</v>
      </c>
      <c r="I108">
        <v>645</v>
      </c>
      <c r="J108">
        <v>196</v>
      </c>
      <c r="K108" s="22">
        <v>24.9</v>
      </c>
      <c r="L108" s="22">
        <v>22.3</v>
      </c>
      <c r="M108" s="7">
        <v>21.4</v>
      </c>
      <c r="N108" s="40">
        <f t="shared" si="3"/>
        <v>0.89558232931726911</v>
      </c>
      <c r="O108" s="40">
        <f t="shared" si="4"/>
        <v>0.85943775100401609</v>
      </c>
      <c r="P108" s="38">
        <v>2.5</v>
      </c>
      <c r="Q108" s="72">
        <f>VLOOKUP('All inst data'!A108,'all mice (except april 2012)'!$A$2:$G$218,7,FALSE)</f>
        <v>113</v>
      </c>
      <c r="S108" s="22">
        <v>107</v>
      </c>
      <c r="T108" s="22">
        <v>23</v>
      </c>
      <c r="U108" s="22">
        <v>3</v>
      </c>
      <c r="V108">
        <v>130610</v>
      </c>
      <c r="W108" s="22" t="s">
        <v>174</v>
      </c>
      <c r="X108" s="7">
        <v>25.5</v>
      </c>
      <c r="Z108" s="40">
        <f t="shared" si="5"/>
        <v>0</v>
      </c>
      <c r="AA108">
        <v>3.3</v>
      </c>
    </row>
    <row r="109" spans="1:27" x14ac:dyDescent="0.25">
      <c r="A109" s="43">
        <v>36</v>
      </c>
      <c r="B109" s="43">
        <v>12</v>
      </c>
      <c r="C109" s="43">
        <v>2</v>
      </c>
      <c r="D109" s="43">
        <v>3</v>
      </c>
      <c r="E109" s="43">
        <v>130423</v>
      </c>
      <c r="F109" s="43">
        <v>90928</v>
      </c>
      <c r="G109" s="43" t="s">
        <v>165</v>
      </c>
      <c r="H109">
        <v>12</v>
      </c>
      <c r="I109">
        <v>1562</v>
      </c>
      <c r="J109">
        <v>366</v>
      </c>
      <c r="K109" s="43">
        <v>19.600000000000001</v>
      </c>
      <c r="L109" s="22">
        <v>17.7</v>
      </c>
      <c r="M109" s="7">
        <v>18</v>
      </c>
      <c r="N109" s="40">
        <f t="shared" si="3"/>
        <v>0.90306122448979587</v>
      </c>
      <c r="O109" s="40">
        <f t="shared" si="4"/>
        <v>0.91836734693877542</v>
      </c>
      <c r="P109" s="38">
        <v>1.9</v>
      </c>
      <c r="Q109" s="72">
        <f>VLOOKUP('All inst data'!A109,'all mice (except april 2012)'!$A$2:$G$218,7,FALSE)</f>
        <v>102</v>
      </c>
      <c r="S109" s="22">
        <v>108</v>
      </c>
      <c r="T109" s="22">
        <v>24</v>
      </c>
      <c r="U109" s="22">
        <v>3</v>
      </c>
      <c r="V109">
        <v>130610</v>
      </c>
      <c r="W109" s="22" t="s">
        <v>174</v>
      </c>
      <c r="X109" s="7">
        <v>23.5</v>
      </c>
      <c r="Z109" s="40">
        <f t="shared" si="5"/>
        <v>0</v>
      </c>
      <c r="AA109">
        <v>3.3</v>
      </c>
    </row>
    <row r="110" spans="1:27" x14ac:dyDescent="0.25">
      <c r="A110" s="43">
        <v>37</v>
      </c>
      <c r="B110" s="43">
        <v>13</v>
      </c>
      <c r="C110" s="43">
        <v>2</v>
      </c>
      <c r="D110" s="43">
        <v>1</v>
      </c>
      <c r="E110" s="43">
        <v>130428</v>
      </c>
      <c r="F110" s="43">
        <v>115029</v>
      </c>
      <c r="G110" s="43" t="s">
        <v>166</v>
      </c>
      <c r="H110">
        <v>1</v>
      </c>
      <c r="I110">
        <v>1568</v>
      </c>
      <c r="J110">
        <v>348</v>
      </c>
      <c r="K110" s="23">
        <v>36</v>
      </c>
      <c r="L110" s="22">
        <v>31.5</v>
      </c>
      <c r="M110" s="7">
        <v>30.2</v>
      </c>
      <c r="N110" s="40">
        <f t="shared" si="3"/>
        <v>0.875</v>
      </c>
      <c r="O110" s="40">
        <f t="shared" si="4"/>
        <v>0.83888888888888891</v>
      </c>
      <c r="P110" s="33">
        <v>2.35</v>
      </c>
      <c r="Q110" s="72">
        <f>VLOOKUP('All inst data'!A110,'all mice (except april 2012)'!$A$2:$G$218,7,FALSE)</f>
        <v>115</v>
      </c>
      <c r="S110" s="22">
        <v>109</v>
      </c>
      <c r="T110" s="22">
        <v>25</v>
      </c>
      <c r="U110" s="22">
        <v>3</v>
      </c>
      <c r="V110">
        <v>130610</v>
      </c>
      <c r="W110" s="22" t="s">
        <v>171</v>
      </c>
      <c r="X110" s="7">
        <v>23.5</v>
      </c>
      <c r="Z110" s="40">
        <f t="shared" si="5"/>
        <v>0</v>
      </c>
      <c r="AA110">
        <v>3.1</v>
      </c>
    </row>
    <row r="111" spans="1:27" x14ac:dyDescent="0.25">
      <c r="A111" s="43">
        <v>38</v>
      </c>
      <c r="B111" s="43">
        <v>14</v>
      </c>
      <c r="C111" s="43">
        <v>2</v>
      </c>
      <c r="D111" s="43">
        <v>1</v>
      </c>
      <c r="E111" s="43">
        <v>130428</v>
      </c>
      <c r="F111" s="43">
        <v>115029</v>
      </c>
      <c r="G111" s="43" t="s">
        <v>166</v>
      </c>
      <c r="H111">
        <v>2</v>
      </c>
      <c r="I111">
        <v>742</v>
      </c>
      <c r="J111">
        <v>210</v>
      </c>
      <c r="K111" s="22">
        <v>37.299999999999997</v>
      </c>
      <c r="L111" s="22">
        <v>32.299999999999997</v>
      </c>
      <c r="M111" s="7">
        <v>30.1</v>
      </c>
      <c r="N111" s="40">
        <f t="shared" si="3"/>
        <v>0.86595174262734587</v>
      </c>
      <c r="O111" s="40">
        <f t="shared" si="4"/>
        <v>0.80697050938337811</v>
      </c>
      <c r="P111" s="33">
        <v>2.35</v>
      </c>
      <c r="Q111" s="72">
        <f>VLOOKUP('All inst data'!A111,'all mice (except april 2012)'!$A$2:$G$218,7,FALSE)</f>
        <v>115</v>
      </c>
      <c r="S111" s="22">
        <v>110</v>
      </c>
      <c r="T111" s="22">
        <v>26</v>
      </c>
      <c r="U111" s="22">
        <v>3</v>
      </c>
      <c r="V111">
        <v>130610</v>
      </c>
      <c r="W111" s="22" t="s">
        <v>171</v>
      </c>
      <c r="X111" s="7">
        <v>21.3</v>
      </c>
      <c r="Z111" s="40">
        <f t="shared" si="5"/>
        <v>0</v>
      </c>
      <c r="AA111">
        <v>3.1</v>
      </c>
    </row>
    <row r="112" spans="1:27" x14ac:dyDescent="0.25">
      <c r="A112" s="43">
        <v>39</v>
      </c>
      <c r="B112" s="43">
        <v>15</v>
      </c>
      <c r="C112" s="43">
        <v>2</v>
      </c>
      <c r="D112" s="43">
        <v>1</v>
      </c>
      <c r="E112" s="43">
        <v>130428</v>
      </c>
      <c r="F112" s="43">
        <v>115029</v>
      </c>
      <c r="G112" s="43" t="s">
        <v>166</v>
      </c>
      <c r="H112">
        <v>3</v>
      </c>
      <c r="I112">
        <v>1464</v>
      </c>
      <c r="J112">
        <v>340</v>
      </c>
      <c r="K112" s="22">
        <v>28.9</v>
      </c>
      <c r="L112" s="22">
        <v>25.5</v>
      </c>
      <c r="M112" s="7">
        <v>24.1</v>
      </c>
      <c r="N112" s="40">
        <f t="shared" si="3"/>
        <v>0.88235294117647067</v>
      </c>
      <c r="O112" s="40">
        <f t="shared" si="4"/>
        <v>0.83391003460207624</v>
      </c>
      <c r="P112" s="33">
        <v>2.35</v>
      </c>
      <c r="Q112" s="72">
        <f>VLOOKUP('All inst data'!A112,'all mice (except april 2012)'!$A$2:$G$218,7,FALSE)</f>
        <v>115</v>
      </c>
      <c r="S112" s="22">
        <v>111</v>
      </c>
      <c r="T112" s="22">
        <v>27</v>
      </c>
      <c r="U112" s="22">
        <v>3</v>
      </c>
      <c r="V112">
        <v>130610</v>
      </c>
      <c r="W112" s="22" t="s">
        <v>171</v>
      </c>
      <c r="X112" s="7">
        <v>21.4</v>
      </c>
      <c r="Z112" s="40">
        <f t="shared" si="5"/>
        <v>0</v>
      </c>
      <c r="AA112">
        <v>3.1</v>
      </c>
    </row>
    <row r="113" spans="1:27" x14ac:dyDescent="0.25">
      <c r="A113" s="43">
        <v>40</v>
      </c>
      <c r="B113" s="43">
        <v>16</v>
      </c>
      <c r="C113" s="43">
        <v>2</v>
      </c>
      <c r="D113" s="43">
        <v>1</v>
      </c>
      <c r="E113" s="43">
        <v>130428</v>
      </c>
      <c r="F113" s="43">
        <v>115029</v>
      </c>
      <c r="G113" s="43" t="s">
        <v>177</v>
      </c>
      <c r="H113">
        <v>4</v>
      </c>
      <c r="I113">
        <v>476</v>
      </c>
      <c r="J113">
        <v>154</v>
      </c>
      <c r="K113" s="22">
        <v>31.6</v>
      </c>
      <c r="L113" s="22">
        <v>26.4</v>
      </c>
      <c r="M113" s="7">
        <v>24.7</v>
      </c>
      <c r="N113" s="40">
        <f t="shared" si="3"/>
        <v>0.83544303797468344</v>
      </c>
      <c r="O113" s="40">
        <f t="shared" si="4"/>
        <v>0.78164556962025311</v>
      </c>
      <c r="P113" s="39">
        <v>3.3</v>
      </c>
      <c r="Q113" s="72">
        <f>VLOOKUP('All inst data'!A113,'all mice (except april 2012)'!$A$2:$G$218,7,FALSE)</f>
        <v>113</v>
      </c>
      <c r="S113" s="22">
        <v>112</v>
      </c>
      <c r="T113" s="22">
        <v>1</v>
      </c>
      <c r="U113" s="22">
        <v>4</v>
      </c>
      <c r="V113">
        <v>130614</v>
      </c>
      <c r="W113" s="22" t="s">
        <v>104</v>
      </c>
      <c r="X113" s="7">
        <v>25.2</v>
      </c>
      <c r="Z113" s="40">
        <f t="shared" si="5"/>
        <v>0</v>
      </c>
      <c r="AA113">
        <v>3.3</v>
      </c>
    </row>
    <row r="114" spans="1:27" x14ac:dyDescent="0.25">
      <c r="A114" s="43">
        <v>41</v>
      </c>
      <c r="B114" s="43">
        <v>17</v>
      </c>
      <c r="C114" s="43">
        <v>2</v>
      </c>
      <c r="D114" s="43">
        <v>1</v>
      </c>
      <c r="E114" s="43">
        <v>130428</v>
      </c>
      <c r="F114" s="43">
        <v>115029</v>
      </c>
      <c r="G114" s="43" t="s">
        <v>177</v>
      </c>
      <c r="H114">
        <v>5</v>
      </c>
      <c r="I114">
        <v>1633</v>
      </c>
      <c r="J114">
        <v>388</v>
      </c>
      <c r="K114" s="43">
        <v>32.700000000000003</v>
      </c>
      <c r="L114" s="22">
        <v>28</v>
      </c>
      <c r="M114" s="7">
        <v>26.1</v>
      </c>
      <c r="N114" s="40">
        <f t="shared" si="3"/>
        <v>0.85626911314984699</v>
      </c>
      <c r="O114" s="40">
        <f t="shared" si="4"/>
        <v>0.79816513761467889</v>
      </c>
      <c r="P114" s="39">
        <v>3.3</v>
      </c>
      <c r="Q114" s="72">
        <f>VLOOKUP('All inst data'!A114,'all mice (except april 2012)'!$A$2:$G$218,7,FALSE)</f>
        <v>113</v>
      </c>
      <c r="S114" s="22">
        <v>113</v>
      </c>
      <c r="T114" s="22">
        <v>2</v>
      </c>
      <c r="U114" s="22">
        <v>4</v>
      </c>
      <c r="V114">
        <v>130614</v>
      </c>
      <c r="W114" s="22" t="s">
        <v>104</v>
      </c>
      <c r="X114" s="7">
        <v>27</v>
      </c>
      <c r="Z114" s="40">
        <f t="shared" si="5"/>
        <v>0</v>
      </c>
      <c r="AA114">
        <v>3.3</v>
      </c>
    </row>
    <row r="115" spans="1:27" x14ac:dyDescent="0.25">
      <c r="A115" s="43">
        <v>42</v>
      </c>
      <c r="B115" s="43">
        <v>18</v>
      </c>
      <c r="C115" s="43">
        <v>2</v>
      </c>
      <c r="D115" s="43">
        <v>1</v>
      </c>
      <c r="E115" s="43">
        <v>130428</v>
      </c>
      <c r="F115" s="43">
        <v>115029</v>
      </c>
      <c r="G115" s="43" t="s">
        <v>180</v>
      </c>
      <c r="H115">
        <v>6</v>
      </c>
      <c r="I115">
        <v>18</v>
      </c>
      <c r="J115">
        <v>17</v>
      </c>
      <c r="K115" s="22">
        <v>23.8</v>
      </c>
      <c r="L115" s="22">
        <v>21.5</v>
      </c>
      <c r="M115" s="7">
        <v>19.899999999999999</v>
      </c>
      <c r="N115" s="40">
        <f t="shared" si="3"/>
        <v>0.90336134453781514</v>
      </c>
      <c r="O115" s="40">
        <f t="shared" si="4"/>
        <v>0.83613445378151252</v>
      </c>
      <c r="P115" s="39">
        <v>2</v>
      </c>
      <c r="Q115" s="72">
        <f>VLOOKUP('All inst data'!A115,'all mice (except april 2012)'!$A$2:$G$218,7,FALSE)</f>
        <v>104</v>
      </c>
      <c r="S115" s="22">
        <v>114</v>
      </c>
      <c r="T115" s="22">
        <v>3</v>
      </c>
      <c r="U115" s="22">
        <v>4</v>
      </c>
      <c r="V115">
        <v>130614</v>
      </c>
      <c r="W115" s="22" t="s">
        <v>105</v>
      </c>
      <c r="X115" s="7">
        <v>22.2</v>
      </c>
      <c r="Z115" s="40">
        <f t="shared" si="5"/>
        <v>0</v>
      </c>
      <c r="AA115">
        <v>2.1</v>
      </c>
    </row>
    <row r="116" spans="1:27" x14ac:dyDescent="0.25">
      <c r="A116" s="43">
        <v>43</v>
      </c>
      <c r="B116" s="43">
        <v>19</v>
      </c>
      <c r="C116" s="43">
        <v>2</v>
      </c>
      <c r="D116" s="43">
        <v>1</v>
      </c>
      <c r="E116" s="43">
        <v>130428</v>
      </c>
      <c r="F116" s="43">
        <v>115030</v>
      </c>
      <c r="G116" s="43" t="s">
        <v>180</v>
      </c>
      <c r="H116">
        <v>7</v>
      </c>
      <c r="I116">
        <v>280</v>
      </c>
      <c r="J116">
        <v>124</v>
      </c>
      <c r="K116" s="22">
        <v>24.9</v>
      </c>
      <c r="L116" s="22">
        <v>21.2</v>
      </c>
      <c r="M116" s="7">
        <v>20.100000000000001</v>
      </c>
      <c r="N116" s="40">
        <f t="shared" si="3"/>
        <v>0.85140562248995988</v>
      </c>
      <c r="O116" s="40">
        <f t="shared" si="4"/>
        <v>0.80722891566265076</v>
      </c>
      <c r="P116" s="39">
        <v>2</v>
      </c>
      <c r="Q116" s="72">
        <f>VLOOKUP('All inst data'!A116,'all mice (except april 2012)'!$A$2:$G$218,7,FALSE)</f>
        <v>104</v>
      </c>
      <c r="S116" s="22">
        <v>115</v>
      </c>
      <c r="T116" s="22">
        <v>4</v>
      </c>
      <c r="U116" s="22">
        <v>4</v>
      </c>
      <c r="V116">
        <v>130614</v>
      </c>
      <c r="W116" s="22" t="s">
        <v>105</v>
      </c>
      <c r="X116" s="7">
        <v>21.2</v>
      </c>
      <c r="Z116" s="40">
        <f t="shared" si="5"/>
        <v>0</v>
      </c>
      <c r="AA116">
        <v>2.1</v>
      </c>
    </row>
    <row r="117" spans="1:27" x14ac:dyDescent="0.25">
      <c r="A117" s="43">
        <v>44</v>
      </c>
      <c r="B117" s="43">
        <v>20</v>
      </c>
      <c r="C117" s="43">
        <v>2</v>
      </c>
      <c r="D117" s="43">
        <v>1</v>
      </c>
      <c r="E117" s="43">
        <v>130428</v>
      </c>
      <c r="F117" s="43">
        <v>115030</v>
      </c>
      <c r="G117" s="43" t="s">
        <v>180</v>
      </c>
      <c r="H117">
        <v>8</v>
      </c>
      <c r="I117">
        <v>1006</v>
      </c>
      <c r="J117">
        <v>266</v>
      </c>
      <c r="K117" s="43">
        <v>25.4</v>
      </c>
      <c r="L117" s="22">
        <v>22.1</v>
      </c>
      <c r="M117" s="7">
        <v>21.3</v>
      </c>
      <c r="N117" s="40">
        <f t="shared" si="3"/>
        <v>0.87007874015748043</v>
      </c>
      <c r="O117" s="40">
        <f t="shared" si="4"/>
        <v>0.8385826771653544</v>
      </c>
      <c r="P117" s="39">
        <v>2</v>
      </c>
      <c r="Q117" s="72">
        <f>VLOOKUP('All inst data'!A117,'all mice (except april 2012)'!$A$2:$G$218,7,FALSE)</f>
        <v>104</v>
      </c>
      <c r="S117" s="22">
        <v>116</v>
      </c>
      <c r="T117" s="22">
        <v>5</v>
      </c>
      <c r="U117" s="22">
        <v>4</v>
      </c>
      <c r="V117">
        <v>130614</v>
      </c>
      <c r="W117" s="22" t="s">
        <v>106</v>
      </c>
      <c r="X117" s="7">
        <v>35.4</v>
      </c>
      <c r="Z117" s="40">
        <f t="shared" si="5"/>
        <v>0</v>
      </c>
      <c r="AA117">
        <v>2.4</v>
      </c>
    </row>
    <row r="118" spans="1:27" x14ac:dyDescent="0.25">
      <c r="A118" s="43">
        <v>45</v>
      </c>
      <c r="B118" s="43">
        <v>21</v>
      </c>
      <c r="C118" s="43">
        <v>2</v>
      </c>
      <c r="D118" s="43">
        <v>1</v>
      </c>
      <c r="E118" s="43">
        <v>130428</v>
      </c>
      <c r="F118" s="43">
        <v>115030</v>
      </c>
      <c r="G118" s="43" t="s">
        <v>178</v>
      </c>
      <c r="H118">
        <v>9</v>
      </c>
      <c r="I118">
        <v>138</v>
      </c>
      <c r="J118">
        <v>91</v>
      </c>
      <c r="K118" s="43">
        <v>21.6</v>
      </c>
      <c r="L118" s="22">
        <v>19.100000000000001</v>
      </c>
      <c r="M118" s="7">
        <v>18.7</v>
      </c>
      <c r="N118" s="40">
        <f t="shared" si="3"/>
        <v>0.8842592592592593</v>
      </c>
      <c r="O118" s="40">
        <f t="shared" si="4"/>
        <v>0.8657407407407407</v>
      </c>
      <c r="P118" s="39">
        <v>1.9</v>
      </c>
      <c r="Q118" s="72">
        <f>VLOOKUP('All inst data'!A118,'all mice (except april 2012)'!$A$2:$G$218,7,FALSE)</f>
        <v>92</v>
      </c>
      <c r="S118" s="22">
        <v>117</v>
      </c>
      <c r="T118" s="22">
        <v>6</v>
      </c>
      <c r="U118" s="22">
        <v>4</v>
      </c>
      <c r="V118">
        <v>130614</v>
      </c>
      <c r="W118" s="22" t="s">
        <v>106</v>
      </c>
      <c r="X118" s="7">
        <v>37.1</v>
      </c>
      <c r="Z118" s="40">
        <f t="shared" si="5"/>
        <v>0</v>
      </c>
      <c r="AA118">
        <v>2.4</v>
      </c>
    </row>
    <row r="119" spans="1:27" x14ac:dyDescent="0.25">
      <c r="A119" s="43">
        <v>46</v>
      </c>
      <c r="B119" s="43">
        <v>22</v>
      </c>
      <c r="C119" s="43">
        <v>2</v>
      </c>
      <c r="D119" s="43">
        <v>1</v>
      </c>
      <c r="E119" s="43">
        <v>130428</v>
      </c>
      <c r="F119" s="43">
        <v>120820</v>
      </c>
      <c r="G119" s="43" t="s">
        <v>178</v>
      </c>
      <c r="H119">
        <v>10</v>
      </c>
      <c r="I119">
        <v>1887</v>
      </c>
      <c r="J119">
        <v>444</v>
      </c>
      <c r="K119" s="43">
        <v>21.3</v>
      </c>
      <c r="L119" s="22">
        <v>18.8</v>
      </c>
      <c r="M119" s="7">
        <v>19.100000000000001</v>
      </c>
      <c r="N119" s="40">
        <f t="shared" si="3"/>
        <v>0.88262910798122063</v>
      </c>
      <c r="O119" s="40">
        <f t="shared" si="4"/>
        <v>0.89671361502347424</v>
      </c>
      <c r="P119" s="39">
        <v>1.9</v>
      </c>
      <c r="Q119" s="72">
        <f>VLOOKUP('All inst data'!A119,'all mice (except april 2012)'!$A$2:$G$218,7,FALSE)</f>
        <v>92</v>
      </c>
      <c r="S119" s="22">
        <v>118</v>
      </c>
      <c r="T119" s="22">
        <v>7</v>
      </c>
      <c r="U119" s="22">
        <v>4</v>
      </c>
      <c r="V119">
        <v>130614</v>
      </c>
      <c r="W119" s="22" t="s">
        <v>56</v>
      </c>
      <c r="X119" s="7">
        <v>28</v>
      </c>
      <c r="Z119" s="40">
        <f t="shared" si="5"/>
        <v>0</v>
      </c>
      <c r="AA119">
        <v>2.6</v>
      </c>
    </row>
    <row r="120" spans="1:27" x14ac:dyDescent="0.25">
      <c r="A120" s="43">
        <v>47</v>
      </c>
      <c r="B120" s="43">
        <v>23</v>
      </c>
      <c r="C120" s="43">
        <v>2</v>
      </c>
      <c r="D120" s="43">
        <v>1</v>
      </c>
      <c r="E120" s="43">
        <v>130428</v>
      </c>
      <c r="F120" s="43">
        <v>115030</v>
      </c>
      <c r="G120" s="43" t="s">
        <v>178</v>
      </c>
      <c r="H120">
        <v>11</v>
      </c>
      <c r="I120">
        <v>1168</v>
      </c>
      <c r="J120">
        <v>303</v>
      </c>
      <c r="K120" s="43">
        <v>22.9</v>
      </c>
      <c r="L120" s="22">
        <v>19.8</v>
      </c>
      <c r="M120" s="7">
        <v>19.5</v>
      </c>
      <c r="N120" s="40">
        <f t="shared" si="3"/>
        <v>0.86462882096069882</v>
      </c>
      <c r="O120" s="40">
        <f t="shared" si="4"/>
        <v>0.85152838427947608</v>
      </c>
      <c r="P120" s="39">
        <v>1.9</v>
      </c>
      <c r="Q120" s="72">
        <f>VLOOKUP('All inst data'!A120,'all mice (except april 2012)'!$A$2:$G$218,7,FALSE)</f>
        <v>92</v>
      </c>
      <c r="S120" s="22">
        <v>119</v>
      </c>
      <c r="T120" s="22">
        <v>8</v>
      </c>
      <c r="U120" s="22">
        <v>4</v>
      </c>
      <c r="V120">
        <v>130614</v>
      </c>
      <c r="W120" s="22" t="s">
        <v>56</v>
      </c>
      <c r="X120" s="7">
        <v>27.5</v>
      </c>
      <c r="Z120" s="40">
        <f t="shared" si="5"/>
        <v>0</v>
      </c>
      <c r="AA120">
        <v>2.6</v>
      </c>
    </row>
    <row r="121" spans="1:27" x14ac:dyDescent="0.25">
      <c r="A121" s="43">
        <v>48</v>
      </c>
      <c r="B121" s="43">
        <v>24</v>
      </c>
      <c r="C121" s="43">
        <v>2</v>
      </c>
      <c r="D121" s="43">
        <v>1</v>
      </c>
      <c r="E121" s="43">
        <v>130428</v>
      </c>
      <c r="F121" s="43">
        <v>115030</v>
      </c>
      <c r="G121" s="43" t="s">
        <v>181</v>
      </c>
      <c r="H121">
        <v>12</v>
      </c>
      <c r="I121">
        <v>1826</v>
      </c>
      <c r="J121">
        <v>432</v>
      </c>
      <c r="K121" s="43">
        <v>32.1</v>
      </c>
      <c r="L121" s="22">
        <v>27</v>
      </c>
      <c r="M121" s="7">
        <v>25.2</v>
      </c>
      <c r="N121" s="40">
        <f t="shared" si="3"/>
        <v>0.84112149532710279</v>
      </c>
      <c r="O121" s="40">
        <f t="shared" si="4"/>
        <v>0.78504672897196259</v>
      </c>
      <c r="P121" s="39">
        <v>2.9</v>
      </c>
      <c r="Q121" s="72">
        <f>VLOOKUP('All inst data'!A121,'all mice (except april 2012)'!$A$2:$G$218,7,FALSE)</f>
        <v>103</v>
      </c>
      <c r="S121" s="22">
        <v>120</v>
      </c>
      <c r="T121" s="22">
        <v>9</v>
      </c>
      <c r="U121" s="22">
        <v>4</v>
      </c>
      <c r="V121">
        <v>130614</v>
      </c>
      <c r="W121" s="22" t="s">
        <v>55</v>
      </c>
      <c r="X121" s="7">
        <v>26.2</v>
      </c>
      <c r="Z121" s="40">
        <f t="shared" si="5"/>
        <v>0</v>
      </c>
      <c r="AA121">
        <v>3.25</v>
      </c>
    </row>
    <row r="122" spans="1:27" x14ac:dyDescent="0.25">
      <c r="A122" s="43">
        <v>37</v>
      </c>
      <c r="B122" s="43">
        <v>13</v>
      </c>
      <c r="C122" s="43">
        <v>2</v>
      </c>
      <c r="D122" s="43">
        <v>2</v>
      </c>
      <c r="E122" s="43">
        <v>130429</v>
      </c>
      <c r="F122" s="43">
        <v>100000</v>
      </c>
      <c r="G122" s="43" t="s">
        <v>166</v>
      </c>
      <c r="H122">
        <v>1</v>
      </c>
      <c r="I122">
        <v>1475</v>
      </c>
      <c r="J122">
        <v>334</v>
      </c>
      <c r="K122" s="23">
        <v>36</v>
      </c>
      <c r="L122" s="22">
        <v>31.9</v>
      </c>
      <c r="M122" s="7">
        <v>30.7</v>
      </c>
      <c r="N122" s="40">
        <f t="shared" si="3"/>
        <v>0.88611111111111107</v>
      </c>
      <c r="O122" s="40">
        <f t="shared" si="4"/>
        <v>0.85277777777777775</v>
      </c>
      <c r="P122" s="39">
        <v>2.4</v>
      </c>
      <c r="Q122" s="72">
        <f>VLOOKUP('All inst data'!A122,'all mice (except april 2012)'!$A$2:$G$218,7,FALSE)</f>
        <v>115</v>
      </c>
      <c r="S122" s="22">
        <v>121</v>
      </c>
      <c r="T122" s="22">
        <v>10</v>
      </c>
      <c r="U122" s="22">
        <v>4</v>
      </c>
      <c r="V122">
        <v>130614</v>
      </c>
      <c r="W122" s="22" t="s">
        <v>55</v>
      </c>
      <c r="X122" s="7">
        <v>28.9</v>
      </c>
      <c r="Z122" s="40">
        <f t="shared" si="5"/>
        <v>0</v>
      </c>
      <c r="AA122">
        <v>3.25</v>
      </c>
    </row>
    <row r="123" spans="1:27" x14ac:dyDescent="0.25">
      <c r="A123" s="43">
        <v>38</v>
      </c>
      <c r="B123" s="43">
        <v>14</v>
      </c>
      <c r="C123" s="43">
        <v>2</v>
      </c>
      <c r="D123" s="43">
        <v>2</v>
      </c>
      <c r="E123" s="43">
        <v>130429</v>
      </c>
      <c r="F123" s="43">
        <v>100001</v>
      </c>
      <c r="G123" s="43" t="s">
        <v>166</v>
      </c>
      <c r="H123">
        <v>2</v>
      </c>
      <c r="I123">
        <v>1382</v>
      </c>
      <c r="J123">
        <v>334</v>
      </c>
      <c r="K123" s="43">
        <v>37.299999999999997</v>
      </c>
      <c r="L123" s="22">
        <v>32.299999999999997</v>
      </c>
      <c r="M123" s="7">
        <v>31</v>
      </c>
      <c r="N123" s="40">
        <f t="shared" si="3"/>
        <v>0.86595174262734587</v>
      </c>
      <c r="O123" s="40">
        <f t="shared" si="4"/>
        <v>0.83109919571045587</v>
      </c>
      <c r="P123" s="39">
        <v>2.4</v>
      </c>
      <c r="Q123" s="72">
        <f>VLOOKUP('All inst data'!A123,'all mice (except april 2012)'!$A$2:$G$218,7,FALSE)</f>
        <v>115</v>
      </c>
      <c r="S123" s="22">
        <v>122</v>
      </c>
      <c r="T123" s="22">
        <v>11</v>
      </c>
      <c r="U123" s="22">
        <v>4</v>
      </c>
      <c r="V123">
        <v>130614</v>
      </c>
      <c r="W123" s="6" t="s">
        <v>107</v>
      </c>
      <c r="X123" s="7">
        <v>28.5</v>
      </c>
      <c r="Z123" s="40">
        <f t="shared" si="5"/>
        <v>0</v>
      </c>
      <c r="AA123">
        <v>2.6</v>
      </c>
    </row>
    <row r="124" spans="1:27" x14ac:dyDescent="0.25">
      <c r="A124" s="43">
        <v>39</v>
      </c>
      <c r="B124" s="43">
        <v>15</v>
      </c>
      <c r="C124" s="43">
        <v>2</v>
      </c>
      <c r="D124" s="43">
        <v>2</v>
      </c>
      <c r="E124" s="43">
        <v>130429</v>
      </c>
      <c r="F124" s="43">
        <v>100001</v>
      </c>
      <c r="G124" s="43" t="s">
        <v>166</v>
      </c>
      <c r="H124">
        <v>3</v>
      </c>
      <c r="I124">
        <v>1994</v>
      </c>
      <c r="J124">
        <v>445</v>
      </c>
      <c r="K124" s="43">
        <v>28.9</v>
      </c>
      <c r="L124" s="22">
        <v>25.2</v>
      </c>
      <c r="M124" s="7">
        <v>24.9</v>
      </c>
      <c r="N124" s="40">
        <f t="shared" si="3"/>
        <v>0.87197231833910038</v>
      </c>
      <c r="O124" s="40">
        <f t="shared" si="4"/>
        <v>0.86159169550173009</v>
      </c>
      <c r="P124" s="39">
        <v>2.4</v>
      </c>
      <c r="Q124" s="72">
        <f>VLOOKUP('All inst data'!A124,'all mice (except april 2012)'!$A$2:$G$218,7,FALSE)</f>
        <v>115</v>
      </c>
      <c r="S124" s="22">
        <v>123</v>
      </c>
      <c r="T124" s="22">
        <v>12</v>
      </c>
      <c r="U124" s="22">
        <v>4</v>
      </c>
      <c r="V124">
        <v>130614</v>
      </c>
      <c r="W124" s="6" t="s">
        <v>107</v>
      </c>
      <c r="X124" s="7">
        <v>29.6</v>
      </c>
      <c r="Z124" s="40">
        <f t="shared" si="5"/>
        <v>0</v>
      </c>
      <c r="AA124">
        <v>2</v>
      </c>
    </row>
    <row r="125" spans="1:27" x14ac:dyDescent="0.25">
      <c r="A125" s="43">
        <v>40</v>
      </c>
      <c r="B125" s="43">
        <v>16</v>
      </c>
      <c r="C125" s="43">
        <v>2</v>
      </c>
      <c r="D125" s="43">
        <v>2</v>
      </c>
      <c r="E125" s="43">
        <v>130429</v>
      </c>
      <c r="F125" s="43">
        <v>100001</v>
      </c>
      <c r="G125" s="43" t="s">
        <v>177</v>
      </c>
      <c r="H125">
        <v>4</v>
      </c>
      <c r="I125">
        <v>610</v>
      </c>
      <c r="J125">
        <v>183</v>
      </c>
      <c r="K125" s="22">
        <v>31.6</v>
      </c>
      <c r="L125" s="22">
        <v>26.9</v>
      </c>
      <c r="M125" s="7">
        <v>25.9</v>
      </c>
      <c r="N125" s="40">
        <f t="shared" si="3"/>
        <v>0.85126582278481</v>
      </c>
      <c r="O125" s="40">
        <f t="shared" si="4"/>
        <v>0.81962025316455689</v>
      </c>
      <c r="P125" s="39">
        <v>3.5</v>
      </c>
      <c r="Q125" s="72">
        <f>VLOOKUP('All inst data'!A125,'all mice (except april 2012)'!$A$2:$G$218,7,FALSE)</f>
        <v>113</v>
      </c>
      <c r="S125" s="22">
        <v>124</v>
      </c>
      <c r="T125" s="22">
        <v>13</v>
      </c>
      <c r="U125" s="22">
        <v>4</v>
      </c>
      <c r="V125">
        <v>130617</v>
      </c>
      <c r="W125" s="22" t="s">
        <v>110</v>
      </c>
      <c r="X125" s="7">
        <v>20.5</v>
      </c>
      <c r="Z125" s="40">
        <f t="shared" si="5"/>
        <v>0</v>
      </c>
      <c r="AA125">
        <v>3.4</v>
      </c>
    </row>
    <row r="126" spans="1:27" x14ac:dyDescent="0.25">
      <c r="A126" s="43">
        <v>41</v>
      </c>
      <c r="B126" s="43">
        <v>17</v>
      </c>
      <c r="C126" s="43">
        <v>2</v>
      </c>
      <c r="D126" s="43">
        <v>2</v>
      </c>
      <c r="E126" s="43">
        <v>130429</v>
      </c>
      <c r="F126" s="43">
        <v>100001</v>
      </c>
      <c r="G126" s="43" t="s">
        <v>177</v>
      </c>
      <c r="H126">
        <v>5</v>
      </c>
      <c r="I126">
        <v>1040</v>
      </c>
      <c r="J126">
        <v>266</v>
      </c>
      <c r="K126" s="43">
        <v>32.700000000000003</v>
      </c>
      <c r="L126" s="22">
        <v>29.6</v>
      </c>
      <c r="M126" s="7">
        <v>26.9</v>
      </c>
      <c r="N126" s="40">
        <f t="shared" si="3"/>
        <v>0.90519877675840976</v>
      </c>
      <c r="O126" s="40">
        <f t="shared" si="4"/>
        <v>0.82262996941896016</v>
      </c>
      <c r="P126" s="39">
        <v>3.5</v>
      </c>
      <c r="Q126" s="72">
        <f>VLOOKUP('All inst data'!A126,'all mice (except april 2012)'!$A$2:$G$218,7,FALSE)</f>
        <v>113</v>
      </c>
      <c r="S126" s="22">
        <v>125</v>
      </c>
      <c r="T126" s="22">
        <v>14</v>
      </c>
      <c r="U126" s="22">
        <v>4</v>
      </c>
      <c r="V126">
        <v>130617</v>
      </c>
      <c r="W126" s="22" t="s">
        <v>110</v>
      </c>
      <c r="X126" s="7">
        <v>20.2</v>
      </c>
      <c r="Z126" s="40">
        <f t="shared" si="5"/>
        <v>0</v>
      </c>
      <c r="AA126">
        <v>3.4</v>
      </c>
    </row>
    <row r="127" spans="1:27" x14ac:dyDescent="0.25">
      <c r="A127" s="43">
        <v>42</v>
      </c>
      <c r="B127" s="43">
        <v>18</v>
      </c>
      <c r="C127" s="43">
        <v>2</v>
      </c>
      <c r="D127" s="43">
        <v>2</v>
      </c>
      <c r="E127" s="43">
        <v>130429</v>
      </c>
      <c r="F127" s="43">
        <v>100001</v>
      </c>
      <c r="G127" s="43" t="s">
        <v>180</v>
      </c>
      <c r="H127">
        <v>6</v>
      </c>
      <c r="I127">
        <v>0</v>
      </c>
      <c r="J127">
        <v>0</v>
      </c>
      <c r="K127" s="43">
        <v>23.8</v>
      </c>
      <c r="L127" s="22">
        <v>22.1</v>
      </c>
      <c r="M127" s="7">
        <v>20.7</v>
      </c>
      <c r="N127" s="40">
        <f t="shared" si="3"/>
        <v>0.9285714285714286</v>
      </c>
      <c r="O127" s="40">
        <f t="shared" si="4"/>
        <v>0.86974789915966377</v>
      </c>
      <c r="P127" s="39">
        <v>1.85</v>
      </c>
      <c r="Q127" s="72">
        <f>VLOOKUP('All inst data'!A127,'all mice (except april 2012)'!$A$2:$G$218,7,FALSE)</f>
        <v>104</v>
      </c>
      <c r="S127" s="22">
        <v>126</v>
      </c>
      <c r="T127" s="22">
        <v>15</v>
      </c>
      <c r="U127" s="22">
        <v>4</v>
      </c>
      <c r="V127">
        <v>130617</v>
      </c>
      <c r="W127" s="22" t="s">
        <v>111</v>
      </c>
      <c r="X127" s="7">
        <v>31.9</v>
      </c>
      <c r="Z127" s="40">
        <f t="shared" si="5"/>
        <v>0</v>
      </c>
      <c r="AA127">
        <v>3.6</v>
      </c>
    </row>
    <row r="128" spans="1:27" x14ac:dyDescent="0.25">
      <c r="A128" s="43">
        <v>43</v>
      </c>
      <c r="B128" s="43">
        <v>19</v>
      </c>
      <c r="C128" s="43">
        <v>2</v>
      </c>
      <c r="D128" s="43">
        <v>2</v>
      </c>
      <c r="E128" s="43">
        <v>130429</v>
      </c>
      <c r="F128" s="43">
        <v>100001</v>
      </c>
      <c r="G128" s="43" t="s">
        <v>180</v>
      </c>
      <c r="H128">
        <v>7</v>
      </c>
      <c r="I128" s="43">
        <v>467</v>
      </c>
      <c r="J128" s="43">
        <v>161</v>
      </c>
      <c r="K128" s="43">
        <v>24.9</v>
      </c>
      <c r="L128" s="22">
        <v>21.4</v>
      </c>
      <c r="M128" s="7">
        <v>20.6</v>
      </c>
      <c r="N128" s="40">
        <f t="shared" si="3"/>
        <v>0.85943775100401609</v>
      </c>
      <c r="O128" s="40">
        <f t="shared" si="4"/>
        <v>0.82730923694779124</v>
      </c>
      <c r="P128" s="39">
        <v>1.85</v>
      </c>
      <c r="Q128" s="72">
        <f>VLOOKUP('All inst data'!A128,'all mice (except april 2012)'!$A$2:$G$218,7,FALSE)</f>
        <v>104</v>
      </c>
      <c r="S128" s="22">
        <v>127</v>
      </c>
      <c r="T128" s="22">
        <v>16</v>
      </c>
      <c r="U128" s="22">
        <v>4</v>
      </c>
      <c r="V128">
        <v>130617</v>
      </c>
      <c r="W128" s="22" t="s">
        <v>111</v>
      </c>
      <c r="X128" s="7">
        <v>27.2</v>
      </c>
      <c r="Z128" s="40">
        <f t="shared" si="5"/>
        <v>0</v>
      </c>
      <c r="AA128">
        <v>3.6</v>
      </c>
    </row>
    <row r="129" spans="1:27" x14ac:dyDescent="0.25">
      <c r="A129" s="43">
        <v>44</v>
      </c>
      <c r="B129" s="43">
        <v>20</v>
      </c>
      <c r="C129" s="43">
        <v>2</v>
      </c>
      <c r="D129" s="43">
        <v>2</v>
      </c>
      <c r="E129" s="43">
        <v>130429</v>
      </c>
      <c r="F129" s="43">
        <v>100001</v>
      </c>
      <c r="G129" s="43" t="s">
        <v>180</v>
      </c>
      <c r="H129">
        <v>8</v>
      </c>
      <c r="I129">
        <v>678</v>
      </c>
      <c r="J129">
        <v>205</v>
      </c>
      <c r="K129" s="43">
        <v>25.4</v>
      </c>
      <c r="L129" s="22">
        <v>22.2</v>
      </c>
      <c r="M129" s="7">
        <v>21.3</v>
      </c>
      <c r="N129" s="40">
        <f t="shared" si="3"/>
        <v>0.87401574803149606</v>
      </c>
      <c r="O129" s="40">
        <f t="shared" si="4"/>
        <v>0.8385826771653544</v>
      </c>
      <c r="P129" s="39">
        <v>1.85</v>
      </c>
      <c r="Q129" s="72">
        <f>VLOOKUP('All inst data'!A129,'all mice (except april 2012)'!$A$2:$G$218,7,FALSE)</f>
        <v>104</v>
      </c>
      <c r="S129" s="22">
        <v>128</v>
      </c>
      <c r="T129" s="22">
        <v>17</v>
      </c>
      <c r="U129" s="22">
        <v>4</v>
      </c>
      <c r="V129">
        <v>130617</v>
      </c>
      <c r="W129" s="22" t="s">
        <v>501</v>
      </c>
      <c r="X129" s="7">
        <v>23</v>
      </c>
      <c r="Z129" s="40">
        <f t="shared" si="5"/>
        <v>0</v>
      </c>
      <c r="AA129">
        <v>2.15</v>
      </c>
    </row>
    <row r="130" spans="1:27" x14ac:dyDescent="0.25">
      <c r="A130" s="43">
        <v>45</v>
      </c>
      <c r="B130" s="43">
        <v>21</v>
      </c>
      <c r="C130" s="43">
        <v>2</v>
      </c>
      <c r="D130" s="43">
        <v>2</v>
      </c>
      <c r="E130" s="43">
        <v>130429</v>
      </c>
      <c r="F130" s="43">
        <v>100001</v>
      </c>
      <c r="G130" s="43" t="s">
        <v>178</v>
      </c>
      <c r="H130">
        <v>9</v>
      </c>
      <c r="I130">
        <v>378</v>
      </c>
      <c r="J130">
        <v>143</v>
      </c>
      <c r="K130" s="43">
        <v>21.6</v>
      </c>
      <c r="L130" s="22">
        <v>19.8</v>
      </c>
      <c r="M130" s="7">
        <v>18.8</v>
      </c>
      <c r="N130" s="40">
        <f t="shared" ref="N130:N193" si="6">L130/K130</f>
        <v>0.91666666666666663</v>
      </c>
      <c r="O130" s="40">
        <f t="shared" ref="O130:O193" si="7">M130/K130</f>
        <v>0.87037037037037035</v>
      </c>
      <c r="P130" s="39">
        <v>1.8</v>
      </c>
      <c r="Q130" s="72">
        <f>VLOOKUP('All inst data'!A130,'all mice (except april 2012)'!$A$2:$G$218,7,FALSE)</f>
        <v>92</v>
      </c>
      <c r="S130" s="22">
        <v>129</v>
      </c>
      <c r="T130" s="22">
        <v>18</v>
      </c>
      <c r="U130" s="22">
        <v>4</v>
      </c>
      <c r="V130">
        <v>130617</v>
      </c>
      <c r="W130" s="22" t="s">
        <v>501</v>
      </c>
      <c r="X130" s="7">
        <v>22.1</v>
      </c>
      <c r="Z130" s="40">
        <f t="shared" si="5"/>
        <v>0</v>
      </c>
      <c r="AA130">
        <v>2.15</v>
      </c>
    </row>
    <row r="131" spans="1:27" x14ac:dyDescent="0.25">
      <c r="A131" s="43">
        <v>46</v>
      </c>
      <c r="B131" s="43">
        <v>22</v>
      </c>
      <c r="C131" s="43">
        <v>2</v>
      </c>
      <c r="D131" s="43">
        <v>2</v>
      </c>
      <c r="E131" s="43">
        <v>130429</v>
      </c>
      <c r="F131" s="43">
        <v>100259</v>
      </c>
      <c r="G131" s="43" t="s">
        <v>178</v>
      </c>
      <c r="H131">
        <v>10</v>
      </c>
      <c r="I131">
        <v>2162</v>
      </c>
      <c r="J131">
        <v>497</v>
      </c>
      <c r="K131" s="22">
        <v>21.3</v>
      </c>
      <c r="L131" s="22">
        <v>19.5</v>
      </c>
      <c r="M131" s="7">
        <v>19.3</v>
      </c>
      <c r="N131" s="40">
        <f t="shared" si="6"/>
        <v>0.91549295774647887</v>
      </c>
      <c r="O131" s="40">
        <f t="shared" si="7"/>
        <v>0.9061032863849765</v>
      </c>
      <c r="P131" s="39">
        <v>1.8</v>
      </c>
      <c r="Q131" s="72">
        <f>VLOOKUP('All inst data'!A131,'all mice (except april 2012)'!$A$2:$G$218,7,FALSE)</f>
        <v>92</v>
      </c>
      <c r="S131" s="22">
        <v>130</v>
      </c>
      <c r="T131" s="22">
        <v>19</v>
      </c>
      <c r="U131" s="22">
        <v>4</v>
      </c>
      <c r="V131">
        <v>130617</v>
      </c>
      <c r="W131" s="22" t="s">
        <v>112</v>
      </c>
      <c r="X131" s="7">
        <v>23.4</v>
      </c>
      <c r="Z131" s="40">
        <f t="shared" ref="Z131:Z153" si="8">Y131/X131</f>
        <v>0</v>
      </c>
      <c r="AA131">
        <v>3.4</v>
      </c>
    </row>
    <row r="132" spans="1:27" x14ac:dyDescent="0.25">
      <c r="A132" s="43">
        <v>47</v>
      </c>
      <c r="B132" s="43">
        <v>23</v>
      </c>
      <c r="C132" s="43">
        <v>2</v>
      </c>
      <c r="D132" s="43">
        <v>2</v>
      </c>
      <c r="E132" s="43">
        <v>130429</v>
      </c>
      <c r="F132" s="43">
        <v>100002</v>
      </c>
      <c r="G132" s="43" t="s">
        <v>178</v>
      </c>
      <c r="H132">
        <v>11</v>
      </c>
      <c r="I132">
        <v>1675</v>
      </c>
      <c r="J132">
        <v>404</v>
      </c>
      <c r="K132" s="22">
        <v>22.9</v>
      </c>
      <c r="L132" s="22">
        <v>20.5</v>
      </c>
      <c r="M132" s="7">
        <v>19.899999999999999</v>
      </c>
      <c r="N132" s="40">
        <f t="shared" si="6"/>
        <v>0.89519650655021843</v>
      </c>
      <c r="O132" s="40">
        <f t="shared" si="7"/>
        <v>0.86899563318777295</v>
      </c>
      <c r="P132" s="39">
        <v>1.8</v>
      </c>
      <c r="Q132" s="72">
        <f>VLOOKUP('All inst data'!A132,'all mice (except april 2012)'!$A$2:$G$218,7,FALSE)</f>
        <v>92</v>
      </c>
      <c r="S132" s="22">
        <v>131</v>
      </c>
      <c r="T132" s="22">
        <v>20</v>
      </c>
      <c r="U132" s="22">
        <v>4</v>
      </c>
      <c r="V132">
        <v>130617</v>
      </c>
      <c r="W132" s="22" t="s">
        <v>112</v>
      </c>
      <c r="X132" s="7">
        <v>21</v>
      </c>
      <c r="Z132" s="40">
        <f t="shared" si="8"/>
        <v>0</v>
      </c>
      <c r="AA132">
        <v>3.4</v>
      </c>
    </row>
    <row r="133" spans="1:27" x14ac:dyDescent="0.25">
      <c r="A133" s="43">
        <v>48</v>
      </c>
      <c r="B133" s="43">
        <v>24</v>
      </c>
      <c r="C133" s="43">
        <v>2</v>
      </c>
      <c r="D133" s="43">
        <v>2</v>
      </c>
      <c r="E133" s="43">
        <v>130429</v>
      </c>
      <c r="F133" s="43">
        <v>100002</v>
      </c>
      <c r="G133" s="43" t="s">
        <v>181</v>
      </c>
      <c r="H133">
        <v>12</v>
      </c>
      <c r="I133">
        <v>1379</v>
      </c>
      <c r="J133">
        <v>346</v>
      </c>
      <c r="K133" s="43">
        <v>32.1</v>
      </c>
      <c r="L133" s="22">
        <v>28.3</v>
      </c>
      <c r="M133" s="7">
        <v>26.1</v>
      </c>
      <c r="N133" s="40">
        <f t="shared" si="6"/>
        <v>0.88161993769470404</v>
      </c>
      <c r="O133" s="40">
        <f t="shared" si="7"/>
        <v>0.81308411214953269</v>
      </c>
      <c r="P133" s="39">
        <v>3.1</v>
      </c>
      <c r="Q133" s="72">
        <f>VLOOKUP('All inst data'!A133,'all mice (except april 2012)'!$A$2:$G$218,7,FALSE)</f>
        <v>103</v>
      </c>
      <c r="S133" s="22">
        <v>132</v>
      </c>
      <c r="T133" s="22">
        <v>21</v>
      </c>
      <c r="U133" s="22">
        <v>4</v>
      </c>
      <c r="V133">
        <v>130617</v>
      </c>
      <c r="W133" s="1" t="s">
        <v>113</v>
      </c>
      <c r="X133" s="7">
        <v>15.5</v>
      </c>
      <c r="Z133" s="40">
        <f t="shared" si="8"/>
        <v>0</v>
      </c>
      <c r="AA133">
        <v>3.9</v>
      </c>
    </row>
    <row r="134" spans="1:27" x14ac:dyDescent="0.25">
      <c r="A134" s="43">
        <v>37</v>
      </c>
      <c r="B134" s="43">
        <v>13</v>
      </c>
      <c r="C134" s="43">
        <v>2</v>
      </c>
      <c r="D134" s="43">
        <v>3</v>
      </c>
      <c r="E134" s="43">
        <v>130430</v>
      </c>
      <c r="F134" s="43">
        <v>103322</v>
      </c>
      <c r="G134" s="43" t="s">
        <v>166</v>
      </c>
      <c r="H134">
        <v>1</v>
      </c>
      <c r="I134">
        <v>1413</v>
      </c>
      <c r="J134">
        <v>312</v>
      </c>
      <c r="K134" s="23">
        <v>36</v>
      </c>
      <c r="L134" s="22">
        <v>31.6</v>
      </c>
      <c r="M134" s="7">
        <v>30.1</v>
      </c>
      <c r="N134" s="40">
        <f t="shared" si="6"/>
        <v>0.87777777777777777</v>
      </c>
      <c r="O134" s="40">
        <f t="shared" si="7"/>
        <v>0.83611111111111114</v>
      </c>
      <c r="P134" s="39">
        <v>2.7</v>
      </c>
      <c r="Q134" s="72">
        <f>VLOOKUP('All inst data'!A134,'all mice (except april 2012)'!$A$2:$G$218,7,FALSE)</f>
        <v>115</v>
      </c>
      <c r="S134" s="22">
        <v>133</v>
      </c>
      <c r="T134" s="22">
        <v>22</v>
      </c>
      <c r="U134" s="22">
        <v>4</v>
      </c>
      <c r="V134">
        <v>130617</v>
      </c>
      <c r="W134" s="1" t="s">
        <v>113</v>
      </c>
      <c r="X134" s="7">
        <v>15.3</v>
      </c>
      <c r="Z134" s="40">
        <f t="shared" si="8"/>
        <v>0</v>
      </c>
      <c r="AA134">
        <v>3.9</v>
      </c>
    </row>
    <row r="135" spans="1:27" x14ac:dyDescent="0.25">
      <c r="A135" s="43">
        <v>38</v>
      </c>
      <c r="B135" s="43">
        <v>14</v>
      </c>
      <c r="C135" s="43">
        <v>2</v>
      </c>
      <c r="D135" s="43">
        <v>3</v>
      </c>
      <c r="E135" s="43">
        <v>130430</v>
      </c>
      <c r="F135" s="43">
        <v>103322</v>
      </c>
      <c r="G135" s="43" t="s">
        <v>166</v>
      </c>
      <c r="H135">
        <v>2</v>
      </c>
      <c r="I135">
        <v>1156</v>
      </c>
      <c r="J135">
        <v>289</v>
      </c>
      <c r="K135" s="22">
        <v>37.299999999999997</v>
      </c>
      <c r="L135" s="22">
        <v>32.200000000000003</v>
      </c>
      <c r="M135" s="7">
        <v>30.8</v>
      </c>
      <c r="N135" s="40">
        <f t="shared" si="6"/>
        <v>0.86327077747989289</v>
      </c>
      <c r="O135" s="40">
        <f t="shared" si="7"/>
        <v>0.8257372654155497</v>
      </c>
      <c r="P135" s="39">
        <v>2.7</v>
      </c>
      <c r="Q135" s="72">
        <f>VLOOKUP('All inst data'!A135,'all mice (except april 2012)'!$A$2:$G$218,7,FALSE)</f>
        <v>115</v>
      </c>
      <c r="S135" s="22">
        <v>134</v>
      </c>
      <c r="T135" s="22">
        <v>23</v>
      </c>
      <c r="U135" s="22">
        <v>4</v>
      </c>
      <c r="V135">
        <v>130617</v>
      </c>
      <c r="W135" s="22" t="s">
        <v>114</v>
      </c>
      <c r="X135" s="7">
        <v>25.7</v>
      </c>
      <c r="Z135" s="40">
        <f t="shared" si="8"/>
        <v>0</v>
      </c>
      <c r="AA135">
        <v>3.25</v>
      </c>
    </row>
    <row r="136" spans="1:27" x14ac:dyDescent="0.25">
      <c r="A136" s="43">
        <v>39</v>
      </c>
      <c r="B136" s="43">
        <v>15</v>
      </c>
      <c r="C136" s="43">
        <v>2</v>
      </c>
      <c r="D136" s="43">
        <v>3</v>
      </c>
      <c r="E136" s="43">
        <v>130430</v>
      </c>
      <c r="F136" s="43">
        <v>103322</v>
      </c>
      <c r="G136" s="43" t="s">
        <v>166</v>
      </c>
      <c r="H136">
        <v>3</v>
      </c>
      <c r="I136">
        <v>2033</v>
      </c>
      <c r="J136">
        <v>459</v>
      </c>
      <c r="K136" s="43">
        <v>28.9</v>
      </c>
      <c r="L136" s="22">
        <v>25.5</v>
      </c>
      <c r="M136" s="7">
        <v>25</v>
      </c>
      <c r="N136" s="40">
        <f t="shared" si="6"/>
        <v>0.88235294117647067</v>
      </c>
      <c r="O136" s="40">
        <f t="shared" si="7"/>
        <v>0.86505190311418689</v>
      </c>
      <c r="P136" s="39">
        <v>2.7</v>
      </c>
      <c r="Q136" s="72">
        <f>VLOOKUP('All inst data'!A136,'all mice (except april 2012)'!$A$2:$G$218,7,FALSE)</f>
        <v>115</v>
      </c>
      <c r="S136" s="22">
        <v>135</v>
      </c>
      <c r="T136" s="22">
        <v>24</v>
      </c>
      <c r="U136" s="22">
        <v>4</v>
      </c>
      <c r="V136">
        <v>130617</v>
      </c>
      <c r="W136" s="22" t="s">
        <v>114</v>
      </c>
      <c r="X136" s="7">
        <v>25.9</v>
      </c>
      <c r="Z136" s="40">
        <f t="shared" si="8"/>
        <v>0</v>
      </c>
      <c r="AA136">
        <v>3.25</v>
      </c>
    </row>
    <row r="137" spans="1:27" x14ac:dyDescent="0.25">
      <c r="A137" s="43">
        <v>40</v>
      </c>
      <c r="B137" s="43">
        <v>16</v>
      </c>
      <c r="C137" s="43">
        <v>2</v>
      </c>
      <c r="D137" s="43">
        <v>3</v>
      </c>
      <c r="E137" s="43">
        <v>130430</v>
      </c>
      <c r="F137" s="43">
        <v>103322</v>
      </c>
      <c r="G137" s="43" t="s">
        <v>177</v>
      </c>
      <c r="H137">
        <v>4</v>
      </c>
      <c r="I137">
        <v>768</v>
      </c>
      <c r="J137">
        <v>213</v>
      </c>
      <c r="K137" s="43">
        <v>31.6</v>
      </c>
      <c r="L137" s="22">
        <v>27</v>
      </c>
      <c r="M137" s="7">
        <v>26.2</v>
      </c>
      <c r="N137" s="40">
        <f t="shared" si="6"/>
        <v>0.85443037974683544</v>
      </c>
      <c r="O137" s="40">
        <f t="shared" si="7"/>
        <v>0.82911392405063289</v>
      </c>
      <c r="P137" s="39">
        <v>3.8</v>
      </c>
      <c r="Q137" s="72">
        <f>VLOOKUP('All inst data'!A137,'all mice (except april 2012)'!$A$2:$G$218,7,FALSE)</f>
        <v>113</v>
      </c>
      <c r="S137" s="22">
        <v>136</v>
      </c>
      <c r="T137" s="22">
        <v>1</v>
      </c>
      <c r="U137" s="22">
        <v>5</v>
      </c>
      <c r="V137">
        <v>130630</v>
      </c>
      <c r="W137" s="22" t="s">
        <v>117</v>
      </c>
      <c r="X137" s="7">
        <v>15.3</v>
      </c>
      <c r="Z137" s="40">
        <f t="shared" si="8"/>
        <v>0</v>
      </c>
      <c r="AA137">
        <v>3.2</v>
      </c>
    </row>
    <row r="138" spans="1:27" x14ac:dyDescent="0.25">
      <c r="A138" s="43">
        <v>41</v>
      </c>
      <c r="B138" s="43">
        <v>17</v>
      </c>
      <c r="C138" s="43">
        <v>2</v>
      </c>
      <c r="D138" s="43">
        <v>3</v>
      </c>
      <c r="E138" s="43">
        <v>130430</v>
      </c>
      <c r="F138" s="43">
        <v>103322</v>
      </c>
      <c r="G138" s="43" t="s">
        <v>177</v>
      </c>
      <c r="H138">
        <v>5</v>
      </c>
      <c r="I138">
        <v>1099</v>
      </c>
      <c r="J138">
        <v>286</v>
      </c>
      <c r="K138" s="43">
        <v>32.700000000000003</v>
      </c>
      <c r="L138" s="22">
        <v>29.2</v>
      </c>
      <c r="M138" s="7">
        <v>27.2</v>
      </c>
      <c r="N138" s="40">
        <f t="shared" si="6"/>
        <v>0.89296636085626901</v>
      </c>
      <c r="O138" s="40">
        <f t="shared" si="7"/>
        <v>0.83180428134556561</v>
      </c>
      <c r="P138" s="39">
        <v>3.8</v>
      </c>
      <c r="Q138" s="72">
        <f>VLOOKUP('All inst data'!A138,'all mice (except april 2012)'!$A$2:$G$218,7,FALSE)</f>
        <v>113</v>
      </c>
      <c r="S138" s="22">
        <v>137</v>
      </c>
      <c r="T138" s="22">
        <v>2</v>
      </c>
      <c r="U138" s="22">
        <v>5</v>
      </c>
      <c r="V138">
        <v>130630</v>
      </c>
      <c r="W138" s="22" t="s">
        <v>117</v>
      </c>
      <c r="X138" s="7">
        <v>16.8</v>
      </c>
      <c r="Z138" s="40">
        <f t="shared" si="8"/>
        <v>0</v>
      </c>
      <c r="AA138">
        <v>3.5</v>
      </c>
    </row>
    <row r="139" spans="1:27" x14ac:dyDescent="0.25">
      <c r="A139" s="43">
        <v>42</v>
      </c>
      <c r="B139" s="43">
        <v>18</v>
      </c>
      <c r="C139" s="43">
        <v>2</v>
      </c>
      <c r="D139" s="43">
        <v>3</v>
      </c>
      <c r="E139" s="43">
        <v>130430</v>
      </c>
      <c r="F139" s="43">
        <v>103322</v>
      </c>
      <c r="G139" s="43" t="s">
        <v>180</v>
      </c>
      <c r="H139">
        <v>6</v>
      </c>
      <c r="I139">
        <v>945</v>
      </c>
      <c r="J139">
        <v>258</v>
      </c>
      <c r="K139" s="43">
        <v>23.8</v>
      </c>
      <c r="L139" s="22">
        <v>21.1</v>
      </c>
      <c r="M139" s="7">
        <v>20.8</v>
      </c>
      <c r="N139" s="40">
        <f t="shared" si="6"/>
        <v>0.88655462184873957</v>
      </c>
      <c r="O139" s="40">
        <f t="shared" si="7"/>
        <v>0.87394957983193278</v>
      </c>
      <c r="P139" s="39">
        <v>2.1</v>
      </c>
      <c r="Q139" s="72">
        <f>VLOOKUP('All inst data'!A139,'all mice (except april 2012)'!$A$2:$G$218,7,FALSE)</f>
        <v>104</v>
      </c>
      <c r="S139" s="22">
        <v>138</v>
      </c>
      <c r="T139" s="22">
        <v>3</v>
      </c>
      <c r="U139" s="22">
        <v>5</v>
      </c>
      <c r="V139">
        <v>130630</v>
      </c>
      <c r="W139" s="22" t="s">
        <v>116</v>
      </c>
      <c r="X139" s="7">
        <v>17.2</v>
      </c>
      <c r="Z139" s="40">
        <f t="shared" si="8"/>
        <v>0</v>
      </c>
      <c r="AA139">
        <v>4.3</v>
      </c>
    </row>
    <row r="140" spans="1:27" x14ac:dyDescent="0.25">
      <c r="A140" s="43">
        <v>43</v>
      </c>
      <c r="B140" s="43">
        <v>19</v>
      </c>
      <c r="C140" s="43">
        <v>2</v>
      </c>
      <c r="D140" s="43">
        <v>3</v>
      </c>
      <c r="E140" s="43">
        <v>130430</v>
      </c>
      <c r="F140" s="43">
        <v>103323</v>
      </c>
      <c r="G140" s="43" t="s">
        <v>180</v>
      </c>
      <c r="H140">
        <v>7</v>
      </c>
      <c r="I140">
        <v>1619</v>
      </c>
      <c r="J140">
        <v>392</v>
      </c>
      <c r="K140" s="22">
        <v>24.9</v>
      </c>
      <c r="L140" s="22">
        <v>21</v>
      </c>
      <c r="M140" s="7">
        <v>21</v>
      </c>
      <c r="N140" s="40">
        <f t="shared" si="6"/>
        <v>0.84337349397590367</v>
      </c>
      <c r="O140" s="40">
        <f t="shared" si="7"/>
        <v>0.84337349397590367</v>
      </c>
      <c r="P140" s="39">
        <v>2.1</v>
      </c>
      <c r="Q140" s="72">
        <f>VLOOKUP('All inst data'!A140,'all mice (except april 2012)'!$A$2:$G$218,7,FALSE)</f>
        <v>104</v>
      </c>
      <c r="S140" s="22">
        <v>140</v>
      </c>
      <c r="T140" s="22">
        <v>5</v>
      </c>
      <c r="U140" s="22">
        <v>5</v>
      </c>
      <c r="V140">
        <v>130630</v>
      </c>
      <c r="W140" s="22" t="s">
        <v>135</v>
      </c>
      <c r="X140" s="7">
        <v>28.3</v>
      </c>
      <c r="Z140" s="40">
        <f t="shared" si="8"/>
        <v>0</v>
      </c>
      <c r="AA140">
        <v>3.15</v>
      </c>
    </row>
    <row r="141" spans="1:27" x14ac:dyDescent="0.25">
      <c r="A141" s="43">
        <v>44</v>
      </c>
      <c r="B141" s="43">
        <v>20</v>
      </c>
      <c r="C141" s="43">
        <v>2</v>
      </c>
      <c r="D141" s="43">
        <v>3</v>
      </c>
      <c r="E141" s="43">
        <v>130430</v>
      </c>
      <c r="F141" s="43">
        <v>103323</v>
      </c>
      <c r="G141" s="43" t="s">
        <v>180</v>
      </c>
      <c r="H141">
        <v>8</v>
      </c>
      <c r="I141">
        <v>1107</v>
      </c>
      <c r="J141">
        <v>291</v>
      </c>
      <c r="K141" s="43">
        <v>25.4</v>
      </c>
      <c r="L141" s="22">
        <v>22</v>
      </c>
      <c r="M141" s="7">
        <v>21</v>
      </c>
      <c r="N141" s="40">
        <f t="shared" si="6"/>
        <v>0.86614173228346458</v>
      </c>
      <c r="O141" s="40">
        <f t="shared" si="7"/>
        <v>0.82677165354330717</v>
      </c>
      <c r="P141" s="39">
        <v>2.1</v>
      </c>
      <c r="Q141" s="72">
        <f>VLOOKUP('All inst data'!A141,'all mice (except april 2012)'!$A$2:$G$218,7,FALSE)</f>
        <v>104</v>
      </c>
      <c r="S141" s="22">
        <v>141</v>
      </c>
      <c r="T141" s="22">
        <v>6</v>
      </c>
      <c r="U141" s="22">
        <v>5</v>
      </c>
      <c r="V141">
        <v>130630</v>
      </c>
      <c r="W141" s="22" t="s">
        <v>135</v>
      </c>
      <c r="X141" s="7">
        <v>31</v>
      </c>
      <c r="Z141" s="40">
        <f t="shared" si="8"/>
        <v>0</v>
      </c>
      <c r="AA141">
        <v>3.15</v>
      </c>
    </row>
    <row r="142" spans="1:27" x14ac:dyDescent="0.25">
      <c r="A142" s="43">
        <v>45</v>
      </c>
      <c r="B142" s="43">
        <v>21</v>
      </c>
      <c r="C142" s="43">
        <v>2</v>
      </c>
      <c r="D142" s="43">
        <v>3</v>
      </c>
      <c r="E142" s="43">
        <v>130430</v>
      </c>
      <c r="F142" s="43">
        <v>103323</v>
      </c>
      <c r="G142" s="43" t="s">
        <v>178</v>
      </c>
      <c r="H142">
        <v>9</v>
      </c>
      <c r="I142">
        <v>1200</v>
      </c>
      <c r="J142">
        <v>306</v>
      </c>
      <c r="K142" s="22">
        <v>21.6</v>
      </c>
      <c r="L142" s="22">
        <v>19.100000000000001</v>
      </c>
      <c r="M142" s="7">
        <v>18.600000000000001</v>
      </c>
      <c r="N142" s="40">
        <f t="shared" si="6"/>
        <v>0.8842592592592593</v>
      </c>
      <c r="O142" s="40">
        <f t="shared" si="7"/>
        <v>0.86111111111111116</v>
      </c>
      <c r="P142" s="39">
        <v>2</v>
      </c>
      <c r="Q142" s="72">
        <f>VLOOKUP('All inst data'!A142,'all mice (except april 2012)'!$A$2:$G$218,7,FALSE)</f>
        <v>92</v>
      </c>
      <c r="S142" s="22">
        <v>142</v>
      </c>
      <c r="T142" s="22">
        <v>7</v>
      </c>
      <c r="U142" s="22">
        <v>5</v>
      </c>
      <c r="V142">
        <v>130701</v>
      </c>
      <c r="W142" s="6" t="s">
        <v>173</v>
      </c>
      <c r="X142" s="7">
        <v>23.3</v>
      </c>
      <c r="Z142" s="40">
        <f t="shared" si="8"/>
        <v>0</v>
      </c>
      <c r="AA142">
        <v>2.2000000000000002</v>
      </c>
    </row>
    <row r="143" spans="1:27" x14ac:dyDescent="0.25">
      <c r="A143" s="43">
        <v>46</v>
      </c>
      <c r="B143" s="43">
        <v>22</v>
      </c>
      <c r="C143" s="43">
        <v>2</v>
      </c>
      <c r="D143" s="43">
        <v>3</v>
      </c>
      <c r="E143" s="43">
        <v>130430</v>
      </c>
      <c r="F143" s="43">
        <v>103323</v>
      </c>
      <c r="G143" s="43" t="s">
        <v>178</v>
      </c>
      <c r="H143">
        <v>10</v>
      </c>
      <c r="I143">
        <v>2153</v>
      </c>
      <c r="J143">
        <v>493</v>
      </c>
      <c r="K143" s="43">
        <v>21.3</v>
      </c>
      <c r="L143" s="22">
        <v>19.399999999999999</v>
      </c>
      <c r="M143" s="7">
        <v>18.8</v>
      </c>
      <c r="N143" s="40">
        <f t="shared" si="6"/>
        <v>0.91079812206572763</v>
      </c>
      <c r="O143" s="40">
        <f t="shared" si="7"/>
        <v>0.88262910798122063</v>
      </c>
      <c r="P143" s="39">
        <v>2</v>
      </c>
      <c r="Q143" s="72">
        <f>VLOOKUP('All inst data'!A143,'all mice (except april 2012)'!$A$2:$G$218,7,FALSE)</f>
        <v>92</v>
      </c>
      <c r="S143" s="22">
        <v>143</v>
      </c>
      <c r="T143" s="22">
        <v>8</v>
      </c>
      <c r="U143" s="22">
        <v>5</v>
      </c>
      <c r="V143">
        <v>130701</v>
      </c>
      <c r="W143" s="6" t="s">
        <v>173</v>
      </c>
      <c r="X143" s="7">
        <v>24.5</v>
      </c>
      <c r="Z143" s="40">
        <f t="shared" si="8"/>
        <v>0</v>
      </c>
      <c r="AA143">
        <v>2.2000000000000002</v>
      </c>
    </row>
    <row r="144" spans="1:27" x14ac:dyDescent="0.25">
      <c r="A144" s="43">
        <v>47</v>
      </c>
      <c r="B144" s="43">
        <v>23</v>
      </c>
      <c r="C144" s="43">
        <v>2</v>
      </c>
      <c r="D144" s="43">
        <v>3</v>
      </c>
      <c r="E144" s="43">
        <v>130430</v>
      </c>
      <c r="F144" s="43">
        <v>103323</v>
      </c>
      <c r="G144" s="43" t="s">
        <v>178</v>
      </c>
      <c r="H144">
        <v>11</v>
      </c>
      <c r="I144">
        <v>2168</v>
      </c>
      <c r="J144">
        <v>500</v>
      </c>
      <c r="K144" s="22">
        <v>22.9</v>
      </c>
      <c r="L144" s="22">
        <v>20.3</v>
      </c>
      <c r="M144" s="7">
        <v>19.8</v>
      </c>
      <c r="N144" s="40">
        <f t="shared" si="6"/>
        <v>0.88646288209606994</v>
      </c>
      <c r="O144" s="40">
        <f t="shared" si="7"/>
        <v>0.86462882096069882</v>
      </c>
      <c r="P144" s="39">
        <v>2</v>
      </c>
      <c r="Q144" s="72">
        <f>VLOOKUP('All inst data'!A144,'all mice (except april 2012)'!$A$2:$G$218,7,FALSE)</f>
        <v>92</v>
      </c>
      <c r="S144" s="22">
        <v>144</v>
      </c>
      <c r="T144" s="22">
        <v>9</v>
      </c>
      <c r="U144" s="22">
        <v>5</v>
      </c>
      <c r="V144">
        <v>130701</v>
      </c>
      <c r="W144" s="6" t="s">
        <v>188</v>
      </c>
      <c r="X144" s="7">
        <v>29.8</v>
      </c>
      <c r="Z144" s="40">
        <f t="shared" si="8"/>
        <v>0</v>
      </c>
      <c r="AA144">
        <v>2.1</v>
      </c>
    </row>
    <row r="145" spans="1:27" x14ac:dyDescent="0.25">
      <c r="A145" s="43">
        <v>48</v>
      </c>
      <c r="B145" s="43">
        <v>24</v>
      </c>
      <c r="C145" s="43">
        <v>2</v>
      </c>
      <c r="D145" s="43">
        <v>3</v>
      </c>
      <c r="E145" s="43">
        <v>130430</v>
      </c>
      <c r="F145" s="43">
        <v>103323</v>
      </c>
      <c r="G145" s="43" t="s">
        <v>181</v>
      </c>
      <c r="H145">
        <v>12</v>
      </c>
      <c r="I145">
        <v>2115</v>
      </c>
      <c r="J145">
        <v>491</v>
      </c>
      <c r="K145" s="22">
        <v>32.1</v>
      </c>
      <c r="L145" s="22">
        <v>27.7</v>
      </c>
      <c r="M145" s="7">
        <v>26.4</v>
      </c>
      <c r="N145" s="40">
        <f t="shared" si="6"/>
        <v>0.86292834890965731</v>
      </c>
      <c r="O145" s="40">
        <f t="shared" si="7"/>
        <v>0.82242990654205594</v>
      </c>
      <c r="P145" s="39">
        <v>3.4</v>
      </c>
      <c r="Q145" s="72">
        <f>VLOOKUP('All inst data'!A145,'all mice (except april 2012)'!$A$2:$G$218,7,FALSE)</f>
        <v>103</v>
      </c>
      <c r="S145" s="22">
        <v>145</v>
      </c>
      <c r="T145" s="22">
        <v>10</v>
      </c>
      <c r="U145" s="22">
        <v>5</v>
      </c>
      <c r="V145">
        <v>130701</v>
      </c>
      <c r="W145" s="6" t="s">
        <v>188</v>
      </c>
      <c r="X145" s="7">
        <v>25.1</v>
      </c>
      <c r="Z145" s="40">
        <f t="shared" si="8"/>
        <v>0</v>
      </c>
      <c r="AA145">
        <v>2.1</v>
      </c>
    </row>
    <row r="146" spans="1:27" x14ac:dyDescent="0.25">
      <c r="A146" s="43">
        <v>49</v>
      </c>
      <c r="B146" s="43">
        <v>25</v>
      </c>
      <c r="C146" s="43">
        <v>2</v>
      </c>
      <c r="D146" s="43">
        <v>1</v>
      </c>
      <c r="E146" s="43">
        <v>130501</v>
      </c>
      <c r="F146" s="43">
        <v>82619</v>
      </c>
      <c r="G146" s="43" t="s">
        <v>182</v>
      </c>
      <c r="H146">
        <v>1</v>
      </c>
      <c r="I146">
        <v>9</v>
      </c>
      <c r="J146">
        <v>9</v>
      </c>
      <c r="K146" s="22">
        <v>20.5</v>
      </c>
      <c r="L146" s="22">
        <v>18.5</v>
      </c>
      <c r="M146" s="7">
        <v>17.100000000000001</v>
      </c>
      <c r="N146" s="40">
        <f t="shared" si="6"/>
        <v>0.90243902439024393</v>
      </c>
      <c r="O146" s="40">
        <f t="shared" si="7"/>
        <v>0.83414634146341471</v>
      </c>
      <c r="P146" s="39">
        <v>1.8</v>
      </c>
      <c r="Q146" s="72">
        <f>VLOOKUP('All inst data'!A146,'all mice (except april 2012)'!$A$2:$G$218,7,FALSE)</f>
        <v>83</v>
      </c>
      <c r="S146" s="22">
        <v>146</v>
      </c>
      <c r="T146" s="22">
        <v>11</v>
      </c>
      <c r="U146" s="22">
        <v>5</v>
      </c>
      <c r="V146">
        <v>130703</v>
      </c>
      <c r="W146" s="6" t="s">
        <v>122</v>
      </c>
      <c r="X146" s="7">
        <v>20.2</v>
      </c>
      <c r="Z146" s="40">
        <f t="shared" si="8"/>
        <v>0</v>
      </c>
      <c r="AA146">
        <v>2.5499999999999998</v>
      </c>
    </row>
    <row r="147" spans="1:27" x14ac:dyDescent="0.25">
      <c r="A147" s="43">
        <v>50</v>
      </c>
      <c r="B147" s="43">
        <v>26</v>
      </c>
      <c r="C147" s="43">
        <v>2</v>
      </c>
      <c r="D147" s="43">
        <v>1</v>
      </c>
      <c r="E147" s="43">
        <v>130501</v>
      </c>
      <c r="F147" s="43">
        <v>82619</v>
      </c>
      <c r="G147" s="43" t="s">
        <v>182</v>
      </c>
      <c r="H147">
        <v>2</v>
      </c>
      <c r="I147">
        <v>9</v>
      </c>
      <c r="J147">
        <v>9</v>
      </c>
      <c r="K147" s="22">
        <v>23.5</v>
      </c>
      <c r="L147" s="22">
        <v>21</v>
      </c>
      <c r="M147" s="7">
        <v>20</v>
      </c>
      <c r="N147" s="40">
        <f t="shared" si="6"/>
        <v>0.8936170212765957</v>
      </c>
      <c r="O147" s="40">
        <f t="shared" si="7"/>
        <v>0.85106382978723405</v>
      </c>
      <c r="P147" s="39">
        <v>1.8</v>
      </c>
      <c r="Q147" s="72">
        <f>VLOOKUP('All inst data'!A147,'all mice (except april 2012)'!$A$2:$G$218,7,FALSE)</f>
        <v>83</v>
      </c>
      <c r="S147" s="22">
        <v>147</v>
      </c>
      <c r="T147" s="22">
        <v>12</v>
      </c>
      <c r="U147" s="22">
        <v>5</v>
      </c>
      <c r="V147">
        <v>130703</v>
      </c>
      <c r="W147" s="6" t="s">
        <v>122</v>
      </c>
      <c r="X147" s="7">
        <v>20.399999999999999</v>
      </c>
      <c r="Z147" s="40">
        <f t="shared" si="8"/>
        <v>0</v>
      </c>
      <c r="AA147">
        <v>2.5499999999999998</v>
      </c>
    </row>
    <row r="148" spans="1:27" x14ac:dyDescent="0.25">
      <c r="A148" s="43">
        <v>51</v>
      </c>
      <c r="B148" s="43">
        <v>27</v>
      </c>
      <c r="C148" s="43">
        <v>2</v>
      </c>
      <c r="D148" s="43">
        <v>1</v>
      </c>
      <c r="E148" s="43">
        <v>130501</v>
      </c>
      <c r="F148" s="43">
        <v>82619</v>
      </c>
      <c r="G148" s="43" t="s">
        <v>182</v>
      </c>
      <c r="H148">
        <v>3</v>
      </c>
      <c r="I148">
        <v>5</v>
      </c>
      <c r="J148">
        <v>5</v>
      </c>
      <c r="K148" s="43">
        <v>25.2</v>
      </c>
      <c r="L148" s="22">
        <v>22.5</v>
      </c>
      <c r="M148" s="7">
        <v>21</v>
      </c>
      <c r="N148" s="40">
        <f t="shared" si="6"/>
        <v>0.8928571428571429</v>
      </c>
      <c r="O148" s="40">
        <f t="shared" si="7"/>
        <v>0.83333333333333337</v>
      </c>
      <c r="P148" s="39">
        <v>1.8</v>
      </c>
      <c r="Q148" s="72">
        <f>VLOOKUP('All inst data'!A148,'all mice (except april 2012)'!$A$2:$G$218,7,FALSE)</f>
        <v>83</v>
      </c>
      <c r="S148" s="22">
        <v>148</v>
      </c>
      <c r="T148" s="22">
        <v>13</v>
      </c>
      <c r="U148" s="22">
        <v>5</v>
      </c>
      <c r="V148">
        <v>130703</v>
      </c>
      <c r="W148" s="6" t="s">
        <v>123</v>
      </c>
      <c r="X148" s="7">
        <v>21.8</v>
      </c>
      <c r="Z148" s="40">
        <f t="shared" si="8"/>
        <v>0</v>
      </c>
      <c r="AA148">
        <v>2.4</v>
      </c>
    </row>
    <row r="149" spans="1:27" x14ac:dyDescent="0.25">
      <c r="A149" s="43">
        <v>52</v>
      </c>
      <c r="B149" s="43">
        <v>28</v>
      </c>
      <c r="C149" s="43">
        <v>2</v>
      </c>
      <c r="D149" s="43">
        <v>1</v>
      </c>
      <c r="E149" s="43">
        <v>130501</v>
      </c>
      <c r="F149" s="43">
        <v>82619</v>
      </c>
      <c r="G149" s="44" t="s">
        <v>183</v>
      </c>
      <c r="H149">
        <v>4</v>
      </c>
      <c r="I149" s="43">
        <v>9</v>
      </c>
      <c r="J149" s="43">
        <v>9</v>
      </c>
      <c r="K149" s="43">
        <v>28.3</v>
      </c>
      <c r="L149" s="22">
        <v>25</v>
      </c>
      <c r="M149" s="7">
        <v>23.6</v>
      </c>
      <c r="N149" s="40">
        <f t="shared" si="6"/>
        <v>0.88339222614840984</v>
      </c>
      <c r="O149" s="40">
        <f t="shared" si="7"/>
        <v>0.83392226148409898</v>
      </c>
      <c r="P149" s="39">
        <v>1.9</v>
      </c>
      <c r="Q149" s="72">
        <f>VLOOKUP('All inst data'!A149,'all mice (except april 2012)'!$A$2:$G$218,7,FALSE)</f>
        <v>95</v>
      </c>
      <c r="S149" s="22">
        <v>149</v>
      </c>
      <c r="T149" s="22">
        <v>14</v>
      </c>
      <c r="U149" s="22">
        <v>5</v>
      </c>
      <c r="V149">
        <v>130703</v>
      </c>
      <c r="W149" s="6" t="s">
        <v>123</v>
      </c>
      <c r="X149" s="7">
        <v>22.2</v>
      </c>
      <c r="Z149" s="40">
        <f t="shared" si="8"/>
        <v>0</v>
      </c>
      <c r="AA149">
        <v>2.4</v>
      </c>
    </row>
    <row r="150" spans="1:27" x14ac:dyDescent="0.25">
      <c r="A150" s="43">
        <v>53</v>
      </c>
      <c r="B150" s="43">
        <v>29</v>
      </c>
      <c r="C150" s="43">
        <v>2</v>
      </c>
      <c r="D150" s="43">
        <v>1</v>
      </c>
      <c r="E150" s="43">
        <v>130501</v>
      </c>
      <c r="F150" s="43">
        <v>82619</v>
      </c>
      <c r="G150" s="44" t="s">
        <v>183</v>
      </c>
      <c r="H150">
        <v>5</v>
      </c>
      <c r="I150">
        <v>6</v>
      </c>
      <c r="J150">
        <v>6</v>
      </c>
      <c r="K150" s="43">
        <v>29.6</v>
      </c>
      <c r="L150" s="22">
        <v>25.7</v>
      </c>
      <c r="M150" s="7">
        <v>24.3</v>
      </c>
      <c r="N150" s="40">
        <f t="shared" si="6"/>
        <v>0.8682432432432432</v>
      </c>
      <c r="O150" s="40">
        <f t="shared" si="7"/>
        <v>0.82094594594594594</v>
      </c>
      <c r="P150" s="39">
        <v>1.9</v>
      </c>
      <c r="Q150" s="72">
        <f>VLOOKUP('All inst data'!A150,'all mice (except april 2012)'!$A$2:$G$218,7,FALSE)</f>
        <v>95</v>
      </c>
      <c r="S150" s="22">
        <v>150</v>
      </c>
      <c r="T150" s="22">
        <v>1</v>
      </c>
      <c r="U150" s="22">
        <v>6</v>
      </c>
      <c r="V150">
        <v>130708</v>
      </c>
      <c r="W150" s="6" t="s">
        <v>136</v>
      </c>
      <c r="X150" s="7">
        <v>23.5</v>
      </c>
      <c r="Y150" s="22">
        <v>20.8</v>
      </c>
      <c r="Z150" s="40">
        <f t="shared" si="8"/>
        <v>0.88510638297872346</v>
      </c>
      <c r="AA150">
        <v>3.4</v>
      </c>
    </row>
    <row r="151" spans="1:27" x14ac:dyDescent="0.25">
      <c r="A151" s="5">
        <v>54</v>
      </c>
      <c r="B151" s="43">
        <v>30</v>
      </c>
      <c r="C151" s="43">
        <v>2</v>
      </c>
      <c r="D151" s="43">
        <v>1</v>
      </c>
      <c r="E151" s="43">
        <v>130501</v>
      </c>
      <c r="F151" s="43">
        <v>82619</v>
      </c>
      <c r="G151" s="43" t="s">
        <v>181</v>
      </c>
      <c r="H151">
        <v>6</v>
      </c>
      <c r="I151">
        <v>1605</v>
      </c>
      <c r="J151">
        <v>362</v>
      </c>
      <c r="K151" s="43">
        <v>29.4</v>
      </c>
      <c r="L151" s="22">
        <v>25.4</v>
      </c>
      <c r="M151" s="7">
        <v>24.8</v>
      </c>
      <c r="N151" s="40">
        <f t="shared" si="6"/>
        <v>0.86394557823129248</v>
      </c>
      <c r="O151" s="40">
        <f t="shared" si="7"/>
        <v>0.84353741496598644</v>
      </c>
      <c r="P151" s="39">
        <v>2.2000000000000002</v>
      </c>
      <c r="Q151" s="72">
        <f>VLOOKUP('All inst data'!A151,'all mice (except april 2012)'!$A$2:$G$218,7,FALSE)</f>
        <v>106</v>
      </c>
      <c r="S151" s="22">
        <v>151</v>
      </c>
      <c r="T151" s="22">
        <v>2</v>
      </c>
      <c r="U151" s="22">
        <v>6</v>
      </c>
      <c r="V151">
        <v>130708</v>
      </c>
      <c r="W151" s="6" t="s">
        <v>136</v>
      </c>
      <c r="X151" s="7">
        <v>25</v>
      </c>
      <c r="Y151" s="22">
        <v>23.1</v>
      </c>
      <c r="Z151" s="40">
        <f t="shared" si="8"/>
        <v>0.92400000000000004</v>
      </c>
      <c r="AA151">
        <v>3.4</v>
      </c>
    </row>
    <row r="152" spans="1:27" x14ac:dyDescent="0.25">
      <c r="A152" s="5">
        <v>55</v>
      </c>
      <c r="B152" s="43">
        <v>31</v>
      </c>
      <c r="C152" s="43">
        <v>2</v>
      </c>
      <c r="D152" s="43">
        <v>1</v>
      </c>
      <c r="E152" s="43">
        <v>130501</v>
      </c>
      <c r="F152" s="43">
        <v>82619</v>
      </c>
      <c r="G152" s="43" t="s">
        <v>184</v>
      </c>
      <c r="H152">
        <v>7</v>
      </c>
      <c r="I152">
        <v>65</v>
      </c>
      <c r="J152">
        <v>56</v>
      </c>
      <c r="K152" s="43">
        <v>29.4</v>
      </c>
      <c r="L152" s="22">
        <v>26.3</v>
      </c>
      <c r="M152" s="7">
        <v>25</v>
      </c>
      <c r="N152" s="40">
        <f t="shared" si="6"/>
        <v>0.89455782312925181</v>
      </c>
      <c r="O152" s="40">
        <f t="shared" si="7"/>
        <v>0.85034013605442182</v>
      </c>
      <c r="P152" s="39">
        <v>2.2999999999999998</v>
      </c>
      <c r="Q152" s="72">
        <f>VLOOKUP('All inst data'!A152,'all mice (except april 2012)'!$A$2:$G$218,7,FALSE)</f>
        <v>92</v>
      </c>
      <c r="S152" s="22">
        <v>152</v>
      </c>
      <c r="T152" s="22">
        <v>3</v>
      </c>
      <c r="U152" s="22">
        <v>6</v>
      </c>
      <c r="V152">
        <v>130708</v>
      </c>
      <c r="W152" s="6" t="s">
        <v>125</v>
      </c>
      <c r="X152" s="7">
        <v>23.6</v>
      </c>
      <c r="Y152" s="22">
        <v>21.2</v>
      </c>
      <c r="Z152" s="40">
        <f t="shared" si="8"/>
        <v>0.89830508474576265</v>
      </c>
      <c r="AA152">
        <v>3.5</v>
      </c>
    </row>
    <row r="153" spans="1:27" x14ac:dyDescent="0.25">
      <c r="A153" s="5">
        <v>56</v>
      </c>
      <c r="B153" s="43">
        <v>32</v>
      </c>
      <c r="C153" s="43">
        <v>2</v>
      </c>
      <c r="D153" s="43">
        <v>1</v>
      </c>
      <c r="E153" s="43">
        <v>130501</v>
      </c>
      <c r="F153" s="43">
        <v>82620</v>
      </c>
      <c r="G153" s="43" t="s">
        <v>184</v>
      </c>
      <c r="H153">
        <v>8</v>
      </c>
      <c r="I153">
        <v>0</v>
      </c>
      <c r="J153">
        <v>0</v>
      </c>
      <c r="K153" s="43">
        <v>31</v>
      </c>
      <c r="L153" s="22">
        <v>27</v>
      </c>
      <c r="M153" s="7">
        <v>25.5</v>
      </c>
      <c r="N153" s="40">
        <f t="shared" si="6"/>
        <v>0.87096774193548387</v>
      </c>
      <c r="O153" s="40">
        <f t="shared" si="7"/>
        <v>0.82258064516129037</v>
      </c>
      <c r="P153" s="39">
        <v>2.2999999999999998</v>
      </c>
      <c r="Q153" s="72">
        <f>VLOOKUP('All inst data'!A153,'all mice (except april 2012)'!$A$2:$G$218,7,FALSE)</f>
        <v>92</v>
      </c>
      <c r="S153" s="22">
        <v>153</v>
      </c>
      <c r="T153" s="22">
        <v>4</v>
      </c>
      <c r="U153" s="22">
        <v>6</v>
      </c>
      <c r="V153">
        <v>130708</v>
      </c>
      <c r="W153" s="6" t="s">
        <v>125</v>
      </c>
      <c r="X153" s="7">
        <v>20.2</v>
      </c>
      <c r="Y153" s="22">
        <v>18</v>
      </c>
      <c r="Z153" s="40">
        <f t="shared" si="8"/>
        <v>0.8910891089108911</v>
      </c>
      <c r="AA153">
        <v>3.4</v>
      </c>
    </row>
    <row r="154" spans="1:27" x14ac:dyDescent="0.25">
      <c r="A154" s="5">
        <v>57</v>
      </c>
      <c r="B154" s="43">
        <v>33</v>
      </c>
      <c r="C154" s="43">
        <v>2</v>
      </c>
      <c r="D154" s="43">
        <v>1</v>
      </c>
      <c r="E154" s="43">
        <v>130501</v>
      </c>
      <c r="F154" s="43">
        <v>82620</v>
      </c>
      <c r="G154" s="43" t="s">
        <v>166</v>
      </c>
      <c r="H154">
        <v>9</v>
      </c>
      <c r="I154">
        <v>646</v>
      </c>
      <c r="J154">
        <v>196</v>
      </c>
      <c r="K154" s="22">
        <v>30</v>
      </c>
      <c r="L154" s="22">
        <v>25.8</v>
      </c>
      <c r="M154" s="7">
        <v>25.1</v>
      </c>
      <c r="N154" s="40">
        <f t="shared" si="6"/>
        <v>0.86</v>
      </c>
      <c r="O154" s="40">
        <f t="shared" si="7"/>
        <v>0.83666666666666667</v>
      </c>
      <c r="P154" s="39">
        <v>2.1</v>
      </c>
      <c r="Q154" s="72">
        <f>VLOOKUP('All inst data'!A154,'all mice (except april 2012)'!$A$2:$G$218,7,FALSE)</f>
        <v>118</v>
      </c>
      <c r="S154" s="43">
        <v>154</v>
      </c>
      <c r="T154" s="43">
        <v>5</v>
      </c>
      <c r="U154" s="43">
        <v>6</v>
      </c>
      <c r="V154" s="43">
        <v>130722</v>
      </c>
      <c r="W154" s="6" t="s">
        <v>141</v>
      </c>
      <c r="X154" s="7">
        <v>32.9</v>
      </c>
    </row>
    <row r="155" spans="1:27" x14ac:dyDescent="0.25">
      <c r="A155" s="5">
        <v>58</v>
      </c>
      <c r="B155" s="43">
        <v>34</v>
      </c>
      <c r="C155" s="43">
        <v>2</v>
      </c>
      <c r="D155" s="43">
        <v>1</v>
      </c>
      <c r="E155" s="43">
        <v>130501</v>
      </c>
      <c r="F155" s="43">
        <v>83552</v>
      </c>
      <c r="G155" s="43" t="s">
        <v>166</v>
      </c>
      <c r="H155">
        <v>10</v>
      </c>
      <c r="I155">
        <v>638</v>
      </c>
      <c r="J155">
        <v>191</v>
      </c>
      <c r="K155" s="22">
        <v>35.200000000000003</v>
      </c>
      <c r="L155" s="22">
        <v>30.4</v>
      </c>
      <c r="M155" s="7">
        <v>29.7</v>
      </c>
      <c r="N155" s="40">
        <f t="shared" si="6"/>
        <v>0.86363636363636354</v>
      </c>
      <c r="O155" s="40">
        <f t="shared" si="7"/>
        <v>0.84374999999999989</v>
      </c>
      <c r="P155" s="39">
        <v>2.1</v>
      </c>
      <c r="Q155" s="72">
        <f>VLOOKUP('All inst data'!A155,'all mice (except april 2012)'!$A$2:$G$218,7,FALSE)</f>
        <v>118</v>
      </c>
      <c r="S155" s="43">
        <v>155</v>
      </c>
      <c r="T155" s="43">
        <v>6</v>
      </c>
      <c r="U155" s="43">
        <v>6</v>
      </c>
      <c r="V155" s="43">
        <v>130722</v>
      </c>
      <c r="W155" s="6" t="s">
        <v>141</v>
      </c>
      <c r="X155" s="7">
        <v>29.8</v>
      </c>
    </row>
    <row r="156" spans="1:27" x14ac:dyDescent="0.25">
      <c r="A156" s="5">
        <v>59</v>
      </c>
      <c r="B156" s="43">
        <v>35</v>
      </c>
      <c r="C156" s="43">
        <v>2</v>
      </c>
      <c r="D156" s="43">
        <v>1</v>
      </c>
      <c r="E156" s="43">
        <v>130501</v>
      </c>
      <c r="F156" s="43">
        <v>83320</v>
      </c>
      <c r="G156" s="43" t="s">
        <v>177</v>
      </c>
      <c r="H156">
        <v>11</v>
      </c>
      <c r="I156">
        <v>16</v>
      </c>
      <c r="J156">
        <v>15</v>
      </c>
      <c r="K156" s="22">
        <v>33.4</v>
      </c>
      <c r="L156" s="22">
        <v>29.3</v>
      </c>
      <c r="M156" s="7">
        <v>28</v>
      </c>
      <c r="N156" s="40">
        <f t="shared" si="6"/>
        <v>0.87724550898203602</v>
      </c>
      <c r="O156" s="40">
        <f t="shared" si="7"/>
        <v>0.83832335329341323</v>
      </c>
      <c r="P156" s="39">
        <v>2.2999999999999998</v>
      </c>
      <c r="Q156" s="72">
        <f>VLOOKUP('All inst data'!A156,'all mice (except april 2012)'!$A$2:$G$218,7,FALSE)</f>
        <v>116</v>
      </c>
      <c r="S156" s="43">
        <v>156</v>
      </c>
      <c r="T156" s="43">
        <v>7</v>
      </c>
      <c r="U156" s="43">
        <v>6</v>
      </c>
      <c r="V156" s="43">
        <v>130722</v>
      </c>
      <c r="W156" s="6" t="s">
        <v>140</v>
      </c>
      <c r="X156" s="7">
        <v>18</v>
      </c>
    </row>
    <row r="157" spans="1:27" x14ac:dyDescent="0.25">
      <c r="A157" s="5">
        <v>60</v>
      </c>
      <c r="B157" s="43">
        <v>36</v>
      </c>
      <c r="C157" s="43">
        <v>2</v>
      </c>
      <c r="D157" s="43">
        <v>1</v>
      </c>
      <c r="E157" s="43">
        <v>130501</v>
      </c>
      <c r="F157" s="43">
        <v>83320</v>
      </c>
      <c r="G157" s="43" t="s">
        <v>177</v>
      </c>
      <c r="H157">
        <v>12</v>
      </c>
      <c r="I157">
        <v>246</v>
      </c>
      <c r="J157">
        <v>116</v>
      </c>
      <c r="K157" s="43">
        <v>31</v>
      </c>
      <c r="L157" s="22">
        <v>26.9</v>
      </c>
      <c r="M157" s="7">
        <v>25.6</v>
      </c>
      <c r="N157" s="40">
        <f t="shared" si="6"/>
        <v>0.86774193548387091</v>
      </c>
      <c r="O157" s="40">
        <f t="shared" si="7"/>
        <v>0.82580645161290323</v>
      </c>
      <c r="P157" s="39">
        <v>2.2999999999999998</v>
      </c>
      <c r="Q157" s="72">
        <f>VLOOKUP('All inst data'!A157,'all mice (except april 2012)'!$A$2:$G$218,7,FALSE)</f>
        <v>116</v>
      </c>
      <c r="S157" s="43">
        <v>158</v>
      </c>
      <c r="T157" s="43">
        <v>9</v>
      </c>
      <c r="U157" s="43">
        <v>6</v>
      </c>
      <c r="V157" s="43">
        <v>130722</v>
      </c>
      <c r="W157" s="6" t="s">
        <v>171</v>
      </c>
      <c r="X157" s="28">
        <v>24.3</v>
      </c>
    </row>
    <row r="158" spans="1:27" x14ac:dyDescent="0.25">
      <c r="A158" s="43">
        <v>49</v>
      </c>
      <c r="B158" s="43">
        <v>25</v>
      </c>
      <c r="C158" s="43">
        <v>2</v>
      </c>
      <c r="D158" s="43">
        <v>2</v>
      </c>
      <c r="E158" s="43">
        <v>130502</v>
      </c>
      <c r="F158" s="43">
        <v>100125</v>
      </c>
      <c r="G158" s="43" t="s">
        <v>182</v>
      </c>
      <c r="H158">
        <v>1</v>
      </c>
      <c r="I158">
        <v>774</v>
      </c>
      <c r="J158">
        <v>223</v>
      </c>
      <c r="K158" s="43">
        <v>20.5</v>
      </c>
      <c r="L158" s="22">
        <v>18</v>
      </c>
      <c r="M158" s="7">
        <v>17</v>
      </c>
      <c r="N158" s="40">
        <f t="shared" si="6"/>
        <v>0.87804878048780488</v>
      </c>
      <c r="O158" s="40">
        <f t="shared" si="7"/>
        <v>0.82926829268292679</v>
      </c>
      <c r="P158" s="39">
        <v>2</v>
      </c>
      <c r="Q158" s="72">
        <f>VLOOKUP('All inst data'!A158,'all mice (except april 2012)'!$A$2:$G$218,7,FALSE)</f>
        <v>83</v>
      </c>
      <c r="S158" s="43">
        <v>159</v>
      </c>
      <c r="T158" s="43">
        <v>10</v>
      </c>
      <c r="U158" s="43">
        <v>6</v>
      </c>
      <c r="V158" s="43">
        <v>130722</v>
      </c>
      <c r="W158" s="6" t="s">
        <v>171</v>
      </c>
      <c r="X158" s="33">
        <v>24.2</v>
      </c>
    </row>
    <row r="159" spans="1:27" x14ac:dyDescent="0.25">
      <c r="A159" s="43">
        <v>50</v>
      </c>
      <c r="B159" s="43">
        <v>26</v>
      </c>
      <c r="C159" s="43">
        <v>2</v>
      </c>
      <c r="D159" s="43">
        <v>2</v>
      </c>
      <c r="E159" s="43">
        <v>130502</v>
      </c>
      <c r="F159" s="43">
        <v>100126</v>
      </c>
      <c r="G159" s="43" t="s">
        <v>182</v>
      </c>
      <c r="H159">
        <v>2</v>
      </c>
      <c r="I159">
        <v>1</v>
      </c>
      <c r="J159">
        <v>1</v>
      </c>
      <c r="K159" s="43">
        <v>23.5</v>
      </c>
      <c r="L159" s="22">
        <v>20.9</v>
      </c>
      <c r="M159" s="7">
        <v>19.3</v>
      </c>
      <c r="N159" s="40">
        <f t="shared" si="6"/>
        <v>0.88936170212765953</v>
      </c>
      <c r="O159" s="40">
        <f t="shared" si="7"/>
        <v>0.82127659574468093</v>
      </c>
      <c r="P159" s="39">
        <v>2</v>
      </c>
      <c r="Q159" s="72">
        <f>VLOOKUP('All inst data'!A159,'all mice (except april 2012)'!$A$2:$G$218,7,FALSE)</f>
        <v>83</v>
      </c>
      <c r="S159" s="43">
        <v>160</v>
      </c>
      <c r="T159" s="43">
        <v>11</v>
      </c>
      <c r="U159" s="43">
        <v>6</v>
      </c>
      <c r="V159" s="43">
        <v>130722</v>
      </c>
      <c r="W159" s="6" t="s">
        <v>171</v>
      </c>
      <c r="X159" s="28">
        <v>24.4</v>
      </c>
    </row>
    <row r="160" spans="1:27" x14ac:dyDescent="0.25">
      <c r="A160" s="43">
        <v>51</v>
      </c>
      <c r="B160" s="43">
        <v>27</v>
      </c>
      <c r="C160" s="43">
        <v>2</v>
      </c>
      <c r="D160" s="43">
        <v>2</v>
      </c>
      <c r="E160" s="43">
        <v>130502</v>
      </c>
      <c r="F160" s="43">
        <v>100126</v>
      </c>
      <c r="G160" s="43" t="s">
        <v>182</v>
      </c>
      <c r="H160">
        <v>3</v>
      </c>
      <c r="I160">
        <v>3</v>
      </c>
      <c r="J160">
        <v>3</v>
      </c>
      <c r="K160" s="43">
        <v>25.2</v>
      </c>
      <c r="L160" s="22">
        <v>21.9</v>
      </c>
      <c r="M160" s="7">
        <v>20.3</v>
      </c>
      <c r="N160" s="40">
        <f t="shared" si="6"/>
        <v>0.86904761904761907</v>
      </c>
      <c r="O160" s="40">
        <f t="shared" si="7"/>
        <v>0.80555555555555558</v>
      </c>
      <c r="P160" s="39">
        <v>2</v>
      </c>
      <c r="Q160" s="72">
        <f>VLOOKUP('All inst data'!A160,'all mice (except april 2012)'!$A$2:$G$218,7,FALSE)</f>
        <v>83</v>
      </c>
      <c r="S160" s="43">
        <v>161</v>
      </c>
      <c r="T160" s="43">
        <v>12</v>
      </c>
      <c r="U160" s="43">
        <v>6</v>
      </c>
      <c r="V160" s="43">
        <v>130729</v>
      </c>
      <c r="W160" s="11" t="s">
        <v>145</v>
      </c>
      <c r="X160" s="28">
        <v>25.9</v>
      </c>
      <c r="Y160">
        <v>23.1</v>
      </c>
      <c r="Z160" s="40">
        <f t="shared" ref="Z160:Z175" si="9">Y160/X160</f>
        <v>0.891891891891892</v>
      </c>
      <c r="AA160">
        <v>4.0999999999999996</v>
      </c>
    </row>
    <row r="161" spans="1:27" x14ac:dyDescent="0.25">
      <c r="A161" s="43">
        <v>52</v>
      </c>
      <c r="B161" s="43">
        <v>28</v>
      </c>
      <c r="C161" s="43">
        <v>2</v>
      </c>
      <c r="D161" s="43">
        <v>2</v>
      </c>
      <c r="E161" s="43">
        <v>130502</v>
      </c>
      <c r="F161" s="43">
        <v>100410</v>
      </c>
      <c r="G161" s="43" t="s">
        <v>183</v>
      </c>
      <c r="H161">
        <v>4</v>
      </c>
      <c r="I161">
        <v>1</v>
      </c>
      <c r="J161">
        <v>1</v>
      </c>
      <c r="K161" s="22">
        <v>28.3</v>
      </c>
      <c r="L161" s="22">
        <v>24.5</v>
      </c>
      <c r="M161" s="7">
        <v>23.4</v>
      </c>
      <c r="N161" s="40">
        <f t="shared" si="6"/>
        <v>0.86572438162544163</v>
      </c>
      <c r="O161" s="40">
        <f t="shared" si="7"/>
        <v>0.82685512367491154</v>
      </c>
      <c r="P161" s="39">
        <v>2.25</v>
      </c>
      <c r="Q161" s="72">
        <f>VLOOKUP('All inst data'!A161,'all mice (except april 2012)'!$A$2:$G$218,7,FALSE)</f>
        <v>95</v>
      </c>
      <c r="S161" s="43">
        <v>162</v>
      </c>
      <c r="T161" s="43">
        <v>13</v>
      </c>
      <c r="U161" s="43">
        <v>6</v>
      </c>
      <c r="V161" s="43">
        <v>130729</v>
      </c>
      <c r="W161" s="11" t="s">
        <v>146</v>
      </c>
      <c r="X161" s="28">
        <v>25.5</v>
      </c>
      <c r="Y161">
        <v>22.4</v>
      </c>
      <c r="Z161" s="40">
        <f t="shared" si="9"/>
        <v>0.8784313725490196</v>
      </c>
      <c r="AA161">
        <v>3.25</v>
      </c>
    </row>
    <row r="162" spans="1:27" x14ac:dyDescent="0.25">
      <c r="A162" s="43">
        <v>53</v>
      </c>
      <c r="B162" s="43">
        <v>29</v>
      </c>
      <c r="C162" s="43">
        <v>2</v>
      </c>
      <c r="D162" s="43">
        <v>2</v>
      </c>
      <c r="E162" s="43">
        <v>130502</v>
      </c>
      <c r="F162" s="43">
        <v>100410</v>
      </c>
      <c r="G162" s="43" t="s">
        <v>183</v>
      </c>
      <c r="H162">
        <v>5</v>
      </c>
      <c r="I162">
        <v>4</v>
      </c>
      <c r="J162">
        <v>4</v>
      </c>
      <c r="K162" s="43">
        <v>29.6</v>
      </c>
      <c r="L162" s="22">
        <v>25.2</v>
      </c>
      <c r="M162" s="7">
        <v>23.4</v>
      </c>
      <c r="N162" s="40">
        <f t="shared" si="6"/>
        <v>0.85135135135135132</v>
      </c>
      <c r="O162" s="40">
        <f t="shared" si="7"/>
        <v>0.79054054054054046</v>
      </c>
      <c r="P162" s="39">
        <v>2.25</v>
      </c>
      <c r="Q162" s="72">
        <f>VLOOKUP('All inst data'!A162,'all mice (except april 2012)'!$A$2:$G$218,7,FALSE)</f>
        <v>95</v>
      </c>
      <c r="S162" s="43">
        <v>163</v>
      </c>
      <c r="T162" s="43">
        <v>14</v>
      </c>
      <c r="U162" s="43">
        <v>6</v>
      </c>
      <c r="V162" s="43">
        <v>130729</v>
      </c>
      <c r="W162" s="11" t="s">
        <v>146</v>
      </c>
      <c r="X162" s="28">
        <v>24.9</v>
      </c>
      <c r="Y162">
        <v>22</v>
      </c>
      <c r="Z162" s="40">
        <f t="shared" si="9"/>
        <v>0.88353413654618473</v>
      </c>
      <c r="AA162">
        <v>3.25</v>
      </c>
    </row>
    <row r="163" spans="1:27" x14ac:dyDescent="0.25">
      <c r="A163" s="43">
        <v>54</v>
      </c>
      <c r="B163" s="43">
        <v>30</v>
      </c>
      <c r="C163" s="43">
        <v>2</v>
      </c>
      <c r="D163" s="43">
        <v>2</v>
      </c>
      <c r="E163" s="43">
        <v>130502</v>
      </c>
      <c r="F163" s="43">
        <v>100410</v>
      </c>
      <c r="G163" s="43" t="s">
        <v>181</v>
      </c>
      <c r="H163">
        <v>6</v>
      </c>
      <c r="I163">
        <v>2091</v>
      </c>
      <c r="J163">
        <v>456</v>
      </c>
      <c r="K163" s="43">
        <v>29.4</v>
      </c>
      <c r="L163" s="22">
        <v>25.3</v>
      </c>
      <c r="M163" s="7">
        <v>25.3</v>
      </c>
      <c r="N163" s="40">
        <f t="shared" si="6"/>
        <v>0.8605442176870749</v>
      </c>
      <c r="O163" s="40">
        <f t="shared" si="7"/>
        <v>0.8605442176870749</v>
      </c>
      <c r="P163" s="39">
        <v>2.2999999999999998</v>
      </c>
      <c r="Q163" s="72">
        <f>VLOOKUP('All inst data'!A163,'all mice (except april 2012)'!$A$2:$G$218,7,FALSE)</f>
        <v>106</v>
      </c>
      <c r="S163" s="43">
        <v>164</v>
      </c>
      <c r="T163" s="43">
        <v>1</v>
      </c>
      <c r="U163" s="43">
        <v>7</v>
      </c>
      <c r="V163" s="43">
        <v>130902</v>
      </c>
      <c r="W163" s="43" t="s">
        <v>173</v>
      </c>
      <c r="X163" s="28">
        <v>24.5</v>
      </c>
      <c r="Y163">
        <v>21.4</v>
      </c>
      <c r="Z163" s="40">
        <f t="shared" si="9"/>
        <v>0.87346938775510197</v>
      </c>
      <c r="AA163">
        <v>2.5</v>
      </c>
    </row>
    <row r="164" spans="1:27" x14ac:dyDescent="0.25">
      <c r="A164" s="43">
        <v>55</v>
      </c>
      <c r="B164" s="43">
        <v>31</v>
      </c>
      <c r="C164" s="43">
        <v>2</v>
      </c>
      <c r="D164" s="43">
        <v>2</v>
      </c>
      <c r="E164" s="43">
        <v>130502</v>
      </c>
      <c r="F164" s="43">
        <v>100650</v>
      </c>
      <c r="G164" s="43" t="s">
        <v>184</v>
      </c>
      <c r="H164">
        <v>7</v>
      </c>
      <c r="I164">
        <v>704</v>
      </c>
      <c r="J164">
        <v>201</v>
      </c>
      <c r="K164" s="22">
        <v>29.4</v>
      </c>
      <c r="L164" s="22">
        <v>25.9</v>
      </c>
      <c r="M164" s="7">
        <v>24.7</v>
      </c>
      <c r="N164" s="40">
        <f t="shared" si="6"/>
        <v>0.88095238095238093</v>
      </c>
      <c r="O164" s="40">
        <f t="shared" si="7"/>
        <v>0.84013605442176875</v>
      </c>
      <c r="P164" s="39">
        <v>2.5499999999999998</v>
      </c>
      <c r="Q164" s="72">
        <f>VLOOKUP('All inst data'!A164,'all mice (except april 2012)'!$A$2:$G$218,7,FALSE)</f>
        <v>92</v>
      </c>
      <c r="S164" s="43">
        <v>165</v>
      </c>
      <c r="T164" s="43">
        <v>2</v>
      </c>
      <c r="U164" s="43">
        <v>7</v>
      </c>
      <c r="V164" s="43">
        <v>130902</v>
      </c>
      <c r="W164" s="43" t="s">
        <v>6</v>
      </c>
      <c r="X164" s="28">
        <v>27.4</v>
      </c>
      <c r="Y164">
        <v>24.1</v>
      </c>
      <c r="Z164" s="40">
        <f t="shared" si="9"/>
        <v>0.87956204379562053</v>
      </c>
      <c r="AA164">
        <v>2.25</v>
      </c>
    </row>
    <row r="165" spans="1:27" x14ac:dyDescent="0.25">
      <c r="A165" s="43">
        <v>56</v>
      </c>
      <c r="B165" s="43">
        <v>32</v>
      </c>
      <c r="C165" s="43">
        <v>2</v>
      </c>
      <c r="D165" s="43">
        <v>2</v>
      </c>
      <c r="E165" s="43">
        <v>130502</v>
      </c>
      <c r="F165" s="43">
        <v>100650</v>
      </c>
      <c r="G165" s="43" t="s">
        <v>184</v>
      </c>
      <c r="H165">
        <v>8</v>
      </c>
      <c r="I165">
        <v>1</v>
      </c>
      <c r="J165">
        <v>1</v>
      </c>
      <c r="K165" s="22">
        <v>31</v>
      </c>
      <c r="L165" s="22">
        <v>26.8</v>
      </c>
      <c r="M165" s="7">
        <v>25.4</v>
      </c>
      <c r="N165" s="40">
        <f t="shared" si="6"/>
        <v>0.86451612903225805</v>
      </c>
      <c r="O165" s="40">
        <f t="shared" si="7"/>
        <v>0.8193548387096774</v>
      </c>
      <c r="P165" s="39">
        <v>2.5499999999999998</v>
      </c>
      <c r="Q165" s="72">
        <f>VLOOKUP('All inst data'!A165,'all mice (except april 2012)'!$A$2:$G$218,7,FALSE)</f>
        <v>92</v>
      </c>
      <c r="S165" s="43">
        <v>166</v>
      </c>
      <c r="T165" s="43">
        <v>3</v>
      </c>
      <c r="U165" s="43">
        <v>7</v>
      </c>
      <c r="V165" s="43">
        <v>130902</v>
      </c>
      <c r="W165" s="43" t="s">
        <v>6</v>
      </c>
      <c r="X165" s="28">
        <v>27</v>
      </c>
      <c r="Y165">
        <v>23.5</v>
      </c>
      <c r="Z165" s="40">
        <f t="shared" si="9"/>
        <v>0.87037037037037035</v>
      </c>
      <c r="AA165" s="43">
        <v>2.25</v>
      </c>
    </row>
    <row r="166" spans="1:27" x14ac:dyDescent="0.25">
      <c r="A166" s="43">
        <v>57</v>
      </c>
      <c r="B166" s="43">
        <v>33</v>
      </c>
      <c r="C166" s="43">
        <v>2</v>
      </c>
      <c r="D166" s="43">
        <v>2</v>
      </c>
      <c r="E166" s="43">
        <v>130502</v>
      </c>
      <c r="F166" s="43">
        <v>100651</v>
      </c>
      <c r="G166" s="43" t="s">
        <v>166</v>
      </c>
      <c r="H166">
        <v>9</v>
      </c>
      <c r="I166">
        <v>1240</v>
      </c>
      <c r="J166">
        <v>312</v>
      </c>
      <c r="K166" s="43">
        <v>30</v>
      </c>
      <c r="L166" s="22">
        <v>25.4</v>
      </c>
      <c r="M166" s="7">
        <v>24.9</v>
      </c>
      <c r="N166" s="40">
        <f t="shared" si="6"/>
        <v>0.84666666666666657</v>
      </c>
      <c r="O166" s="40">
        <f t="shared" si="7"/>
        <v>0.83</v>
      </c>
      <c r="P166" s="39">
        <v>2.35</v>
      </c>
      <c r="Q166" s="72">
        <f>VLOOKUP('All inst data'!A166,'all mice (except april 2012)'!$A$2:$G$218,7,FALSE)</f>
        <v>118</v>
      </c>
      <c r="S166" s="43">
        <v>167</v>
      </c>
      <c r="T166" s="43">
        <v>4</v>
      </c>
      <c r="U166" s="43">
        <v>7</v>
      </c>
      <c r="V166" s="43">
        <v>130902</v>
      </c>
      <c r="W166" s="43" t="s">
        <v>3</v>
      </c>
      <c r="X166" s="43">
        <v>27.1</v>
      </c>
      <c r="Y166">
        <v>24.1</v>
      </c>
      <c r="Z166" s="40">
        <f t="shared" si="9"/>
        <v>0.88929889298892995</v>
      </c>
      <c r="AA166">
        <v>3.2</v>
      </c>
    </row>
    <row r="167" spans="1:27" x14ac:dyDescent="0.25">
      <c r="A167" s="43">
        <v>58</v>
      </c>
      <c r="B167" s="43">
        <v>34</v>
      </c>
      <c r="C167" s="43">
        <v>2</v>
      </c>
      <c r="D167" s="43">
        <v>2</v>
      </c>
      <c r="E167" s="43">
        <v>130502</v>
      </c>
      <c r="F167" s="43">
        <v>101852</v>
      </c>
      <c r="G167" s="43" t="s">
        <v>166</v>
      </c>
      <c r="H167">
        <v>10</v>
      </c>
      <c r="I167">
        <v>792</v>
      </c>
      <c r="J167">
        <v>222</v>
      </c>
      <c r="K167" s="43">
        <v>35.200000000000003</v>
      </c>
      <c r="L167" s="22">
        <v>30</v>
      </c>
      <c r="M167" s="7">
        <v>28.9</v>
      </c>
      <c r="N167" s="40">
        <f t="shared" si="6"/>
        <v>0.85227272727272718</v>
      </c>
      <c r="O167" s="40">
        <f t="shared" si="7"/>
        <v>0.82102272727272718</v>
      </c>
      <c r="P167" s="39">
        <v>2.35</v>
      </c>
      <c r="Q167" s="72">
        <f>VLOOKUP('All inst data'!A167,'all mice (except april 2012)'!$A$2:$G$218,7,FALSE)</f>
        <v>118</v>
      </c>
      <c r="S167" s="43">
        <v>168</v>
      </c>
      <c r="T167" s="43">
        <v>5</v>
      </c>
      <c r="U167" s="43">
        <v>7</v>
      </c>
      <c r="V167" s="43">
        <v>130902</v>
      </c>
      <c r="W167" s="43" t="s">
        <v>3</v>
      </c>
      <c r="X167" s="43">
        <v>23.4</v>
      </c>
      <c r="Y167">
        <v>21.5</v>
      </c>
      <c r="Z167" s="40">
        <f t="shared" si="9"/>
        <v>0.91880341880341887</v>
      </c>
      <c r="AA167" s="43">
        <v>3.2</v>
      </c>
    </row>
    <row r="168" spans="1:27" x14ac:dyDescent="0.25">
      <c r="A168" s="43">
        <v>59</v>
      </c>
      <c r="B168" s="43">
        <v>35</v>
      </c>
      <c r="C168" s="43">
        <v>2</v>
      </c>
      <c r="D168" s="43">
        <v>2</v>
      </c>
      <c r="E168" s="43">
        <v>130502</v>
      </c>
      <c r="F168" s="43">
        <v>100846</v>
      </c>
      <c r="G168" s="43" t="s">
        <v>177</v>
      </c>
      <c r="H168">
        <v>11</v>
      </c>
      <c r="I168">
        <v>5</v>
      </c>
      <c r="J168">
        <v>5</v>
      </c>
      <c r="K168" s="43">
        <v>33.4</v>
      </c>
      <c r="L168" s="22">
        <v>28.6</v>
      </c>
      <c r="M168" s="7">
        <v>27.4</v>
      </c>
      <c r="N168" s="40">
        <f t="shared" si="6"/>
        <v>0.85628742514970069</v>
      </c>
      <c r="O168" s="40">
        <f t="shared" si="7"/>
        <v>0.82035928143712578</v>
      </c>
      <c r="P168" s="39">
        <v>2.6</v>
      </c>
      <c r="Q168" s="72">
        <f>VLOOKUP('All inst data'!A168,'all mice (except april 2012)'!$A$2:$G$218,7,FALSE)</f>
        <v>116</v>
      </c>
      <c r="S168" s="43">
        <v>169</v>
      </c>
      <c r="T168" s="43">
        <v>6</v>
      </c>
      <c r="U168" s="43">
        <v>7</v>
      </c>
      <c r="V168" s="43">
        <v>130902</v>
      </c>
      <c r="W168" s="43" t="s">
        <v>5</v>
      </c>
      <c r="X168" s="28">
        <v>26.6</v>
      </c>
      <c r="Y168">
        <v>24.3</v>
      </c>
      <c r="Z168" s="40">
        <f t="shared" si="9"/>
        <v>0.9135338345864662</v>
      </c>
      <c r="AA168" s="43">
        <v>3.2</v>
      </c>
    </row>
    <row r="169" spans="1:27" x14ac:dyDescent="0.25">
      <c r="A169" s="43">
        <v>60</v>
      </c>
      <c r="B169" s="43">
        <v>36</v>
      </c>
      <c r="C169" s="43">
        <v>2</v>
      </c>
      <c r="D169" s="43">
        <v>2</v>
      </c>
      <c r="E169" s="43">
        <v>130502</v>
      </c>
      <c r="F169" s="43">
        <v>100846</v>
      </c>
      <c r="G169" s="43" t="s">
        <v>177</v>
      </c>
      <c r="H169">
        <v>12</v>
      </c>
      <c r="I169">
        <v>274</v>
      </c>
      <c r="J169">
        <v>122</v>
      </c>
      <c r="K169" s="43">
        <v>31</v>
      </c>
      <c r="L169" s="22">
        <v>26.8</v>
      </c>
      <c r="M169" s="7">
        <v>25.3</v>
      </c>
      <c r="N169" s="40">
        <f t="shared" si="6"/>
        <v>0.86451612903225805</v>
      </c>
      <c r="O169" s="40">
        <f t="shared" si="7"/>
        <v>0.81612903225806455</v>
      </c>
      <c r="P169" s="39">
        <v>2.6</v>
      </c>
      <c r="Q169" s="72">
        <f>VLOOKUP('All inst data'!A169,'all mice (except april 2012)'!$A$2:$G$218,7,FALSE)</f>
        <v>116</v>
      </c>
      <c r="S169" s="43">
        <v>170</v>
      </c>
      <c r="T169" s="43">
        <v>7</v>
      </c>
      <c r="U169" s="43">
        <v>7</v>
      </c>
      <c r="V169" s="43">
        <v>130902</v>
      </c>
      <c r="W169" s="43" t="s">
        <v>5</v>
      </c>
      <c r="X169" s="28">
        <v>29.3</v>
      </c>
      <c r="Y169">
        <v>25.7</v>
      </c>
      <c r="Z169" s="40">
        <f t="shared" si="9"/>
        <v>0.87713310580204773</v>
      </c>
      <c r="AA169" s="43">
        <v>3.2</v>
      </c>
    </row>
    <row r="170" spans="1:27" x14ac:dyDescent="0.25">
      <c r="A170" s="43">
        <v>49</v>
      </c>
      <c r="B170" s="43">
        <v>25</v>
      </c>
      <c r="C170" s="43">
        <v>2</v>
      </c>
      <c r="D170" s="43">
        <v>3</v>
      </c>
      <c r="E170" s="43">
        <v>130503</v>
      </c>
      <c r="F170" s="43">
        <v>94158</v>
      </c>
      <c r="G170" s="43" t="s">
        <v>182</v>
      </c>
      <c r="H170">
        <v>1</v>
      </c>
      <c r="I170">
        <v>947</v>
      </c>
      <c r="J170">
        <v>257</v>
      </c>
      <c r="K170" s="43">
        <v>20.5</v>
      </c>
      <c r="L170" s="22">
        <v>18.399999999999999</v>
      </c>
      <c r="M170" s="7">
        <v>17.3</v>
      </c>
      <c r="N170" s="40">
        <f t="shared" si="6"/>
        <v>0.89756097560975601</v>
      </c>
      <c r="O170" s="40">
        <f t="shared" si="7"/>
        <v>0.84390243902439033</v>
      </c>
      <c r="P170" s="39">
        <v>2.2999999999999998</v>
      </c>
      <c r="Q170" s="72">
        <f>VLOOKUP('All inst data'!A170,'all mice (except april 2012)'!$A$2:$G$218,7,FALSE)</f>
        <v>83</v>
      </c>
      <c r="S170" s="43">
        <v>171</v>
      </c>
      <c r="T170" s="43">
        <v>8</v>
      </c>
      <c r="U170" s="43">
        <v>7</v>
      </c>
      <c r="V170" s="43">
        <v>130909</v>
      </c>
      <c r="W170" s="43" t="s">
        <v>147</v>
      </c>
      <c r="X170" s="43">
        <v>23.2</v>
      </c>
      <c r="Y170">
        <v>20.9</v>
      </c>
      <c r="Z170" s="40">
        <f t="shared" si="9"/>
        <v>0.90086206896551724</v>
      </c>
      <c r="AA170">
        <v>2.35</v>
      </c>
    </row>
    <row r="171" spans="1:27" x14ac:dyDescent="0.25">
      <c r="A171" s="43">
        <v>50</v>
      </c>
      <c r="B171" s="43">
        <v>26</v>
      </c>
      <c r="C171" s="43">
        <v>2</v>
      </c>
      <c r="D171" s="43">
        <v>3</v>
      </c>
      <c r="E171" s="43">
        <v>130503</v>
      </c>
      <c r="F171" s="43">
        <v>94159</v>
      </c>
      <c r="G171" s="43" t="s">
        <v>182</v>
      </c>
      <c r="H171">
        <v>2</v>
      </c>
      <c r="I171">
        <v>1</v>
      </c>
      <c r="J171">
        <v>1</v>
      </c>
      <c r="K171" s="43">
        <v>23.5</v>
      </c>
      <c r="L171" s="22">
        <v>20.9</v>
      </c>
      <c r="M171" s="7">
        <v>19.5</v>
      </c>
      <c r="N171" s="40">
        <f t="shared" si="6"/>
        <v>0.88936170212765953</v>
      </c>
      <c r="O171" s="40">
        <f t="shared" si="7"/>
        <v>0.82978723404255317</v>
      </c>
      <c r="P171" s="39">
        <v>2.2999999999999998</v>
      </c>
      <c r="Q171" s="72">
        <f>VLOOKUP('All inst data'!A171,'all mice (except april 2012)'!$A$2:$G$218,7,FALSE)</f>
        <v>83</v>
      </c>
      <c r="S171" s="43">
        <v>172</v>
      </c>
      <c r="T171" s="43">
        <v>9</v>
      </c>
      <c r="U171" s="43">
        <v>7</v>
      </c>
      <c r="V171" s="43">
        <v>130909</v>
      </c>
      <c r="W171" s="43" t="s">
        <v>147</v>
      </c>
      <c r="X171" s="43">
        <v>23.1</v>
      </c>
      <c r="Y171">
        <v>21.4</v>
      </c>
      <c r="Z171" s="40">
        <f t="shared" si="9"/>
        <v>0.92640692640692623</v>
      </c>
      <c r="AA171">
        <v>2.35</v>
      </c>
    </row>
    <row r="172" spans="1:27" x14ac:dyDescent="0.25">
      <c r="A172" s="43">
        <v>51</v>
      </c>
      <c r="B172" s="43">
        <v>27</v>
      </c>
      <c r="C172" s="43">
        <v>2</v>
      </c>
      <c r="D172" s="43">
        <v>3</v>
      </c>
      <c r="E172" s="43">
        <v>130503</v>
      </c>
      <c r="F172" s="43">
        <v>94159</v>
      </c>
      <c r="G172" s="43" t="s">
        <v>182</v>
      </c>
      <c r="H172">
        <v>3</v>
      </c>
      <c r="I172">
        <v>1</v>
      </c>
      <c r="J172">
        <v>1</v>
      </c>
      <c r="K172" s="43">
        <v>25.2</v>
      </c>
      <c r="L172" s="22">
        <v>21.9</v>
      </c>
      <c r="M172" s="7">
        <v>20.399999999999999</v>
      </c>
      <c r="N172" s="40">
        <f t="shared" si="6"/>
        <v>0.86904761904761907</v>
      </c>
      <c r="O172" s="40">
        <f t="shared" si="7"/>
        <v>0.80952380952380953</v>
      </c>
      <c r="P172" s="39">
        <v>2.2999999999999998</v>
      </c>
      <c r="Q172" s="72">
        <f>VLOOKUP('All inst data'!A172,'all mice (except april 2012)'!$A$2:$G$218,7,FALSE)</f>
        <v>83</v>
      </c>
      <c r="S172" s="43">
        <v>173</v>
      </c>
      <c r="T172" s="43">
        <v>10</v>
      </c>
      <c r="U172" s="43">
        <v>7</v>
      </c>
      <c r="V172" s="43">
        <v>130909</v>
      </c>
      <c r="W172" s="43" t="s">
        <v>9</v>
      </c>
      <c r="X172" s="43">
        <v>27.4</v>
      </c>
      <c r="Y172">
        <v>24.3</v>
      </c>
      <c r="Z172" s="40">
        <f t="shared" si="9"/>
        <v>0.88686131386861322</v>
      </c>
      <c r="AA172">
        <v>2.8</v>
      </c>
    </row>
    <row r="173" spans="1:27" x14ac:dyDescent="0.25">
      <c r="A173" s="43">
        <v>52</v>
      </c>
      <c r="B173" s="43">
        <v>28</v>
      </c>
      <c r="C173" s="43">
        <v>2</v>
      </c>
      <c r="D173" s="43">
        <v>3</v>
      </c>
      <c r="E173" s="43">
        <v>130503</v>
      </c>
      <c r="F173" s="43">
        <v>94159</v>
      </c>
      <c r="G173" s="18" t="s">
        <v>183</v>
      </c>
      <c r="H173">
        <v>4</v>
      </c>
      <c r="I173">
        <v>45</v>
      </c>
      <c r="J173">
        <v>37</v>
      </c>
      <c r="K173" s="43">
        <v>28.3</v>
      </c>
      <c r="L173" s="22">
        <v>25.3</v>
      </c>
      <c r="M173" s="7">
        <v>23.9</v>
      </c>
      <c r="N173" s="40">
        <f t="shared" si="6"/>
        <v>0.89399293286219084</v>
      </c>
      <c r="O173" s="40">
        <f t="shared" si="7"/>
        <v>0.84452296819787975</v>
      </c>
      <c r="P173" s="39">
        <v>2.6</v>
      </c>
      <c r="Q173" s="72">
        <f>VLOOKUP('All inst data'!A173,'all mice (except april 2012)'!$A$2:$G$218,7,FALSE)</f>
        <v>95</v>
      </c>
      <c r="S173" s="43">
        <v>174</v>
      </c>
      <c r="T173" s="43">
        <v>11</v>
      </c>
      <c r="U173" s="43">
        <v>7</v>
      </c>
      <c r="V173" s="43">
        <v>130909</v>
      </c>
      <c r="W173" s="43" t="s">
        <v>113</v>
      </c>
      <c r="X173" s="43">
        <v>14.1</v>
      </c>
      <c r="Y173">
        <v>12.7</v>
      </c>
      <c r="Z173" s="40">
        <f t="shared" si="9"/>
        <v>0.900709219858156</v>
      </c>
      <c r="AA173">
        <v>3.7</v>
      </c>
    </row>
    <row r="174" spans="1:27" x14ac:dyDescent="0.25">
      <c r="A174" s="43">
        <v>53</v>
      </c>
      <c r="B174" s="43">
        <v>29</v>
      </c>
      <c r="C174" s="43">
        <v>2</v>
      </c>
      <c r="D174" s="43">
        <v>3</v>
      </c>
      <c r="E174" s="43">
        <v>130503</v>
      </c>
      <c r="F174" s="43">
        <v>94159</v>
      </c>
      <c r="G174" s="18" t="s">
        <v>183</v>
      </c>
      <c r="H174">
        <v>5</v>
      </c>
      <c r="I174">
        <v>1</v>
      </c>
      <c r="J174">
        <v>1</v>
      </c>
      <c r="K174" s="43">
        <v>29.6</v>
      </c>
      <c r="L174" s="22">
        <v>25.8</v>
      </c>
      <c r="M174" s="7">
        <v>23.1</v>
      </c>
      <c r="N174" s="40">
        <f t="shared" si="6"/>
        <v>0.8716216216216216</v>
      </c>
      <c r="O174" s="40">
        <f t="shared" si="7"/>
        <v>0.78040540540540537</v>
      </c>
      <c r="P174" s="39">
        <v>2.6</v>
      </c>
      <c r="Q174" s="72">
        <f>VLOOKUP('All inst data'!A174,'all mice (except april 2012)'!$A$2:$G$218,7,FALSE)</f>
        <v>95</v>
      </c>
      <c r="S174" s="43">
        <v>175</v>
      </c>
      <c r="T174" s="43">
        <v>12</v>
      </c>
      <c r="U174" s="43">
        <v>7</v>
      </c>
      <c r="V174" s="43">
        <v>130909</v>
      </c>
      <c r="W174" s="43" t="s">
        <v>112</v>
      </c>
      <c r="X174" s="43">
        <v>23.5</v>
      </c>
      <c r="Y174">
        <v>21.4</v>
      </c>
      <c r="Z174" s="40">
        <f t="shared" si="9"/>
        <v>0.91063829787234041</v>
      </c>
      <c r="AA174">
        <v>3.7</v>
      </c>
    </row>
    <row r="175" spans="1:27" x14ac:dyDescent="0.25">
      <c r="A175" s="43">
        <v>54</v>
      </c>
      <c r="B175" s="43">
        <v>30</v>
      </c>
      <c r="C175" s="43">
        <v>2</v>
      </c>
      <c r="D175" s="43">
        <v>3</v>
      </c>
      <c r="E175" s="43">
        <v>130503</v>
      </c>
      <c r="F175" s="43">
        <v>94200</v>
      </c>
      <c r="G175" s="43" t="s">
        <v>181</v>
      </c>
      <c r="H175">
        <v>6</v>
      </c>
      <c r="I175">
        <v>2095</v>
      </c>
      <c r="J175">
        <v>467</v>
      </c>
      <c r="K175" s="22">
        <v>29.4</v>
      </c>
      <c r="L175" s="22">
        <v>25.5</v>
      </c>
      <c r="M175" s="7">
        <v>25.2</v>
      </c>
      <c r="N175" s="40">
        <f t="shared" si="6"/>
        <v>0.86734693877551028</v>
      </c>
      <c r="O175" s="40">
        <f t="shared" si="7"/>
        <v>0.85714285714285721</v>
      </c>
      <c r="P175" s="39">
        <v>2.6</v>
      </c>
      <c r="Q175" s="72">
        <f>VLOOKUP('All inst data'!A175,'all mice (except april 2012)'!$A$2:$G$218,7,FALSE)</f>
        <v>106</v>
      </c>
      <c r="S175" s="43">
        <v>176</v>
      </c>
      <c r="T175" s="43">
        <v>13</v>
      </c>
      <c r="U175" s="43">
        <v>7</v>
      </c>
      <c r="V175" s="43">
        <v>130909</v>
      </c>
      <c r="W175" s="43" t="s">
        <v>110</v>
      </c>
      <c r="X175" s="43">
        <v>21.7</v>
      </c>
      <c r="Y175">
        <v>19.2</v>
      </c>
      <c r="Z175" s="40">
        <f t="shared" si="9"/>
        <v>0.88479262672811054</v>
      </c>
      <c r="AA175">
        <v>3.6</v>
      </c>
    </row>
    <row r="176" spans="1:27" x14ac:dyDescent="0.25">
      <c r="A176" s="43">
        <v>55</v>
      </c>
      <c r="B176" s="43">
        <v>31</v>
      </c>
      <c r="C176" s="43">
        <v>2</v>
      </c>
      <c r="D176" s="43">
        <v>3</v>
      </c>
      <c r="E176" s="43">
        <v>130503</v>
      </c>
      <c r="F176" s="43">
        <v>94200</v>
      </c>
      <c r="G176" s="43" t="s">
        <v>184</v>
      </c>
      <c r="H176">
        <v>7</v>
      </c>
      <c r="I176">
        <v>974</v>
      </c>
      <c r="J176">
        <v>246</v>
      </c>
      <c r="K176" s="22">
        <v>29.4</v>
      </c>
      <c r="L176" s="22">
        <v>26.5</v>
      </c>
      <c r="M176" s="7">
        <v>25.3</v>
      </c>
      <c r="N176" s="40">
        <f t="shared" si="6"/>
        <v>0.90136054421768708</v>
      </c>
      <c r="O176" s="40">
        <f t="shared" si="7"/>
        <v>0.8605442176870749</v>
      </c>
      <c r="P176" s="39">
        <v>2.9</v>
      </c>
      <c r="Q176" s="72">
        <f>VLOOKUP('All inst data'!A176,'all mice (except april 2012)'!$A$2:$G$218,7,FALSE)</f>
        <v>92</v>
      </c>
      <c r="Z176" s="40"/>
    </row>
    <row r="177" spans="1:26" x14ac:dyDescent="0.25">
      <c r="A177" s="43">
        <v>56</v>
      </c>
      <c r="B177" s="43">
        <v>32</v>
      </c>
      <c r="C177" s="43">
        <v>2</v>
      </c>
      <c r="D177" s="43">
        <v>3</v>
      </c>
      <c r="E177" s="43">
        <v>130503</v>
      </c>
      <c r="F177" s="43">
        <v>94200</v>
      </c>
      <c r="G177" s="43" t="s">
        <v>184</v>
      </c>
      <c r="H177">
        <v>8</v>
      </c>
      <c r="I177">
        <v>0</v>
      </c>
      <c r="J177">
        <v>0</v>
      </c>
      <c r="K177" s="43">
        <v>31</v>
      </c>
      <c r="L177" s="22">
        <v>26.8</v>
      </c>
      <c r="M177" s="7">
        <v>25.3</v>
      </c>
      <c r="N177" s="40">
        <f t="shared" si="6"/>
        <v>0.86451612903225805</v>
      </c>
      <c r="O177" s="40">
        <f t="shared" si="7"/>
        <v>0.81612903225806455</v>
      </c>
      <c r="P177" s="39">
        <v>2.9</v>
      </c>
      <c r="Q177" s="72">
        <f>VLOOKUP('All inst data'!A177,'all mice (except april 2012)'!$A$2:$G$218,7,FALSE)</f>
        <v>92</v>
      </c>
      <c r="Z177" s="40"/>
    </row>
    <row r="178" spans="1:26" x14ac:dyDescent="0.25">
      <c r="A178" s="43">
        <v>57</v>
      </c>
      <c r="B178" s="43">
        <v>33</v>
      </c>
      <c r="C178" s="43">
        <v>2</v>
      </c>
      <c r="D178" s="43">
        <v>3</v>
      </c>
      <c r="E178" s="43">
        <v>130503</v>
      </c>
      <c r="F178" s="43">
        <v>94200</v>
      </c>
      <c r="G178" s="43" t="s">
        <v>166</v>
      </c>
      <c r="H178">
        <v>9</v>
      </c>
      <c r="I178">
        <v>1094</v>
      </c>
      <c r="J178">
        <v>285</v>
      </c>
      <c r="K178" s="43">
        <v>30</v>
      </c>
      <c r="L178" s="22">
        <v>25.8</v>
      </c>
      <c r="M178" s="7">
        <v>25.7</v>
      </c>
      <c r="N178" s="40">
        <f t="shared" si="6"/>
        <v>0.86</v>
      </c>
      <c r="O178" s="40">
        <f t="shared" si="7"/>
        <v>0.85666666666666669</v>
      </c>
      <c r="P178" s="39">
        <v>2.65</v>
      </c>
      <c r="Q178" s="72">
        <f>VLOOKUP('All inst data'!A178,'all mice (except april 2012)'!$A$2:$G$218,7,FALSE)</f>
        <v>118</v>
      </c>
      <c r="Z178" s="40"/>
    </row>
    <row r="179" spans="1:26" x14ac:dyDescent="0.25">
      <c r="A179" s="43">
        <v>58</v>
      </c>
      <c r="B179" s="43">
        <v>34</v>
      </c>
      <c r="C179" s="43">
        <v>2</v>
      </c>
      <c r="D179" s="43">
        <v>3</v>
      </c>
      <c r="E179" s="43">
        <v>130503</v>
      </c>
      <c r="F179" s="43">
        <v>94901</v>
      </c>
      <c r="G179" s="43" t="s">
        <v>166</v>
      </c>
      <c r="H179">
        <v>10</v>
      </c>
      <c r="I179">
        <v>642</v>
      </c>
      <c r="J179">
        <v>195</v>
      </c>
      <c r="K179" s="22">
        <v>35.200000000000003</v>
      </c>
      <c r="L179" s="22">
        <v>30.4</v>
      </c>
      <c r="M179" s="7">
        <v>29.4</v>
      </c>
      <c r="N179" s="40">
        <f t="shared" si="6"/>
        <v>0.86363636363636354</v>
      </c>
      <c r="O179" s="40">
        <f t="shared" si="7"/>
        <v>0.8352272727272726</v>
      </c>
      <c r="P179" s="39">
        <v>2.65</v>
      </c>
      <c r="Q179" s="72">
        <f>VLOOKUP('All inst data'!A179,'all mice (except april 2012)'!$A$2:$G$218,7,FALSE)</f>
        <v>118</v>
      </c>
      <c r="Z179" s="40"/>
    </row>
    <row r="180" spans="1:26" x14ac:dyDescent="0.25">
      <c r="A180" s="43">
        <v>59</v>
      </c>
      <c r="B180" s="43">
        <v>35</v>
      </c>
      <c r="C180" s="43">
        <v>2</v>
      </c>
      <c r="D180" s="43">
        <v>3</v>
      </c>
      <c r="E180" s="43">
        <v>130503</v>
      </c>
      <c r="F180" s="43">
        <v>94200</v>
      </c>
      <c r="G180" s="43" t="s">
        <v>177</v>
      </c>
      <c r="H180">
        <v>11</v>
      </c>
      <c r="I180">
        <v>2</v>
      </c>
      <c r="J180">
        <v>2</v>
      </c>
      <c r="K180" s="22">
        <v>33.4</v>
      </c>
      <c r="L180" s="22">
        <v>29.1</v>
      </c>
      <c r="M180" s="7">
        <v>27.1</v>
      </c>
      <c r="N180" s="40">
        <f t="shared" si="6"/>
        <v>0.87125748502994016</v>
      </c>
      <c r="O180" s="40">
        <f t="shared" si="7"/>
        <v>0.81137724550898216</v>
      </c>
      <c r="P180" s="39">
        <v>2.9</v>
      </c>
      <c r="Q180" s="72">
        <f>VLOOKUP('All inst data'!A180,'all mice (except april 2012)'!$A$2:$G$218,7,FALSE)</f>
        <v>116</v>
      </c>
      <c r="Z180" s="40"/>
    </row>
    <row r="181" spans="1:26" x14ac:dyDescent="0.25">
      <c r="A181" s="43">
        <v>60</v>
      </c>
      <c r="B181" s="43">
        <v>36</v>
      </c>
      <c r="C181" s="43">
        <v>2</v>
      </c>
      <c r="D181" s="43">
        <v>3</v>
      </c>
      <c r="E181" s="43">
        <v>130503</v>
      </c>
      <c r="F181" s="43">
        <v>94200</v>
      </c>
      <c r="G181" s="43" t="s">
        <v>177</v>
      </c>
      <c r="H181">
        <v>12</v>
      </c>
      <c r="I181">
        <v>233</v>
      </c>
      <c r="J181">
        <v>116</v>
      </c>
      <c r="K181" s="43">
        <v>31</v>
      </c>
      <c r="L181" s="22">
        <v>26.9</v>
      </c>
      <c r="M181" s="7">
        <v>25.4</v>
      </c>
      <c r="N181" s="40">
        <f t="shared" si="6"/>
        <v>0.86774193548387091</v>
      </c>
      <c r="O181" s="40">
        <f t="shared" si="7"/>
        <v>0.8193548387096774</v>
      </c>
      <c r="P181" s="39">
        <v>2.9</v>
      </c>
      <c r="Q181" s="72">
        <f>VLOOKUP('All inst data'!A181,'all mice (except april 2012)'!$A$2:$G$218,7,FALSE)</f>
        <v>116</v>
      </c>
      <c r="Z181" s="40"/>
    </row>
    <row r="182" spans="1:26" x14ac:dyDescent="0.25">
      <c r="A182" s="43">
        <v>61</v>
      </c>
      <c r="B182" s="43">
        <v>37</v>
      </c>
      <c r="C182" s="43">
        <v>2</v>
      </c>
      <c r="D182" s="43">
        <v>1</v>
      </c>
      <c r="E182" s="43">
        <v>130504</v>
      </c>
      <c r="F182" s="43">
        <v>100148</v>
      </c>
      <c r="G182" s="43" t="s">
        <v>167</v>
      </c>
      <c r="H182">
        <v>1</v>
      </c>
      <c r="I182">
        <v>5</v>
      </c>
      <c r="J182">
        <v>5</v>
      </c>
      <c r="K182" s="23">
        <v>23.4</v>
      </c>
      <c r="L182" s="22">
        <v>20.7</v>
      </c>
      <c r="M182" s="7">
        <v>19</v>
      </c>
      <c r="N182" s="40">
        <f t="shared" si="6"/>
        <v>0.88461538461538469</v>
      </c>
      <c r="O182" s="40">
        <f t="shared" si="7"/>
        <v>0.81196581196581197</v>
      </c>
      <c r="P182" s="39">
        <v>1.75</v>
      </c>
      <c r="Q182" s="72">
        <f>VLOOKUP('All inst data'!A182,'all mice (except april 2012)'!$A$2:$G$218,7,FALSE)</f>
        <v>72</v>
      </c>
      <c r="Z182" s="40"/>
    </row>
    <row r="183" spans="1:26" x14ac:dyDescent="0.25">
      <c r="A183" s="43">
        <v>62</v>
      </c>
      <c r="B183" s="43">
        <v>38</v>
      </c>
      <c r="C183" s="43">
        <v>2</v>
      </c>
      <c r="D183" s="43">
        <v>1</v>
      </c>
      <c r="E183" s="43">
        <v>130504</v>
      </c>
      <c r="F183" s="43">
        <v>100148</v>
      </c>
      <c r="G183" s="43" t="s">
        <v>167</v>
      </c>
      <c r="H183">
        <v>2</v>
      </c>
      <c r="I183">
        <v>182</v>
      </c>
      <c r="J183">
        <v>102</v>
      </c>
      <c r="K183" s="23">
        <v>21.3</v>
      </c>
      <c r="L183" s="22">
        <v>19.2</v>
      </c>
      <c r="M183" s="7">
        <v>18</v>
      </c>
      <c r="N183" s="40">
        <f t="shared" si="6"/>
        <v>0.90140845070422526</v>
      </c>
      <c r="O183" s="40">
        <f t="shared" si="7"/>
        <v>0.84507042253521125</v>
      </c>
      <c r="P183" s="39">
        <v>1.75</v>
      </c>
      <c r="Q183" s="72">
        <f>VLOOKUP('All inst data'!A183,'all mice (except april 2012)'!$A$2:$G$218,7,FALSE)</f>
        <v>72</v>
      </c>
      <c r="Z183" s="40"/>
    </row>
    <row r="184" spans="1:26" x14ac:dyDescent="0.25">
      <c r="A184" s="43">
        <v>63</v>
      </c>
      <c r="B184" s="43">
        <v>39</v>
      </c>
      <c r="C184" s="43">
        <v>2</v>
      </c>
      <c r="D184" s="43">
        <v>1</v>
      </c>
      <c r="E184" s="43">
        <v>130504</v>
      </c>
      <c r="F184" s="43">
        <v>100148</v>
      </c>
      <c r="G184" s="43" t="s">
        <v>167</v>
      </c>
      <c r="H184">
        <v>3</v>
      </c>
      <c r="I184">
        <v>1</v>
      </c>
      <c r="J184">
        <v>1</v>
      </c>
      <c r="K184" s="23">
        <v>22.3</v>
      </c>
      <c r="L184" s="22">
        <v>20.5</v>
      </c>
      <c r="M184" s="7">
        <v>18.8</v>
      </c>
      <c r="N184" s="40">
        <f t="shared" si="6"/>
        <v>0.91928251121076232</v>
      </c>
      <c r="O184" s="40">
        <f t="shared" si="7"/>
        <v>0.84304932735426008</v>
      </c>
      <c r="P184" s="39">
        <v>1.75</v>
      </c>
      <c r="Q184" s="72">
        <f>VLOOKUP('All inst data'!A184,'all mice (except april 2012)'!$A$2:$G$218,7,FALSE)</f>
        <v>72</v>
      </c>
      <c r="Z184" s="40"/>
    </row>
    <row r="185" spans="1:26" x14ac:dyDescent="0.25">
      <c r="A185" s="43">
        <v>64</v>
      </c>
      <c r="B185" s="43">
        <v>40</v>
      </c>
      <c r="C185" s="43">
        <v>2</v>
      </c>
      <c r="D185" s="43">
        <v>1</v>
      </c>
      <c r="E185" s="43">
        <v>130504</v>
      </c>
      <c r="F185" s="43">
        <v>100407</v>
      </c>
      <c r="G185" s="43" t="s">
        <v>168</v>
      </c>
      <c r="H185">
        <v>4</v>
      </c>
      <c r="I185">
        <v>978</v>
      </c>
      <c r="J185">
        <v>261</v>
      </c>
      <c r="K185" s="23">
        <v>29.2</v>
      </c>
      <c r="L185" s="22">
        <v>25.2</v>
      </c>
      <c r="M185" s="7">
        <v>25</v>
      </c>
      <c r="N185" s="40">
        <f t="shared" si="6"/>
        <v>0.86301369863013699</v>
      </c>
      <c r="O185" s="40">
        <f t="shared" si="7"/>
        <v>0.85616438356164382</v>
      </c>
      <c r="P185" s="39">
        <v>2.35</v>
      </c>
      <c r="Q185" s="72">
        <f>VLOOKUP('All inst data'!A185,'all mice (except april 2012)'!$A$2:$G$218,7,FALSE)</f>
        <v>71</v>
      </c>
      <c r="Z185" s="40"/>
    </row>
    <row r="186" spans="1:26" x14ac:dyDescent="0.25">
      <c r="A186" s="43">
        <v>65</v>
      </c>
      <c r="B186" s="43">
        <v>41</v>
      </c>
      <c r="C186" s="43">
        <v>2</v>
      </c>
      <c r="D186" s="43">
        <v>1</v>
      </c>
      <c r="E186" s="43">
        <v>130504</v>
      </c>
      <c r="F186" s="43">
        <v>100407</v>
      </c>
      <c r="G186" s="43" t="s">
        <v>168</v>
      </c>
      <c r="H186">
        <v>5</v>
      </c>
      <c r="I186">
        <v>24</v>
      </c>
      <c r="J186">
        <v>22</v>
      </c>
      <c r="K186" s="23">
        <v>29.7</v>
      </c>
      <c r="L186" s="22">
        <v>25.1</v>
      </c>
      <c r="M186" s="7">
        <v>23.3</v>
      </c>
      <c r="N186" s="40">
        <f t="shared" si="6"/>
        <v>0.84511784511784516</v>
      </c>
      <c r="O186" s="40">
        <f t="shared" si="7"/>
        <v>0.7845117845117846</v>
      </c>
      <c r="P186" s="39">
        <v>2.35</v>
      </c>
      <c r="Q186" s="72">
        <f>VLOOKUP('All inst data'!A186,'all mice (except april 2012)'!$A$2:$G$218,7,FALSE)</f>
        <v>71</v>
      </c>
      <c r="Z186" s="40"/>
    </row>
    <row r="187" spans="1:26" x14ac:dyDescent="0.25">
      <c r="A187" s="43">
        <v>66</v>
      </c>
      <c r="B187" s="43">
        <v>42</v>
      </c>
      <c r="C187" s="43">
        <v>2</v>
      </c>
      <c r="D187" s="43">
        <v>1</v>
      </c>
      <c r="E187" s="43">
        <v>130504</v>
      </c>
      <c r="F187" s="43">
        <v>100407</v>
      </c>
      <c r="G187" s="43" t="s">
        <v>169</v>
      </c>
      <c r="H187">
        <v>6</v>
      </c>
      <c r="I187">
        <v>9</v>
      </c>
      <c r="J187">
        <v>8</v>
      </c>
      <c r="K187" s="23">
        <v>25.3</v>
      </c>
      <c r="L187" s="22">
        <v>22.1</v>
      </c>
      <c r="M187" s="7">
        <v>21.7</v>
      </c>
      <c r="N187" s="40">
        <f t="shared" si="6"/>
        <v>0.87351778656126489</v>
      </c>
      <c r="O187" s="40">
        <f t="shared" si="7"/>
        <v>0.85770750988142286</v>
      </c>
      <c r="P187" s="39">
        <v>1.65</v>
      </c>
      <c r="Q187" s="72">
        <f>VLOOKUP('All inst data'!A187,'all mice (except april 2012)'!$A$2:$G$218,7,FALSE)</f>
        <v>71</v>
      </c>
      <c r="Z187" s="40"/>
    </row>
    <row r="188" spans="1:26" x14ac:dyDescent="0.25">
      <c r="A188" s="43">
        <v>67</v>
      </c>
      <c r="B188" s="43">
        <v>43</v>
      </c>
      <c r="C188" s="43">
        <v>2</v>
      </c>
      <c r="D188" s="43">
        <v>1</v>
      </c>
      <c r="E188" s="43">
        <v>130504</v>
      </c>
      <c r="F188" s="43">
        <v>100408</v>
      </c>
      <c r="G188" s="43" t="s">
        <v>169</v>
      </c>
      <c r="H188">
        <v>7</v>
      </c>
      <c r="I188">
        <v>3</v>
      </c>
      <c r="J188">
        <v>2</v>
      </c>
      <c r="K188" s="23">
        <v>24.1</v>
      </c>
      <c r="L188" s="22">
        <v>21.1</v>
      </c>
      <c r="M188" s="7">
        <v>20.3</v>
      </c>
      <c r="N188" s="40">
        <f t="shared" si="6"/>
        <v>0.87551867219917012</v>
      </c>
      <c r="O188" s="40">
        <f t="shared" si="7"/>
        <v>0.84232365145228216</v>
      </c>
      <c r="P188" s="39">
        <v>1.65</v>
      </c>
      <c r="Q188" s="72">
        <f>VLOOKUP('All inst data'!A188,'all mice (except april 2012)'!$A$2:$G$218,7,FALSE)</f>
        <v>71</v>
      </c>
      <c r="Z188" s="40"/>
    </row>
    <row r="189" spans="1:26" x14ac:dyDescent="0.25">
      <c r="A189" s="43">
        <v>68</v>
      </c>
      <c r="B189" s="43">
        <v>44</v>
      </c>
      <c r="C189" s="43">
        <v>2</v>
      </c>
      <c r="D189" s="43">
        <v>1</v>
      </c>
      <c r="E189" s="43">
        <v>130504</v>
      </c>
      <c r="F189" s="43">
        <v>100706</v>
      </c>
      <c r="G189" s="43" t="s">
        <v>170</v>
      </c>
      <c r="H189">
        <v>8</v>
      </c>
      <c r="I189">
        <v>8</v>
      </c>
      <c r="J189">
        <v>6</v>
      </c>
      <c r="K189" s="23">
        <v>26.5</v>
      </c>
      <c r="L189" s="22">
        <v>22.7</v>
      </c>
      <c r="M189" s="7">
        <v>22.1</v>
      </c>
      <c r="N189" s="40">
        <f t="shared" si="6"/>
        <v>0.85660377358490558</v>
      </c>
      <c r="O189" s="40">
        <f t="shared" si="7"/>
        <v>0.83396226415094343</v>
      </c>
      <c r="P189" s="39">
        <v>2.0499999999999998</v>
      </c>
      <c r="Q189" s="72">
        <f>VLOOKUP('All inst data'!A189,'all mice (except april 2012)'!$A$2:$G$218,7,FALSE)</f>
        <v>73</v>
      </c>
      <c r="Z189" s="40"/>
    </row>
    <row r="190" spans="1:26" x14ac:dyDescent="0.25">
      <c r="A190" s="43">
        <v>69</v>
      </c>
      <c r="B190" s="43">
        <v>45</v>
      </c>
      <c r="C190" s="43">
        <v>2</v>
      </c>
      <c r="D190" s="43">
        <v>1</v>
      </c>
      <c r="E190" s="43">
        <v>130504</v>
      </c>
      <c r="F190" s="43">
        <v>100707</v>
      </c>
      <c r="G190" s="43" t="s">
        <v>170</v>
      </c>
      <c r="H190">
        <v>9</v>
      </c>
      <c r="I190">
        <v>4</v>
      </c>
      <c r="J190">
        <v>4</v>
      </c>
      <c r="K190" s="23">
        <v>24.2</v>
      </c>
      <c r="L190" s="22">
        <v>21.2</v>
      </c>
      <c r="M190" s="7">
        <v>20.7</v>
      </c>
      <c r="N190" s="40">
        <f t="shared" si="6"/>
        <v>0.87603305785123964</v>
      </c>
      <c r="O190" s="40">
        <f t="shared" si="7"/>
        <v>0.85537190082644632</v>
      </c>
      <c r="P190" s="39">
        <v>2.0499999999999998</v>
      </c>
      <c r="Q190" s="72">
        <f>VLOOKUP('All inst data'!A190,'all mice (except april 2012)'!$A$2:$G$218,7,FALSE)</f>
        <v>73</v>
      </c>
      <c r="Z190" s="40"/>
    </row>
    <row r="191" spans="1:26" x14ac:dyDescent="0.25">
      <c r="A191" s="43">
        <v>70</v>
      </c>
      <c r="B191" s="43">
        <v>46</v>
      </c>
      <c r="C191" s="43">
        <v>2</v>
      </c>
      <c r="D191" s="43">
        <v>1</v>
      </c>
      <c r="E191" s="43">
        <v>130504</v>
      </c>
      <c r="F191" s="43">
        <v>101738</v>
      </c>
      <c r="G191" s="43" t="s">
        <v>183</v>
      </c>
      <c r="H191">
        <v>10</v>
      </c>
      <c r="I191">
        <v>1212</v>
      </c>
      <c r="J191">
        <v>308</v>
      </c>
      <c r="K191" s="7">
        <v>27.4</v>
      </c>
      <c r="L191" s="22">
        <v>23.5</v>
      </c>
      <c r="M191" s="7">
        <v>22.7</v>
      </c>
      <c r="N191" s="40">
        <f t="shared" si="6"/>
        <v>0.85766423357664234</v>
      </c>
      <c r="O191" s="40">
        <f t="shared" si="7"/>
        <v>0.82846715328467158</v>
      </c>
      <c r="P191" s="39">
        <v>1.5</v>
      </c>
      <c r="Q191" s="72">
        <f>VLOOKUP('All inst data'!A191,'all mice (except april 2012)'!$A$2:$G$218,7,FALSE)</f>
        <v>98</v>
      </c>
      <c r="Z191" s="40"/>
    </row>
    <row r="192" spans="1:26" x14ac:dyDescent="0.25">
      <c r="A192" s="43">
        <v>71</v>
      </c>
      <c r="B192" s="43">
        <v>47</v>
      </c>
      <c r="C192" s="43">
        <v>2</v>
      </c>
      <c r="D192" s="43">
        <v>1</v>
      </c>
      <c r="E192" s="43">
        <v>130504</v>
      </c>
      <c r="F192" s="43">
        <v>100707</v>
      </c>
      <c r="G192" s="43" t="s">
        <v>183</v>
      </c>
      <c r="H192">
        <v>11</v>
      </c>
      <c r="I192">
        <v>0</v>
      </c>
      <c r="J192">
        <v>0</v>
      </c>
      <c r="K192" s="7">
        <v>28.9</v>
      </c>
      <c r="L192" s="22">
        <v>25.7</v>
      </c>
      <c r="M192" s="7">
        <v>24.5</v>
      </c>
      <c r="N192" s="40">
        <f t="shared" si="6"/>
        <v>0.88927335640138405</v>
      </c>
      <c r="O192" s="40">
        <f t="shared" si="7"/>
        <v>0.84775086505190311</v>
      </c>
      <c r="P192" s="39">
        <v>1.5</v>
      </c>
      <c r="Q192" s="72">
        <f>VLOOKUP('All inst data'!A192,'all mice (except april 2012)'!$A$2:$G$218,7,FALSE)</f>
        <v>98</v>
      </c>
      <c r="Z192" s="40"/>
    </row>
    <row r="193" spans="1:26" x14ac:dyDescent="0.25">
      <c r="A193" s="43">
        <v>72</v>
      </c>
      <c r="B193" s="43">
        <v>48</v>
      </c>
      <c r="C193" s="43">
        <v>2</v>
      </c>
      <c r="D193" s="43">
        <v>1</v>
      </c>
      <c r="E193" s="43">
        <v>130504</v>
      </c>
      <c r="F193" s="43">
        <v>100707</v>
      </c>
      <c r="G193" s="43" t="s">
        <v>183</v>
      </c>
      <c r="H193">
        <v>12</v>
      </c>
      <c r="I193">
        <v>317</v>
      </c>
      <c r="J193">
        <v>133</v>
      </c>
      <c r="K193" s="7">
        <v>26.2</v>
      </c>
      <c r="L193" s="22">
        <v>23.3</v>
      </c>
      <c r="M193" s="7">
        <v>22.2</v>
      </c>
      <c r="N193" s="40">
        <f t="shared" si="6"/>
        <v>0.88931297709923673</v>
      </c>
      <c r="O193" s="40">
        <f t="shared" si="7"/>
        <v>0.84732824427480913</v>
      </c>
      <c r="P193" s="39">
        <v>1.5</v>
      </c>
      <c r="Q193" s="72">
        <f>VLOOKUP('All inst data'!A193,'all mice (except april 2012)'!$A$2:$G$218,7,FALSE)</f>
        <v>98</v>
      </c>
      <c r="Z193" s="40"/>
    </row>
    <row r="194" spans="1:26" x14ac:dyDescent="0.25">
      <c r="A194" s="43">
        <v>61</v>
      </c>
      <c r="B194" s="43">
        <v>37</v>
      </c>
      <c r="C194" s="43">
        <v>2</v>
      </c>
      <c r="D194" s="43">
        <v>2</v>
      </c>
      <c r="E194" s="43">
        <v>130505</v>
      </c>
      <c r="F194" s="43">
        <v>91926</v>
      </c>
      <c r="G194" s="43" t="s">
        <v>167</v>
      </c>
      <c r="H194">
        <v>1</v>
      </c>
      <c r="I194">
        <v>0</v>
      </c>
      <c r="J194">
        <v>0</v>
      </c>
      <c r="K194" s="23">
        <v>23.4</v>
      </c>
      <c r="L194" s="22">
        <v>20.6</v>
      </c>
      <c r="M194" s="7">
        <v>19.399999999999999</v>
      </c>
      <c r="N194" s="40">
        <f t="shared" ref="N194:N257" si="10">L194/K194</f>
        <v>0.88034188034188043</v>
      </c>
      <c r="O194" s="40">
        <f t="shared" ref="O194:O257" si="11">M194/K194</f>
        <v>0.829059829059829</v>
      </c>
      <c r="P194" s="39">
        <v>1.9</v>
      </c>
      <c r="Q194" s="72">
        <f>VLOOKUP('All inst data'!A194,'all mice (except april 2012)'!$A$2:$G$218,7,FALSE)</f>
        <v>72</v>
      </c>
      <c r="Z194" s="40"/>
    </row>
    <row r="195" spans="1:26" x14ac:dyDescent="0.25">
      <c r="A195" s="43">
        <v>62</v>
      </c>
      <c r="B195" s="43">
        <v>38</v>
      </c>
      <c r="C195" s="43">
        <v>2</v>
      </c>
      <c r="D195" s="43">
        <v>2</v>
      </c>
      <c r="E195" s="43">
        <v>130505</v>
      </c>
      <c r="F195" s="43">
        <v>91926</v>
      </c>
      <c r="G195" s="43" t="s">
        <v>167</v>
      </c>
      <c r="H195">
        <v>2</v>
      </c>
      <c r="I195">
        <v>1306</v>
      </c>
      <c r="J195">
        <v>325</v>
      </c>
      <c r="K195" s="23">
        <v>21.3</v>
      </c>
      <c r="L195" s="22">
        <v>18.8</v>
      </c>
      <c r="M195" s="7">
        <v>18.399999999999999</v>
      </c>
      <c r="N195" s="40">
        <f t="shared" si="10"/>
        <v>0.88262910798122063</v>
      </c>
      <c r="O195" s="40">
        <f t="shared" si="11"/>
        <v>0.86384976525821588</v>
      </c>
      <c r="P195" s="39">
        <v>1.9</v>
      </c>
      <c r="Q195" s="72">
        <f>VLOOKUP('All inst data'!A195,'all mice (except april 2012)'!$A$2:$G$218,7,FALSE)</f>
        <v>72</v>
      </c>
      <c r="Z195" s="40"/>
    </row>
    <row r="196" spans="1:26" x14ac:dyDescent="0.25">
      <c r="A196" s="43">
        <v>63</v>
      </c>
      <c r="B196" s="43">
        <v>39</v>
      </c>
      <c r="C196" s="43">
        <v>2</v>
      </c>
      <c r="D196" s="43">
        <v>2</v>
      </c>
      <c r="E196" s="43">
        <v>130505</v>
      </c>
      <c r="F196" s="43">
        <v>91926</v>
      </c>
      <c r="G196" s="43" t="s">
        <v>167</v>
      </c>
      <c r="H196">
        <v>3</v>
      </c>
      <c r="I196">
        <v>1</v>
      </c>
      <c r="J196">
        <v>1</v>
      </c>
      <c r="K196" s="23">
        <v>22.3</v>
      </c>
      <c r="L196" s="22">
        <v>20</v>
      </c>
      <c r="M196" s="7">
        <v>19</v>
      </c>
      <c r="N196" s="40">
        <f t="shared" si="10"/>
        <v>0.89686098654708513</v>
      </c>
      <c r="O196" s="40">
        <f t="shared" si="11"/>
        <v>0.85201793721973096</v>
      </c>
      <c r="P196" s="39">
        <v>1.9</v>
      </c>
      <c r="Q196" s="72">
        <f>VLOOKUP('All inst data'!A196,'all mice (except april 2012)'!$A$2:$G$218,7,FALSE)</f>
        <v>72</v>
      </c>
      <c r="Z196" s="40"/>
    </row>
    <row r="197" spans="1:26" x14ac:dyDescent="0.25">
      <c r="A197" s="43">
        <v>64</v>
      </c>
      <c r="B197" s="43">
        <v>40</v>
      </c>
      <c r="C197" s="43">
        <v>2</v>
      </c>
      <c r="D197" s="43">
        <v>2</v>
      </c>
      <c r="E197" s="43">
        <v>130505</v>
      </c>
      <c r="F197" s="43">
        <v>91926</v>
      </c>
      <c r="G197" s="43" t="s">
        <v>168</v>
      </c>
      <c r="H197">
        <v>4</v>
      </c>
      <c r="I197">
        <v>387</v>
      </c>
      <c r="J197">
        <v>145</v>
      </c>
      <c r="K197" s="23">
        <v>29.2</v>
      </c>
      <c r="L197" s="22">
        <v>25.6</v>
      </c>
      <c r="M197" s="7">
        <v>24.6</v>
      </c>
      <c r="N197" s="40">
        <f t="shared" si="10"/>
        <v>0.87671232876712335</v>
      </c>
      <c r="O197" s="40">
        <f t="shared" si="11"/>
        <v>0.84246575342465757</v>
      </c>
      <c r="P197" s="39">
        <v>2.5</v>
      </c>
      <c r="Q197" s="72">
        <f>VLOOKUP('All inst data'!A197,'all mice (except april 2012)'!$A$2:$G$218,7,FALSE)</f>
        <v>71</v>
      </c>
      <c r="Z197" s="40"/>
    </row>
    <row r="198" spans="1:26" x14ac:dyDescent="0.25">
      <c r="A198" s="43">
        <v>65</v>
      </c>
      <c r="B198" s="43">
        <v>41</v>
      </c>
      <c r="C198" s="43">
        <v>2</v>
      </c>
      <c r="D198" s="43">
        <v>2</v>
      </c>
      <c r="E198" s="43">
        <v>130505</v>
      </c>
      <c r="F198" s="43">
        <v>91927</v>
      </c>
      <c r="G198" s="43" t="s">
        <v>168</v>
      </c>
      <c r="H198">
        <v>5</v>
      </c>
      <c r="I198">
        <v>45</v>
      </c>
      <c r="J198">
        <v>43</v>
      </c>
      <c r="K198" s="23">
        <v>29.7</v>
      </c>
      <c r="L198" s="22">
        <v>25.4</v>
      </c>
      <c r="M198" s="7">
        <v>23.9</v>
      </c>
      <c r="N198" s="40">
        <f t="shared" si="10"/>
        <v>0.85521885521885521</v>
      </c>
      <c r="O198" s="40">
        <f t="shared" si="11"/>
        <v>0.80471380471380471</v>
      </c>
      <c r="P198" s="39">
        <v>2.5</v>
      </c>
      <c r="Q198" s="72">
        <f>VLOOKUP('All inst data'!A198,'all mice (except april 2012)'!$A$2:$G$218,7,FALSE)</f>
        <v>71</v>
      </c>
      <c r="Z198" s="40"/>
    </row>
    <row r="199" spans="1:26" x14ac:dyDescent="0.25">
      <c r="A199" s="43">
        <v>66</v>
      </c>
      <c r="B199" s="43">
        <v>42</v>
      </c>
      <c r="C199" s="43">
        <v>2</v>
      </c>
      <c r="D199" s="43">
        <v>2</v>
      </c>
      <c r="E199" s="43">
        <v>130505</v>
      </c>
      <c r="F199" s="43">
        <v>91927</v>
      </c>
      <c r="G199" s="43" t="s">
        <v>169</v>
      </c>
      <c r="H199">
        <v>6</v>
      </c>
      <c r="I199">
        <v>0</v>
      </c>
      <c r="J199">
        <v>0</v>
      </c>
      <c r="K199" s="23">
        <v>25.3</v>
      </c>
      <c r="L199" s="22">
        <v>22.3</v>
      </c>
      <c r="M199" s="7">
        <v>21.7</v>
      </c>
      <c r="N199" s="40">
        <f t="shared" si="10"/>
        <v>0.88142292490118579</v>
      </c>
      <c r="O199" s="40">
        <f t="shared" si="11"/>
        <v>0.85770750988142286</v>
      </c>
      <c r="P199" s="39">
        <v>1.7</v>
      </c>
      <c r="Q199" s="72">
        <f>VLOOKUP('All inst data'!A199,'all mice (except april 2012)'!$A$2:$G$218,7,FALSE)</f>
        <v>71</v>
      </c>
      <c r="Z199" s="40"/>
    </row>
    <row r="200" spans="1:26" x14ac:dyDescent="0.25">
      <c r="A200" s="43">
        <v>67</v>
      </c>
      <c r="B200" s="43">
        <v>43</v>
      </c>
      <c r="C200" s="43">
        <v>2</v>
      </c>
      <c r="D200" s="43">
        <v>2</v>
      </c>
      <c r="E200" s="43">
        <v>130505</v>
      </c>
      <c r="F200" s="43">
        <v>91927</v>
      </c>
      <c r="G200" s="43" t="s">
        <v>169</v>
      </c>
      <c r="H200">
        <v>7</v>
      </c>
      <c r="I200">
        <v>2</v>
      </c>
      <c r="J200">
        <v>2</v>
      </c>
      <c r="K200" s="23">
        <v>24.1</v>
      </c>
      <c r="L200" s="22">
        <v>21.2</v>
      </c>
      <c r="M200" s="7">
        <v>20.3</v>
      </c>
      <c r="N200" s="40">
        <f t="shared" si="10"/>
        <v>0.87966804979253099</v>
      </c>
      <c r="O200" s="40">
        <f t="shared" si="11"/>
        <v>0.84232365145228216</v>
      </c>
      <c r="P200" s="39">
        <v>1.7</v>
      </c>
      <c r="Q200" s="72">
        <f>VLOOKUP('All inst data'!A200,'all mice (except april 2012)'!$A$2:$G$218,7,FALSE)</f>
        <v>71</v>
      </c>
      <c r="Z200" s="40"/>
    </row>
    <row r="201" spans="1:26" x14ac:dyDescent="0.25">
      <c r="A201" s="43">
        <v>68</v>
      </c>
      <c r="B201" s="43">
        <v>44</v>
      </c>
      <c r="C201" s="43">
        <v>2</v>
      </c>
      <c r="D201" s="43">
        <v>2</v>
      </c>
      <c r="E201" s="43">
        <v>130505</v>
      </c>
      <c r="F201" s="43">
        <v>91927</v>
      </c>
      <c r="G201" s="43" t="s">
        <v>170</v>
      </c>
      <c r="H201">
        <v>8</v>
      </c>
      <c r="I201">
        <v>1</v>
      </c>
      <c r="J201">
        <v>1</v>
      </c>
      <c r="K201" s="23">
        <v>26.5</v>
      </c>
      <c r="L201" s="22">
        <v>23.1</v>
      </c>
      <c r="M201" s="7">
        <v>22.3</v>
      </c>
      <c r="N201" s="40">
        <f t="shared" si="10"/>
        <v>0.8716981132075472</v>
      </c>
      <c r="O201" s="40">
        <f t="shared" si="11"/>
        <v>0.84150943396226419</v>
      </c>
      <c r="P201" s="39">
        <v>2.25</v>
      </c>
      <c r="Q201" s="72">
        <f>VLOOKUP('All inst data'!A201,'all mice (except april 2012)'!$A$2:$G$218,7,FALSE)</f>
        <v>73</v>
      </c>
      <c r="Z201" s="40"/>
    </row>
    <row r="202" spans="1:26" x14ac:dyDescent="0.25">
      <c r="A202" s="43">
        <v>69</v>
      </c>
      <c r="B202" s="43">
        <v>45</v>
      </c>
      <c r="C202" s="43">
        <v>2</v>
      </c>
      <c r="D202" s="43">
        <v>2</v>
      </c>
      <c r="E202" s="43">
        <v>130505</v>
      </c>
      <c r="F202" s="43">
        <v>91927</v>
      </c>
      <c r="G202" s="43" t="s">
        <v>170</v>
      </c>
      <c r="H202">
        <v>9</v>
      </c>
      <c r="I202">
        <v>1</v>
      </c>
      <c r="J202">
        <v>1</v>
      </c>
      <c r="K202" s="23">
        <v>24.2</v>
      </c>
      <c r="L202" s="22">
        <v>21.6</v>
      </c>
      <c r="M202" s="7">
        <v>20.5</v>
      </c>
      <c r="N202" s="40">
        <f t="shared" si="10"/>
        <v>0.89256198347107452</v>
      </c>
      <c r="O202" s="40">
        <f t="shared" si="11"/>
        <v>0.84710743801652899</v>
      </c>
      <c r="P202" s="39">
        <v>2.25</v>
      </c>
      <c r="Q202" s="72">
        <f>VLOOKUP('All inst data'!A202,'all mice (except april 2012)'!$A$2:$G$218,7,FALSE)</f>
        <v>73</v>
      </c>
      <c r="Z202" s="40"/>
    </row>
    <row r="203" spans="1:26" x14ac:dyDescent="0.25">
      <c r="A203" s="43">
        <v>70</v>
      </c>
      <c r="B203" s="43">
        <v>46</v>
      </c>
      <c r="C203" s="43">
        <v>2</v>
      </c>
      <c r="D203" s="43">
        <v>2</v>
      </c>
      <c r="E203" s="43">
        <v>130505</v>
      </c>
      <c r="F203" s="43">
        <v>91927</v>
      </c>
      <c r="G203" s="43" t="s">
        <v>183</v>
      </c>
      <c r="H203">
        <v>10</v>
      </c>
      <c r="I203">
        <v>1289</v>
      </c>
      <c r="J203">
        <v>323</v>
      </c>
      <c r="K203" s="7">
        <v>27.4</v>
      </c>
      <c r="L203" s="22">
        <v>23.9</v>
      </c>
      <c r="M203" s="7">
        <v>23</v>
      </c>
      <c r="N203" s="40">
        <f t="shared" si="10"/>
        <v>0.87226277372262773</v>
      </c>
      <c r="O203" s="40">
        <f t="shared" si="11"/>
        <v>0.83941605839416067</v>
      </c>
      <c r="P203" s="39">
        <v>1.5</v>
      </c>
      <c r="Q203" s="72">
        <f>VLOOKUP('All inst data'!A203,'all mice (except april 2012)'!$A$2:$G$218,7,FALSE)</f>
        <v>98</v>
      </c>
      <c r="Z203" s="40"/>
    </row>
    <row r="204" spans="1:26" x14ac:dyDescent="0.25">
      <c r="A204" s="43">
        <v>71</v>
      </c>
      <c r="B204" s="43">
        <v>47</v>
      </c>
      <c r="C204" s="43">
        <v>2</v>
      </c>
      <c r="D204" s="43">
        <v>2</v>
      </c>
      <c r="E204" s="43">
        <v>130505</v>
      </c>
      <c r="F204" s="43">
        <v>91927</v>
      </c>
      <c r="G204" s="43" t="s">
        <v>183</v>
      </c>
      <c r="H204">
        <v>11</v>
      </c>
      <c r="I204">
        <v>0</v>
      </c>
      <c r="J204">
        <v>0</v>
      </c>
      <c r="K204" s="7">
        <v>28.9</v>
      </c>
      <c r="L204" s="22">
        <v>25.7</v>
      </c>
      <c r="M204" s="7">
        <v>24.5</v>
      </c>
      <c r="N204" s="40">
        <f t="shared" si="10"/>
        <v>0.88927335640138405</v>
      </c>
      <c r="O204" s="40">
        <f t="shared" si="11"/>
        <v>0.84775086505190311</v>
      </c>
      <c r="P204" s="39">
        <v>1.5</v>
      </c>
      <c r="Q204" s="72">
        <f>VLOOKUP('All inst data'!A204,'all mice (except april 2012)'!$A$2:$G$218,7,FALSE)</f>
        <v>98</v>
      </c>
      <c r="Z204" s="40"/>
    </row>
    <row r="205" spans="1:26" x14ac:dyDescent="0.25">
      <c r="A205" s="43">
        <v>72</v>
      </c>
      <c r="B205" s="43">
        <v>48</v>
      </c>
      <c r="C205" s="43">
        <v>2</v>
      </c>
      <c r="D205" s="43">
        <v>2</v>
      </c>
      <c r="E205" s="43">
        <v>130505</v>
      </c>
      <c r="F205" s="43">
        <v>91927</v>
      </c>
      <c r="G205" s="43" t="s">
        <v>183</v>
      </c>
      <c r="H205">
        <v>12</v>
      </c>
      <c r="I205">
        <v>780</v>
      </c>
      <c r="J205">
        <v>224</v>
      </c>
      <c r="K205" s="7">
        <v>26.2</v>
      </c>
      <c r="L205" s="22">
        <v>23.2</v>
      </c>
      <c r="M205" s="7">
        <v>22.1</v>
      </c>
      <c r="N205" s="40">
        <f t="shared" si="10"/>
        <v>0.8854961832061069</v>
      </c>
      <c r="O205" s="40">
        <f t="shared" si="11"/>
        <v>0.84351145038167952</v>
      </c>
      <c r="P205" s="39">
        <v>1.5</v>
      </c>
      <c r="Q205" s="72">
        <f>VLOOKUP('All inst data'!A205,'all mice (except april 2012)'!$A$2:$G$218,7,FALSE)</f>
        <v>98</v>
      </c>
      <c r="Z205" s="40"/>
    </row>
    <row r="206" spans="1:26" x14ac:dyDescent="0.25">
      <c r="A206" s="43">
        <v>61</v>
      </c>
      <c r="B206" s="43">
        <v>37</v>
      </c>
      <c r="C206" s="43">
        <v>2</v>
      </c>
      <c r="D206" s="43">
        <v>3</v>
      </c>
      <c r="E206" s="43">
        <v>130507</v>
      </c>
      <c r="F206" s="43">
        <v>93001</v>
      </c>
      <c r="G206" s="43" t="s">
        <v>167</v>
      </c>
      <c r="H206">
        <v>1</v>
      </c>
      <c r="I206">
        <v>1</v>
      </c>
      <c r="J206">
        <v>1</v>
      </c>
      <c r="K206" s="23">
        <v>23.4</v>
      </c>
      <c r="L206" s="22">
        <v>20.6</v>
      </c>
      <c r="M206" s="7">
        <v>18.5</v>
      </c>
      <c r="N206" s="40">
        <f t="shared" si="10"/>
        <v>0.88034188034188043</v>
      </c>
      <c r="O206" s="40">
        <f t="shared" si="11"/>
        <v>0.79059829059829068</v>
      </c>
      <c r="P206" s="39">
        <v>2.2000000000000002</v>
      </c>
      <c r="Q206" s="72">
        <f>VLOOKUP('All inst data'!A206,'all mice (except april 2012)'!$A$2:$G$218,7,FALSE)</f>
        <v>72</v>
      </c>
      <c r="Z206" s="40"/>
    </row>
    <row r="207" spans="1:26" x14ac:dyDescent="0.25">
      <c r="A207" s="43">
        <v>62</v>
      </c>
      <c r="B207" s="43">
        <v>38</v>
      </c>
      <c r="C207" s="43">
        <v>2</v>
      </c>
      <c r="D207" s="43">
        <v>3</v>
      </c>
      <c r="E207" s="43">
        <v>130507</v>
      </c>
      <c r="F207" s="43">
        <v>93002</v>
      </c>
      <c r="G207" s="43" t="s">
        <v>167</v>
      </c>
      <c r="H207">
        <v>2</v>
      </c>
      <c r="I207">
        <v>1777</v>
      </c>
      <c r="J207">
        <v>417</v>
      </c>
      <c r="K207" s="23">
        <v>21.3</v>
      </c>
      <c r="L207" s="22">
        <v>19.100000000000001</v>
      </c>
      <c r="M207" s="7">
        <v>18.100000000000001</v>
      </c>
      <c r="N207" s="40">
        <f t="shared" si="10"/>
        <v>0.89671361502347424</v>
      </c>
      <c r="O207" s="40">
        <f t="shared" si="11"/>
        <v>0.84976525821596249</v>
      </c>
      <c r="P207" s="39">
        <v>2.2000000000000002</v>
      </c>
      <c r="Q207" s="72">
        <f>VLOOKUP('All inst data'!A207,'all mice (except april 2012)'!$A$2:$G$218,7,FALSE)</f>
        <v>72</v>
      </c>
      <c r="Z207" s="40"/>
    </row>
    <row r="208" spans="1:26" x14ac:dyDescent="0.25">
      <c r="A208" s="43">
        <v>63</v>
      </c>
      <c r="B208" s="43">
        <v>39</v>
      </c>
      <c r="C208" s="43">
        <v>2</v>
      </c>
      <c r="D208" s="43">
        <v>3</v>
      </c>
      <c r="E208" s="43">
        <v>130507</v>
      </c>
      <c r="F208" s="43">
        <v>93002</v>
      </c>
      <c r="G208" s="43" t="s">
        <v>167</v>
      </c>
      <c r="H208">
        <v>3</v>
      </c>
      <c r="I208">
        <v>1</v>
      </c>
      <c r="J208">
        <v>1</v>
      </c>
      <c r="K208" s="23">
        <v>22.3</v>
      </c>
      <c r="L208" s="22">
        <v>20.100000000000001</v>
      </c>
      <c r="M208" s="7">
        <v>18.5</v>
      </c>
      <c r="N208" s="40">
        <f t="shared" si="10"/>
        <v>0.90134529147982068</v>
      </c>
      <c r="O208" s="40">
        <f t="shared" si="11"/>
        <v>0.82959641255605376</v>
      </c>
      <c r="P208" s="39">
        <v>2.2000000000000002</v>
      </c>
      <c r="Q208" s="72">
        <f>VLOOKUP('All inst data'!A208,'all mice (except april 2012)'!$A$2:$G$218,7,FALSE)</f>
        <v>72</v>
      </c>
      <c r="Z208" s="40"/>
    </row>
    <row r="209" spans="1:26" x14ac:dyDescent="0.25">
      <c r="A209" s="43">
        <v>64</v>
      </c>
      <c r="B209" s="43">
        <v>40</v>
      </c>
      <c r="C209" s="43">
        <v>2</v>
      </c>
      <c r="D209" s="43">
        <v>3</v>
      </c>
      <c r="E209" s="43">
        <v>130507</v>
      </c>
      <c r="F209" s="43">
        <v>93002</v>
      </c>
      <c r="G209" s="43" t="s">
        <v>168</v>
      </c>
      <c r="H209">
        <v>4</v>
      </c>
      <c r="I209">
        <v>305</v>
      </c>
      <c r="J209">
        <v>130</v>
      </c>
      <c r="K209" s="23">
        <v>29.2</v>
      </c>
      <c r="L209" s="22">
        <v>25.8</v>
      </c>
      <c r="M209" s="7">
        <v>24.3</v>
      </c>
      <c r="N209" s="40">
        <f t="shared" si="10"/>
        <v>0.88356164383561653</v>
      </c>
      <c r="O209" s="40">
        <f t="shared" si="11"/>
        <v>0.8321917808219178</v>
      </c>
      <c r="P209" s="39">
        <v>3.15</v>
      </c>
      <c r="Q209" s="72">
        <f>VLOOKUP('All inst data'!A209,'all mice (except april 2012)'!$A$2:$G$218,7,FALSE)</f>
        <v>71</v>
      </c>
      <c r="Z209" s="40"/>
    </row>
    <row r="210" spans="1:26" x14ac:dyDescent="0.25">
      <c r="A210" s="43">
        <v>65</v>
      </c>
      <c r="B210" s="43">
        <v>41</v>
      </c>
      <c r="C210" s="43">
        <v>2</v>
      </c>
      <c r="D210" s="43">
        <v>3</v>
      </c>
      <c r="E210" s="43">
        <v>130507</v>
      </c>
      <c r="F210" s="43">
        <v>93002</v>
      </c>
      <c r="G210" s="43" t="s">
        <v>168</v>
      </c>
      <c r="H210">
        <v>5</v>
      </c>
      <c r="I210">
        <v>284</v>
      </c>
      <c r="J210">
        <v>123</v>
      </c>
      <c r="K210" s="23">
        <v>29.7</v>
      </c>
      <c r="L210" s="22">
        <v>25</v>
      </c>
      <c r="M210" s="7">
        <v>23.2</v>
      </c>
      <c r="N210" s="40">
        <f t="shared" si="10"/>
        <v>0.84175084175084181</v>
      </c>
      <c r="O210" s="40">
        <f t="shared" si="11"/>
        <v>0.78114478114478114</v>
      </c>
      <c r="P210" s="39">
        <v>3.15</v>
      </c>
      <c r="Q210" s="72">
        <f>VLOOKUP('All inst data'!A210,'all mice (except april 2012)'!$A$2:$G$218,7,FALSE)</f>
        <v>71</v>
      </c>
      <c r="Z210" s="40"/>
    </row>
    <row r="211" spans="1:26" x14ac:dyDescent="0.25">
      <c r="A211" s="43">
        <v>66</v>
      </c>
      <c r="B211" s="43">
        <v>42</v>
      </c>
      <c r="C211" s="43">
        <v>2</v>
      </c>
      <c r="D211" s="43">
        <v>3</v>
      </c>
      <c r="E211" s="43">
        <v>130507</v>
      </c>
      <c r="F211" s="43">
        <v>93002</v>
      </c>
      <c r="G211" s="43" t="s">
        <v>169</v>
      </c>
      <c r="H211">
        <v>6</v>
      </c>
      <c r="I211">
        <v>1</v>
      </c>
      <c r="J211">
        <v>1</v>
      </c>
      <c r="K211" s="23">
        <v>25.3</v>
      </c>
      <c r="L211" s="22">
        <v>22</v>
      </c>
      <c r="M211" s="7">
        <v>20.9</v>
      </c>
      <c r="N211" s="40">
        <f t="shared" si="10"/>
        <v>0.86956521739130432</v>
      </c>
      <c r="O211" s="40">
        <f t="shared" si="11"/>
        <v>0.82608695652173902</v>
      </c>
      <c r="P211" s="39">
        <v>2.25</v>
      </c>
      <c r="Q211" s="72">
        <f>VLOOKUP('All inst data'!A211,'all mice (except april 2012)'!$A$2:$G$218,7,FALSE)</f>
        <v>71</v>
      </c>
      <c r="Z211" s="40"/>
    </row>
    <row r="212" spans="1:26" x14ac:dyDescent="0.25">
      <c r="A212" s="43">
        <v>67</v>
      </c>
      <c r="B212" s="43">
        <v>43</v>
      </c>
      <c r="C212" s="43">
        <v>2</v>
      </c>
      <c r="D212" s="43">
        <v>3</v>
      </c>
      <c r="E212" s="43">
        <v>130507</v>
      </c>
      <c r="F212" s="43">
        <v>93002</v>
      </c>
      <c r="G212" s="43" t="s">
        <v>169</v>
      </c>
      <c r="H212">
        <v>7</v>
      </c>
      <c r="I212">
        <v>0</v>
      </c>
      <c r="J212">
        <v>0</v>
      </c>
      <c r="K212" s="23">
        <v>24.1</v>
      </c>
      <c r="L212" s="22">
        <v>20.7</v>
      </c>
      <c r="M212" s="7">
        <v>19.5</v>
      </c>
      <c r="N212" s="40">
        <f t="shared" si="10"/>
        <v>0.85892116182572609</v>
      </c>
      <c r="O212" s="40">
        <f t="shared" si="11"/>
        <v>0.80912863070539409</v>
      </c>
      <c r="P212" s="39">
        <v>2.25</v>
      </c>
      <c r="Q212" s="72">
        <f>VLOOKUP('All inst data'!A212,'all mice (except april 2012)'!$A$2:$G$218,7,FALSE)</f>
        <v>71</v>
      </c>
      <c r="Z212" s="40"/>
    </row>
    <row r="213" spans="1:26" x14ac:dyDescent="0.25">
      <c r="A213" s="43">
        <v>68</v>
      </c>
      <c r="B213" s="43">
        <v>44</v>
      </c>
      <c r="C213" s="43">
        <v>2</v>
      </c>
      <c r="D213" s="43">
        <v>3</v>
      </c>
      <c r="E213" s="43">
        <v>130507</v>
      </c>
      <c r="F213" s="43">
        <v>93002</v>
      </c>
      <c r="G213" s="43" t="s">
        <v>170</v>
      </c>
      <c r="H213">
        <v>8</v>
      </c>
      <c r="I213">
        <v>1</v>
      </c>
      <c r="J213">
        <v>1</v>
      </c>
      <c r="K213" s="23">
        <v>26.5</v>
      </c>
      <c r="L213" s="22">
        <v>22.4</v>
      </c>
      <c r="M213" s="7">
        <v>21.6</v>
      </c>
      <c r="N213" s="40">
        <f t="shared" si="10"/>
        <v>0.84528301886792445</v>
      </c>
      <c r="O213" s="40">
        <f t="shared" si="11"/>
        <v>0.81509433962264155</v>
      </c>
      <c r="P213" s="39">
        <v>2.5499999999999998</v>
      </c>
      <c r="Q213" s="72">
        <f>VLOOKUP('All inst data'!A213,'all mice (except april 2012)'!$A$2:$G$218,7,FALSE)</f>
        <v>73</v>
      </c>
      <c r="Z213" s="40"/>
    </row>
    <row r="214" spans="1:26" x14ac:dyDescent="0.25">
      <c r="A214" s="43">
        <v>69</v>
      </c>
      <c r="B214" s="43">
        <v>45</v>
      </c>
      <c r="C214" s="43">
        <v>2</v>
      </c>
      <c r="D214" s="43">
        <v>3</v>
      </c>
      <c r="E214" s="43">
        <v>130507</v>
      </c>
      <c r="F214" s="43">
        <v>93002</v>
      </c>
      <c r="G214" s="43" t="s">
        <v>170</v>
      </c>
      <c r="H214">
        <v>9</v>
      </c>
      <c r="I214">
        <v>2</v>
      </c>
      <c r="J214">
        <v>2</v>
      </c>
      <c r="K214" s="23">
        <v>24.2</v>
      </c>
      <c r="L214" s="22">
        <v>21.3</v>
      </c>
      <c r="M214" s="7">
        <v>20.2</v>
      </c>
      <c r="N214" s="40">
        <f t="shared" si="10"/>
        <v>0.88016528925619841</v>
      </c>
      <c r="O214" s="40">
        <f t="shared" si="11"/>
        <v>0.83471074380165289</v>
      </c>
      <c r="P214" s="39">
        <v>2.5499999999999998</v>
      </c>
      <c r="Q214" s="72">
        <f>VLOOKUP('All inst data'!A214,'all mice (except april 2012)'!$A$2:$G$218,7,FALSE)</f>
        <v>73</v>
      </c>
      <c r="Z214" s="40"/>
    </row>
    <row r="215" spans="1:26" x14ac:dyDescent="0.25">
      <c r="A215" s="43">
        <v>70</v>
      </c>
      <c r="B215" s="43">
        <v>46</v>
      </c>
      <c r="C215" s="43">
        <v>2</v>
      </c>
      <c r="D215" s="43">
        <v>3</v>
      </c>
      <c r="E215" s="43">
        <v>130507</v>
      </c>
      <c r="F215" s="43">
        <v>93002</v>
      </c>
      <c r="G215" s="43" t="s">
        <v>183</v>
      </c>
      <c r="H215">
        <v>10</v>
      </c>
      <c r="I215">
        <v>1925</v>
      </c>
      <c r="J215">
        <v>446</v>
      </c>
      <c r="K215" s="7">
        <v>27.4</v>
      </c>
      <c r="L215" s="22">
        <v>23.6</v>
      </c>
      <c r="M215" s="7">
        <v>22.8</v>
      </c>
      <c r="N215" s="40">
        <f t="shared" si="10"/>
        <v>0.86131386861313874</v>
      </c>
      <c r="O215" s="40">
        <f t="shared" si="11"/>
        <v>0.83211678832116798</v>
      </c>
      <c r="P215" s="39">
        <v>1.95</v>
      </c>
      <c r="Q215" s="72">
        <f>VLOOKUP('All inst data'!A215,'all mice (except april 2012)'!$A$2:$G$218,7,FALSE)</f>
        <v>98</v>
      </c>
      <c r="Z215" s="40"/>
    </row>
    <row r="216" spans="1:26" x14ac:dyDescent="0.25">
      <c r="A216" s="43">
        <v>71</v>
      </c>
      <c r="B216" s="43">
        <v>47</v>
      </c>
      <c r="C216" s="43">
        <v>2</v>
      </c>
      <c r="D216" s="43">
        <v>3</v>
      </c>
      <c r="E216" s="43">
        <v>130507</v>
      </c>
      <c r="F216" s="43">
        <v>93003</v>
      </c>
      <c r="G216" s="43" t="s">
        <v>183</v>
      </c>
      <c r="H216">
        <v>11</v>
      </c>
      <c r="I216">
        <v>0</v>
      </c>
      <c r="J216">
        <v>0</v>
      </c>
      <c r="K216" s="7">
        <v>28.9</v>
      </c>
      <c r="L216" s="22">
        <v>25.1</v>
      </c>
      <c r="M216" s="7">
        <v>23.4</v>
      </c>
      <c r="N216" s="40">
        <f t="shared" si="10"/>
        <v>0.86851211072664369</v>
      </c>
      <c r="O216" s="40">
        <f t="shared" si="11"/>
        <v>0.80968858131487886</v>
      </c>
      <c r="P216" s="39">
        <v>1.95</v>
      </c>
      <c r="Q216" s="72">
        <f>VLOOKUP('All inst data'!A216,'all mice (except april 2012)'!$A$2:$G$218,7,FALSE)</f>
        <v>98</v>
      </c>
      <c r="Z216" s="40"/>
    </row>
    <row r="217" spans="1:26" x14ac:dyDescent="0.25">
      <c r="A217" s="43">
        <v>72</v>
      </c>
      <c r="B217" s="43">
        <v>48</v>
      </c>
      <c r="C217" s="43">
        <v>2</v>
      </c>
      <c r="D217" s="43">
        <v>3</v>
      </c>
      <c r="E217" s="43">
        <v>130507</v>
      </c>
      <c r="F217" s="43">
        <v>93003</v>
      </c>
      <c r="G217" s="43" t="s">
        <v>183</v>
      </c>
      <c r="H217">
        <v>12</v>
      </c>
      <c r="I217">
        <v>1307</v>
      </c>
      <c r="J217">
        <v>331</v>
      </c>
      <c r="K217" s="7">
        <v>26.2</v>
      </c>
      <c r="L217" s="22">
        <v>23.1</v>
      </c>
      <c r="M217" s="7">
        <v>22</v>
      </c>
      <c r="N217" s="40">
        <f t="shared" si="10"/>
        <v>0.88167938931297718</v>
      </c>
      <c r="O217" s="40">
        <f t="shared" si="11"/>
        <v>0.83969465648854968</v>
      </c>
      <c r="P217" s="39">
        <v>1.95</v>
      </c>
      <c r="Q217" s="72">
        <f>VLOOKUP('All inst data'!A217,'all mice (except april 2012)'!$A$2:$G$218,7,FALSE)</f>
        <v>98</v>
      </c>
      <c r="Z217" s="40"/>
    </row>
    <row r="218" spans="1:26" x14ac:dyDescent="0.25">
      <c r="A218" s="43">
        <v>73</v>
      </c>
      <c r="B218" s="43">
        <v>49</v>
      </c>
      <c r="C218" s="43">
        <v>2</v>
      </c>
      <c r="D218" s="43">
        <v>1</v>
      </c>
      <c r="E218" s="43">
        <v>130508</v>
      </c>
      <c r="F218" s="43">
        <v>84409</v>
      </c>
      <c r="G218" s="43" t="s">
        <v>175</v>
      </c>
      <c r="H218">
        <v>1</v>
      </c>
      <c r="I218">
        <v>6</v>
      </c>
      <c r="J218">
        <v>6</v>
      </c>
      <c r="K218" s="7">
        <v>22.9</v>
      </c>
      <c r="L218" s="22">
        <v>19.899999999999999</v>
      </c>
      <c r="M218" s="7">
        <v>18.8</v>
      </c>
      <c r="N218" s="40">
        <f t="shared" si="10"/>
        <v>0.86899563318777295</v>
      </c>
      <c r="O218" s="40">
        <f t="shared" si="11"/>
        <v>0.82096069868995636</v>
      </c>
      <c r="P218" s="39">
        <v>1.85</v>
      </c>
      <c r="Q218" s="72">
        <f>VLOOKUP('All inst data'!A218,'all mice (except april 2012)'!$A$2:$G$218,7,FALSE)</f>
        <v>70</v>
      </c>
      <c r="Z218" s="40"/>
    </row>
    <row r="219" spans="1:26" x14ac:dyDescent="0.25">
      <c r="A219" s="43">
        <v>74</v>
      </c>
      <c r="B219" s="43">
        <v>50</v>
      </c>
      <c r="C219" s="43">
        <v>2</v>
      </c>
      <c r="D219" s="43">
        <v>1</v>
      </c>
      <c r="E219" s="43">
        <v>130508</v>
      </c>
      <c r="F219" s="43">
        <v>84409</v>
      </c>
      <c r="G219" s="43" t="s">
        <v>175</v>
      </c>
      <c r="H219">
        <v>2</v>
      </c>
      <c r="I219">
        <v>908</v>
      </c>
      <c r="J219">
        <v>246</v>
      </c>
      <c r="K219" s="7">
        <v>25.7</v>
      </c>
      <c r="L219" s="22">
        <v>23.3</v>
      </c>
      <c r="M219" s="7">
        <v>22.4</v>
      </c>
      <c r="N219" s="40">
        <f t="shared" si="10"/>
        <v>0.9066147859922179</v>
      </c>
      <c r="O219" s="40">
        <f t="shared" si="11"/>
        <v>0.87159533073929962</v>
      </c>
      <c r="P219" s="39">
        <v>1.85</v>
      </c>
      <c r="Q219" s="72">
        <f>VLOOKUP('All inst data'!A219,'all mice (except april 2012)'!$A$2:$G$218,7,FALSE)</f>
        <v>70</v>
      </c>
      <c r="Z219" s="40"/>
    </row>
    <row r="220" spans="1:26" x14ac:dyDescent="0.25">
      <c r="A220" s="43">
        <v>75</v>
      </c>
      <c r="B220" s="43">
        <v>51</v>
      </c>
      <c r="C220" s="43">
        <v>2</v>
      </c>
      <c r="D220" s="43">
        <v>1</v>
      </c>
      <c r="E220" s="43">
        <v>130508</v>
      </c>
      <c r="F220" s="43">
        <v>84409</v>
      </c>
      <c r="G220" s="43" t="s">
        <v>175</v>
      </c>
      <c r="H220">
        <v>3</v>
      </c>
      <c r="I220">
        <v>237</v>
      </c>
      <c r="J220">
        <v>115</v>
      </c>
      <c r="K220" s="7">
        <v>26.4</v>
      </c>
      <c r="L220" s="22">
        <v>23.1</v>
      </c>
      <c r="M220" s="7">
        <v>22.2</v>
      </c>
      <c r="N220" s="40">
        <f t="shared" si="10"/>
        <v>0.87500000000000011</v>
      </c>
      <c r="O220" s="40">
        <f t="shared" si="11"/>
        <v>0.84090909090909094</v>
      </c>
      <c r="P220" s="39">
        <v>1.85</v>
      </c>
      <c r="Q220" s="72">
        <f>VLOOKUP('All inst data'!A220,'all mice (except april 2012)'!$A$2:$G$218,7,FALSE)</f>
        <v>70</v>
      </c>
      <c r="Z220" s="40"/>
    </row>
    <row r="221" spans="1:26" x14ac:dyDescent="0.25">
      <c r="A221" s="43">
        <v>76</v>
      </c>
      <c r="B221" s="43">
        <v>52</v>
      </c>
      <c r="C221" s="43">
        <v>2</v>
      </c>
      <c r="D221" s="43">
        <v>1</v>
      </c>
      <c r="E221" s="43">
        <v>130508</v>
      </c>
      <c r="F221" s="43">
        <v>84409</v>
      </c>
      <c r="G221" s="43" t="s">
        <v>186</v>
      </c>
      <c r="H221">
        <v>4</v>
      </c>
      <c r="I221">
        <v>12</v>
      </c>
      <c r="J221">
        <v>10</v>
      </c>
      <c r="K221" s="7">
        <v>23.1</v>
      </c>
      <c r="L221" s="22">
        <v>21</v>
      </c>
      <c r="M221" s="7">
        <v>19.7</v>
      </c>
      <c r="N221" s="40">
        <f t="shared" si="10"/>
        <v>0.90909090909090906</v>
      </c>
      <c r="O221" s="40">
        <f t="shared" si="11"/>
        <v>0.85281385281385269</v>
      </c>
      <c r="P221" s="39">
        <v>2.1</v>
      </c>
      <c r="Q221" s="72">
        <f>VLOOKUP('All inst data'!A221,'all mice (except april 2012)'!$A$2:$G$218,7,FALSE)</f>
        <v>76</v>
      </c>
      <c r="Z221" s="40"/>
    </row>
    <row r="222" spans="1:26" x14ac:dyDescent="0.25">
      <c r="A222" s="43">
        <v>77</v>
      </c>
      <c r="B222" s="43">
        <v>53</v>
      </c>
      <c r="C222" s="43">
        <v>2</v>
      </c>
      <c r="D222" s="43">
        <v>1</v>
      </c>
      <c r="E222" s="43">
        <v>130508</v>
      </c>
      <c r="F222" s="43">
        <v>84409</v>
      </c>
      <c r="G222" s="43" t="s">
        <v>186</v>
      </c>
      <c r="H222">
        <v>5</v>
      </c>
      <c r="I222">
        <v>1337</v>
      </c>
      <c r="J222">
        <v>319</v>
      </c>
      <c r="K222" s="7">
        <v>19.899999999999999</v>
      </c>
      <c r="L222" s="22">
        <v>17.100000000000001</v>
      </c>
      <c r="M222" s="7">
        <v>16.600000000000001</v>
      </c>
      <c r="N222" s="40">
        <f t="shared" si="10"/>
        <v>0.85929648241206047</v>
      </c>
      <c r="O222" s="40">
        <f t="shared" si="11"/>
        <v>0.83417085427135695</v>
      </c>
      <c r="P222" s="39">
        <v>2.1</v>
      </c>
      <c r="Q222" s="72">
        <f>VLOOKUP('All inst data'!A222,'all mice (except april 2012)'!$A$2:$G$218,7,FALSE)</f>
        <v>76</v>
      </c>
      <c r="Z222" s="40"/>
    </row>
    <row r="223" spans="1:26" x14ac:dyDescent="0.25">
      <c r="A223" s="43">
        <v>78</v>
      </c>
      <c r="B223" s="43">
        <v>54</v>
      </c>
      <c r="C223" s="43">
        <v>2</v>
      </c>
      <c r="D223" s="43">
        <v>1</v>
      </c>
      <c r="E223" s="43">
        <v>130508</v>
      </c>
      <c r="F223" s="43">
        <v>84409</v>
      </c>
      <c r="G223" s="43" t="s">
        <v>176</v>
      </c>
      <c r="H223">
        <v>6</v>
      </c>
      <c r="I223">
        <v>274</v>
      </c>
      <c r="J223">
        <v>124</v>
      </c>
      <c r="K223" s="7">
        <v>26.3</v>
      </c>
      <c r="L223" s="22">
        <v>23</v>
      </c>
      <c r="M223" s="7">
        <v>21.7</v>
      </c>
      <c r="N223" s="40">
        <f t="shared" si="10"/>
        <v>0.87452471482889726</v>
      </c>
      <c r="O223" s="40">
        <f t="shared" si="11"/>
        <v>0.82509505703422048</v>
      </c>
      <c r="P223" s="39">
        <v>2.65</v>
      </c>
      <c r="Q223" s="72">
        <f>VLOOKUP('All inst data'!A223,'all mice (except april 2012)'!$A$2:$G$218,7,FALSE)</f>
        <v>72</v>
      </c>
      <c r="Z223" s="40"/>
    </row>
    <row r="224" spans="1:26" x14ac:dyDescent="0.25">
      <c r="A224" s="43">
        <v>79</v>
      </c>
      <c r="B224" s="43">
        <v>55</v>
      </c>
      <c r="C224" s="43">
        <v>2</v>
      </c>
      <c r="D224" s="43">
        <v>1</v>
      </c>
      <c r="E224" s="43">
        <v>130508</v>
      </c>
      <c r="F224" s="43">
        <v>84409</v>
      </c>
      <c r="G224" s="43" t="s">
        <v>176</v>
      </c>
      <c r="H224">
        <v>7</v>
      </c>
      <c r="I224">
        <v>194</v>
      </c>
      <c r="J224">
        <v>106</v>
      </c>
      <c r="K224" s="7">
        <v>27</v>
      </c>
      <c r="L224" s="22">
        <v>23.9</v>
      </c>
      <c r="M224" s="7">
        <v>22.4</v>
      </c>
      <c r="N224" s="40">
        <f t="shared" si="10"/>
        <v>0.88518518518518519</v>
      </c>
      <c r="O224" s="40">
        <f t="shared" si="11"/>
        <v>0.82962962962962961</v>
      </c>
      <c r="P224" s="39">
        <v>2.65</v>
      </c>
      <c r="Q224" s="72">
        <f>VLOOKUP('All inst data'!A224,'all mice (except april 2012)'!$A$2:$G$218,7,FALSE)</f>
        <v>72</v>
      </c>
      <c r="Z224" s="40"/>
    </row>
    <row r="225" spans="1:26" x14ac:dyDescent="0.25">
      <c r="A225" s="43">
        <v>80</v>
      </c>
      <c r="B225" s="43">
        <v>56</v>
      </c>
      <c r="C225" s="43">
        <v>2</v>
      </c>
      <c r="D225" s="43">
        <v>1</v>
      </c>
      <c r="E225" s="43">
        <v>130508</v>
      </c>
      <c r="F225" s="43">
        <v>84409</v>
      </c>
      <c r="G225" s="43" t="s">
        <v>176</v>
      </c>
      <c r="H225">
        <v>8</v>
      </c>
      <c r="I225">
        <v>5</v>
      </c>
      <c r="J225">
        <v>5</v>
      </c>
      <c r="K225" s="7">
        <v>21.9</v>
      </c>
      <c r="L225" s="22">
        <v>19.100000000000001</v>
      </c>
      <c r="M225" s="7">
        <v>17.8</v>
      </c>
      <c r="N225" s="40">
        <f t="shared" si="10"/>
        <v>0.87214611872146131</v>
      </c>
      <c r="O225" s="40">
        <f t="shared" si="11"/>
        <v>0.81278538812785395</v>
      </c>
      <c r="P225" s="39">
        <v>2.65</v>
      </c>
      <c r="Q225" s="72">
        <f>VLOOKUP('All inst data'!A225,'all mice (except april 2012)'!$A$2:$G$218,7,FALSE)</f>
        <v>72</v>
      </c>
      <c r="Z225" s="40"/>
    </row>
    <row r="226" spans="1:26" x14ac:dyDescent="0.25">
      <c r="A226" s="43">
        <v>81</v>
      </c>
      <c r="B226" s="43">
        <v>57</v>
      </c>
      <c r="C226" s="43">
        <v>2</v>
      </c>
      <c r="D226" s="43">
        <v>1</v>
      </c>
      <c r="E226" s="43">
        <v>130508</v>
      </c>
      <c r="F226" s="43">
        <v>83723</v>
      </c>
      <c r="G226" s="43" t="s">
        <v>174</v>
      </c>
      <c r="H226">
        <v>9</v>
      </c>
      <c r="I226">
        <v>5</v>
      </c>
      <c r="J226">
        <v>5</v>
      </c>
      <c r="K226" s="22">
        <v>21.5</v>
      </c>
      <c r="L226" s="22">
        <v>18.399999999999999</v>
      </c>
      <c r="M226" s="7">
        <v>16.600000000000001</v>
      </c>
      <c r="N226" s="40">
        <f t="shared" si="10"/>
        <v>0.85581395348837208</v>
      </c>
      <c r="O226" s="40">
        <f t="shared" si="11"/>
        <v>0.77209302325581397</v>
      </c>
      <c r="P226" s="39">
        <v>3.15</v>
      </c>
      <c r="Q226" s="72">
        <f>VLOOKUP('All inst data'!A226,'all mice (except april 2012)'!$A$2:$G$218,7,FALSE)</f>
        <v>62</v>
      </c>
      <c r="Z226" s="40"/>
    </row>
    <row r="227" spans="1:26" x14ac:dyDescent="0.25">
      <c r="A227" s="43">
        <v>82</v>
      </c>
      <c r="B227" s="43">
        <v>58</v>
      </c>
      <c r="C227" s="43">
        <v>2</v>
      </c>
      <c r="D227" s="43">
        <v>1</v>
      </c>
      <c r="E227" s="43">
        <v>130508</v>
      </c>
      <c r="F227" s="43">
        <v>83724</v>
      </c>
      <c r="G227" s="43" t="s">
        <v>174</v>
      </c>
      <c r="H227">
        <v>10</v>
      </c>
      <c r="I227">
        <v>4</v>
      </c>
      <c r="J227">
        <v>4</v>
      </c>
      <c r="K227" s="22">
        <v>20.5</v>
      </c>
      <c r="L227" s="22">
        <v>18.2</v>
      </c>
      <c r="M227" s="7">
        <v>16.3</v>
      </c>
      <c r="N227" s="40">
        <f t="shared" si="10"/>
        <v>0.8878048780487805</v>
      </c>
      <c r="O227" s="40">
        <f t="shared" si="11"/>
        <v>0.79512195121951224</v>
      </c>
      <c r="P227" s="39">
        <v>3.15</v>
      </c>
      <c r="Q227" s="72">
        <f>VLOOKUP('All inst data'!A227,'all mice (except april 2012)'!$A$2:$G$218,7,FALSE)</f>
        <v>62</v>
      </c>
      <c r="Z227" s="40"/>
    </row>
    <row r="228" spans="1:26" x14ac:dyDescent="0.25">
      <c r="A228" s="43">
        <v>83</v>
      </c>
      <c r="B228" s="43">
        <v>59</v>
      </c>
      <c r="C228" s="43">
        <v>2</v>
      </c>
      <c r="D228" s="43">
        <v>1</v>
      </c>
      <c r="E228" s="43">
        <v>130508</v>
      </c>
      <c r="F228" s="43">
        <v>83724</v>
      </c>
      <c r="G228" s="43" t="s">
        <v>171</v>
      </c>
      <c r="H228">
        <v>11</v>
      </c>
      <c r="I228">
        <v>4</v>
      </c>
      <c r="J228">
        <v>4</v>
      </c>
      <c r="K228" s="22">
        <v>18.3</v>
      </c>
      <c r="L228" s="22">
        <v>16.399999999999999</v>
      </c>
      <c r="M228" s="7">
        <v>15.2</v>
      </c>
      <c r="N228" s="40">
        <f t="shared" si="10"/>
        <v>0.89617486338797803</v>
      </c>
      <c r="O228" s="40">
        <f t="shared" si="11"/>
        <v>0.83060109289617479</v>
      </c>
      <c r="P228" s="39">
        <v>3.25</v>
      </c>
      <c r="Q228" s="72">
        <f>VLOOKUP('All inst data'!A228,'all mice (except april 2012)'!$A$2:$G$218,7,FALSE)</f>
        <v>64</v>
      </c>
      <c r="Z228" s="40"/>
    </row>
    <row r="229" spans="1:26" x14ac:dyDescent="0.25">
      <c r="A229" s="43">
        <v>84</v>
      </c>
      <c r="B229" s="43">
        <v>60</v>
      </c>
      <c r="C229" s="43">
        <v>2</v>
      </c>
      <c r="D229" s="43">
        <v>1</v>
      </c>
      <c r="E229" s="43">
        <v>130508</v>
      </c>
      <c r="F229" s="43">
        <v>83724</v>
      </c>
      <c r="G229" s="43" t="s">
        <v>171</v>
      </c>
      <c r="H229">
        <v>12</v>
      </c>
      <c r="I229">
        <v>0</v>
      </c>
      <c r="J229">
        <v>0</v>
      </c>
      <c r="K229" s="7">
        <v>14.8</v>
      </c>
      <c r="L229" s="22">
        <v>13.3</v>
      </c>
      <c r="M229" s="7">
        <v>12.2</v>
      </c>
      <c r="N229" s="40">
        <f t="shared" si="10"/>
        <v>0.89864864864864868</v>
      </c>
      <c r="O229" s="40">
        <f t="shared" si="11"/>
        <v>0.82432432432432423</v>
      </c>
      <c r="P229" s="39">
        <v>3.25</v>
      </c>
      <c r="Q229" s="72">
        <f>VLOOKUP('All inst data'!A229,'all mice (except april 2012)'!$A$2:$G$218,7,FALSE)</f>
        <v>64</v>
      </c>
      <c r="Z229" s="40"/>
    </row>
    <row r="230" spans="1:26" x14ac:dyDescent="0.25">
      <c r="A230" s="43">
        <v>73</v>
      </c>
      <c r="B230" s="43">
        <v>49</v>
      </c>
      <c r="C230" s="43">
        <v>2</v>
      </c>
      <c r="D230" s="43">
        <v>2</v>
      </c>
      <c r="E230" s="43">
        <v>130509</v>
      </c>
      <c r="F230" s="43">
        <v>85902</v>
      </c>
      <c r="G230" s="43" t="s">
        <v>175</v>
      </c>
      <c r="H230">
        <v>1</v>
      </c>
      <c r="I230">
        <v>6</v>
      </c>
      <c r="J230">
        <v>6</v>
      </c>
      <c r="K230" s="7">
        <v>22.9</v>
      </c>
      <c r="L230" s="22">
        <v>19.7</v>
      </c>
      <c r="M230" s="7">
        <v>19.2</v>
      </c>
      <c r="N230" s="40">
        <f t="shared" si="10"/>
        <v>0.86026200873362446</v>
      </c>
      <c r="O230" s="40">
        <f t="shared" si="11"/>
        <v>0.83842794759825334</v>
      </c>
      <c r="P230" s="39">
        <v>1.85</v>
      </c>
      <c r="Q230" s="72">
        <f>VLOOKUP('All inst data'!A230,'all mice (except april 2012)'!$A$2:$G$218,7,FALSE)</f>
        <v>70</v>
      </c>
      <c r="Z230" s="40"/>
    </row>
    <row r="231" spans="1:26" x14ac:dyDescent="0.25">
      <c r="A231" s="43">
        <v>74</v>
      </c>
      <c r="B231" s="43">
        <v>50</v>
      </c>
      <c r="C231" s="43">
        <v>2</v>
      </c>
      <c r="D231" s="43">
        <v>2</v>
      </c>
      <c r="E231" s="43">
        <v>130509</v>
      </c>
      <c r="F231" s="43">
        <v>85902</v>
      </c>
      <c r="G231" s="43" t="s">
        <v>175</v>
      </c>
      <c r="H231">
        <v>2</v>
      </c>
      <c r="I231">
        <v>1605</v>
      </c>
      <c r="J231">
        <v>382</v>
      </c>
      <c r="K231" s="7">
        <v>25.7</v>
      </c>
      <c r="L231" s="22">
        <v>23.1</v>
      </c>
      <c r="M231" s="7">
        <v>22.2</v>
      </c>
      <c r="N231" s="40">
        <f t="shared" si="10"/>
        <v>0.89883268482490275</v>
      </c>
      <c r="O231" s="40">
        <f t="shared" si="11"/>
        <v>0.86381322957198448</v>
      </c>
      <c r="P231" s="39">
        <v>1.85</v>
      </c>
      <c r="Q231" s="72">
        <f>VLOOKUP('All inst data'!A231,'all mice (except april 2012)'!$A$2:$G$218,7,FALSE)</f>
        <v>70</v>
      </c>
      <c r="Z231" s="40"/>
    </row>
    <row r="232" spans="1:26" x14ac:dyDescent="0.25">
      <c r="A232" s="43">
        <v>75</v>
      </c>
      <c r="B232" s="43">
        <v>51</v>
      </c>
      <c r="C232" s="43">
        <v>2</v>
      </c>
      <c r="D232" s="43">
        <v>2</v>
      </c>
      <c r="E232" s="43">
        <v>130509</v>
      </c>
      <c r="F232" s="43">
        <v>85902</v>
      </c>
      <c r="G232" s="43" t="s">
        <v>175</v>
      </c>
      <c r="H232">
        <v>3</v>
      </c>
      <c r="I232">
        <v>314</v>
      </c>
      <c r="J232">
        <v>128</v>
      </c>
      <c r="K232" s="7">
        <v>26.4</v>
      </c>
      <c r="L232" s="22">
        <v>23</v>
      </c>
      <c r="M232" s="7">
        <v>22.3</v>
      </c>
      <c r="N232" s="40">
        <f t="shared" si="10"/>
        <v>0.87121212121212122</v>
      </c>
      <c r="O232" s="40">
        <f t="shared" si="11"/>
        <v>0.84469696969696972</v>
      </c>
      <c r="P232" s="39">
        <v>1.85</v>
      </c>
      <c r="Q232" s="72">
        <f>VLOOKUP('All inst data'!A232,'all mice (except april 2012)'!$A$2:$G$218,7,FALSE)</f>
        <v>70</v>
      </c>
      <c r="Z232" s="40"/>
    </row>
    <row r="233" spans="1:26" x14ac:dyDescent="0.25">
      <c r="A233" s="43">
        <v>76</v>
      </c>
      <c r="B233" s="43">
        <v>52</v>
      </c>
      <c r="C233" s="43">
        <v>2</v>
      </c>
      <c r="D233" s="43">
        <v>2</v>
      </c>
      <c r="E233" s="43">
        <v>130509</v>
      </c>
      <c r="F233" s="43">
        <v>85903</v>
      </c>
      <c r="G233" s="43" t="s">
        <v>186</v>
      </c>
      <c r="H233">
        <v>4</v>
      </c>
      <c r="I233">
        <v>9</v>
      </c>
      <c r="J233">
        <v>9</v>
      </c>
      <c r="K233" s="7">
        <v>23.1</v>
      </c>
      <c r="L233" s="22">
        <v>21</v>
      </c>
      <c r="M233" s="7">
        <v>20.100000000000001</v>
      </c>
      <c r="N233" s="40">
        <f t="shared" si="10"/>
        <v>0.90909090909090906</v>
      </c>
      <c r="O233" s="40">
        <f t="shared" si="11"/>
        <v>0.87012987012987009</v>
      </c>
      <c r="P233" s="39">
        <v>1.9</v>
      </c>
      <c r="Q233" s="72">
        <f>VLOOKUP('All inst data'!A233,'all mice (except april 2012)'!$A$2:$G$218,7,FALSE)</f>
        <v>76</v>
      </c>
      <c r="Z233" s="40"/>
    </row>
    <row r="234" spans="1:26" x14ac:dyDescent="0.25">
      <c r="A234" s="43">
        <v>77</v>
      </c>
      <c r="B234" s="43">
        <v>53</v>
      </c>
      <c r="C234" s="43">
        <v>2</v>
      </c>
      <c r="D234" s="43">
        <v>2</v>
      </c>
      <c r="E234" s="43">
        <v>130509</v>
      </c>
      <c r="F234" s="43">
        <v>85903</v>
      </c>
      <c r="G234" s="43" t="s">
        <v>186</v>
      </c>
      <c r="H234">
        <v>5</v>
      </c>
      <c r="I234">
        <v>1777</v>
      </c>
      <c r="J234">
        <v>407</v>
      </c>
      <c r="K234" s="7">
        <v>19.899999999999999</v>
      </c>
      <c r="L234" s="22">
        <v>17.3</v>
      </c>
      <c r="M234" s="7">
        <v>16.899999999999999</v>
      </c>
      <c r="N234" s="40">
        <f t="shared" si="10"/>
        <v>0.86934673366834181</v>
      </c>
      <c r="O234" s="40">
        <f t="shared" si="11"/>
        <v>0.84924623115577891</v>
      </c>
      <c r="P234" s="39">
        <v>1.9</v>
      </c>
      <c r="Q234" s="72">
        <f>VLOOKUP('All inst data'!A234,'all mice (except april 2012)'!$A$2:$G$218,7,FALSE)</f>
        <v>76</v>
      </c>
      <c r="Z234" s="40"/>
    </row>
    <row r="235" spans="1:26" x14ac:dyDescent="0.25">
      <c r="A235" s="43">
        <v>78</v>
      </c>
      <c r="B235" s="43">
        <v>54</v>
      </c>
      <c r="C235" s="43">
        <v>2</v>
      </c>
      <c r="D235" s="43">
        <v>2</v>
      </c>
      <c r="E235" s="43">
        <v>130509</v>
      </c>
      <c r="F235" s="43">
        <v>85903</v>
      </c>
      <c r="G235" s="43" t="s">
        <v>176</v>
      </c>
      <c r="H235">
        <v>6</v>
      </c>
      <c r="I235">
        <v>205</v>
      </c>
      <c r="J235">
        <v>109</v>
      </c>
      <c r="K235" s="7">
        <v>26.3</v>
      </c>
      <c r="L235" s="22">
        <v>23.3</v>
      </c>
      <c r="M235" s="7">
        <v>21.9</v>
      </c>
      <c r="N235" s="40">
        <f t="shared" si="10"/>
        <v>0.88593155893536124</v>
      </c>
      <c r="O235" s="40">
        <f t="shared" si="11"/>
        <v>0.83269961977186302</v>
      </c>
      <c r="P235" s="39">
        <v>2.7</v>
      </c>
      <c r="Q235" s="72">
        <f>VLOOKUP('All inst data'!A235,'all mice (except april 2012)'!$A$2:$G$218,7,FALSE)</f>
        <v>72</v>
      </c>
      <c r="Z235" s="40"/>
    </row>
    <row r="236" spans="1:26" x14ac:dyDescent="0.25">
      <c r="A236" s="43">
        <v>79</v>
      </c>
      <c r="B236" s="43">
        <v>55</v>
      </c>
      <c r="C236" s="43">
        <v>2</v>
      </c>
      <c r="D236" s="43">
        <v>2</v>
      </c>
      <c r="E236" s="43">
        <v>130509</v>
      </c>
      <c r="F236" s="43">
        <v>85903</v>
      </c>
      <c r="G236" s="43" t="s">
        <v>176</v>
      </c>
      <c r="H236">
        <v>7</v>
      </c>
      <c r="I236">
        <v>410</v>
      </c>
      <c r="J236">
        <v>150</v>
      </c>
      <c r="K236" s="7">
        <v>27</v>
      </c>
      <c r="L236" s="22">
        <v>24.1</v>
      </c>
      <c r="M236" s="7">
        <v>22.8</v>
      </c>
      <c r="N236" s="40">
        <f t="shared" si="10"/>
        <v>0.8925925925925926</v>
      </c>
      <c r="O236" s="40">
        <f t="shared" si="11"/>
        <v>0.84444444444444444</v>
      </c>
      <c r="P236" s="39">
        <v>2.7</v>
      </c>
      <c r="Q236" s="72">
        <f>VLOOKUP('All inst data'!A236,'all mice (except april 2012)'!$A$2:$G$218,7,FALSE)</f>
        <v>72</v>
      </c>
      <c r="Z236" s="40"/>
    </row>
    <row r="237" spans="1:26" x14ac:dyDescent="0.25">
      <c r="A237" s="43">
        <v>80</v>
      </c>
      <c r="B237" s="43">
        <v>56</v>
      </c>
      <c r="C237" s="43">
        <v>2</v>
      </c>
      <c r="D237" s="43">
        <v>2</v>
      </c>
      <c r="E237" s="43">
        <v>130509</v>
      </c>
      <c r="F237" s="43">
        <v>85903</v>
      </c>
      <c r="G237" s="43" t="s">
        <v>176</v>
      </c>
      <c r="H237">
        <v>8</v>
      </c>
      <c r="I237">
        <v>1</v>
      </c>
      <c r="J237">
        <v>1</v>
      </c>
      <c r="K237" s="7">
        <v>21.9</v>
      </c>
      <c r="L237" s="22">
        <v>19.3</v>
      </c>
      <c r="M237" s="7">
        <v>18.399999999999999</v>
      </c>
      <c r="N237" s="40">
        <f t="shared" si="10"/>
        <v>0.88127853881278551</v>
      </c>
      <c r="O237" s="40">
        <f t="shared" si="11"/>
        <v>0.84018264840182644</v>
      </c>
      <c r="P237" s="39">
        <v>2.7</v>
      </c>
      <c r="Q237" s="72">
        <f>VLOOKUP('All inst data'!A237,'all mice (except april 2012)'!$A$2:$G$218,7,FALSE)</f>
        <v>72</v>
      </c>
      <c r="Z237" s="40"/>
    </row>
    <row r="238" spans="1:26" x14ac:dyDescent="0.25">
      <c r="A238" s="43">
        <v>81</v>
      </c>
      <c r="B238" s="43">
        <v>57</v>
      </c>
      <c r="C238" s="43">
        <v>2</v>
      </c>
      <c r="D238" s="43">
        <v>2</v>
      </c>
      <c r="E238" s="43">
        <v>130509</v>
      </c>
      <c r="F238" s="43">
        <v>84444</v>
      </c>
      <c r="G238" s="43" t="s">
        <v>174</v>
      </c>
      <c r="H238">
        <v>9</v>
      </c>
      <c r="I238">
        <v>0</v>
      </c>
      <c r="J238">
        <v>0</v>
      </c>
      <c r="K238" s="43">
        <v>21.5</v>
      </c>
      <c r="L238" s="22">
        <v>18.100000000000001</v>
      </c>
      <c r="M238" s="7">
        <v>16.899999999999999</v>
      </c>
      <c r="N238" s="40">
        <f t="shared" si="10"/>
        <v>0.8418604651162791</v>
      </c>
      <c r="O238" s="40">
        <f t="shared" si="11"/>
        <v>0.78604651162790695</v>
      </c>
      <c r="P238" s="39">
        <v>3.3</v>
      </c>
      <c r="Q238" s="72">
        <f>VLOOKUP('All inst data'!A238,'all mice (except april 2012)'!$A$2:$G$218,7,FALSE)</f>
        <v>62</v>
      </c>
      <c r="Z238" s="40"/>
    </row>
    <row r="239" spans="1:26" x14ac:dyDescent="0.25">
      <c r="A239" s="43">
        <v>82</v>
      </c>
      <c r="B239" s="43">
        <v>58</v>
      </c>
      <c r="C239" s="43">
        <v>2</v>
      </c>
      <c r="D239" s="43">
        <v>2</v>
      </c>
      <c r="E239" s="43">
        <v>130509</v>
      </c>
      <c r="F239" s="43">
        <v>84444</v>
      </c>
      <c r="G239" s="43" t="s">
        <v>174</v>
      </c>
      <c r="H239">
        <v>10</v>
      </c>
      <c r="I239">
        <v>1</v>
      </c>
      <c r="J239">
        <v>1</v>
      </c>
      <c r="K239" s="22">
        <v>20.5</v>
      </c>
      <c r="L239" s="22">
        <v>18.600000000000001</v>
      </c>
      <c r="M239" s="7">
        <v>17.100000000000001</v>
      </c>
      <c r="N239" s="40">
        <f t="shared" si="10"/>
        <v>0.90731707317073174</v>
      </c>
      <c r="O239" s="40">
        <f t="shared" si="11"/>
        <v>0.83414634146341471</v>
      </c>
      <c r="P239" s="39">
        <v>3.3</v>
      </c>
      <c r="Q239" s="72">
        <f>VLOOKUP('All inst data'!A239,'all mice (except april 2012)'!$A$2:$G$218,7,FALSE)</f>
        <v>62</v>
      </c>
      <c r="Z239" s="40"/>
    </row>
    <row r="240" spans="1:26" x14ac:dyDescent="0.25">
      <c r="A240" s="43">
        <v>83</v>
      </c>
      <c r="B240" s="43">
        <v>59</v>
      </c>
      <c r="C240" s="43">
        <v>2</v>
      </c>
      <c r="D240" s="43">
        <v>2</v>
      </c>
      <c r="E240" s="43">
        <v>130509</v>
      </c>
      <c r="F240" s="43">
        <v>84444</v>
      </c>
      <c r="G240" s="43" t="s">
        <v>171</v>
      </c>
      <c r="H240">
        <v>11</v>
      </c>
      <c r="I240">
        <v>2</v>
      </c>
      <c r="J240">
        <v>2</v>
      </c>
      <c r="K240" s="22">
        <v>18.3</v>
      </c>
      <c r="L240" s="22">
        <v>16.899999999999999</v>
      </c>
      <c r="M240" s="7">
        <v>15.9</v>
      </c>
      <c r="N240" s="40">
        <f t="shared" si="10"/>
        <v>0.92349726775956276</v>
      </c>
      <c r="O240" s="40">
        <f t="shared" si="11"/>
        <v>0.86885245901639341</v>
      </c>
      <c r="P240" s="39">
        <v>3.25</v>
      </c>
      <c r="Q240" s="72">
        <f>VLOOKUP('All inst data'!A240,'all mice (except april 2012)'!$A$2:$G$218,7,FALSE)</f>
        <v>64</v>
      </c>
      <c r="Z240" s="40"/>
    </row>
    <row r="241" spans="1:26" x14ac:dyDescent="0.25">
      <c r="A241" s="43">
        <v>84</v>
      </c>
      <c r="B241" s="43">
        <v>60</v>
      </c>
      <c r="C241" s="43">
        <v>2</v>
      </c>
      <c r="D241" s="43">
        <v>2</v>
      </c>
      <c r="E241" s="43">
        <v>130509</v>
      </c>
      <c r="F241" s="43">
        <v>84444</v>
      </c>
      <c r="G241" s="43" t="s">
        <v>171</v>
      </c>
      <c r="H241">
        <v>12</v>
      </c>
      <c r="I241">
        <v>0</v>
      </c>
      <c r="J241">
        <v>0</v>
      </c>
      <c r="K241" s="7">
        <v>14.8</v>
      </c>
      <c r="L241" s="22">
        <v>13.7</v>
      </c>
      <c r="M241" s="7">
        <v>12.7</v>
      </c>
      <c r="N241" s="40">
        <f t="shared" si="10"/>
        <v>0.92567567567567555</v>
      </c>
      <c r="O241" s="40">
        <f t="shared" si="11"/>
        <v>0.858108108108108</v>
      </c>
      <c r="P241" s="39">
        <v>3.25</v>
      </c>
      <c r="Q241" s="72">
        <f>VLOOKUP('All inst data'!A241,'all mice (except april 2012)'!$A$2:$G$218,7,FALSE)</f>
        <v>64</v>
      </c>
      <c r="Z241" s="40"/>
    </row>
    <row r="242" spans="1:26" x14ac:dyDescent="0.25">
      <c r="A242" s="43">
        <v>73</v>
      </c>
      <c r="B242" s="43">
        <v>49</v>
      </c>
      <c r="C242" s="43">
        <v>2</v>
      </c>
      <c r="D242" s="43">
        <v>3</v>
      </c>
      <c r="E242" s="43">
        <v>130510</v>
      </c>
      <c r="F242" s="43">
        <v>102904</v>
      </c>
      <c r="G242" s="43" t="s">
        <v>175</v>
      </c>
      <c r="H242">
        <v>1</v>
      </c>
      <c r="I242">
        <v>389</v>
      </c>
      <c r="J242">
        <v>145</v>
      </c>
      <c r="K242" s="7">
        <v>22.9</v>
      </c>
      <c r="L242" s="22">
        <v>19.5</v>
      </c>
      <c r="M242" s="7">
        <v>19</v>
      </c>
      <c r="N242" s="40">
        <f t="shared" si="10"/>
        <v>0.85152838427947608</v>
      </c>
      <c r="O242" s="40">
        <f t="shared" si="11"/>
        <v>0.82969432314410485</v>
      </c>
      <c r="P242" s="39">
        <v>2.2000000000000002</v>
      </c>
      <c r="Q242" s="72">
        <f>VLOOKUP('All inst data'!A242,'all mice (except april 2012)'!$A$2:$G$218,7,FALSE)</f>
        <v>70</v>
      </c>
      <c r="Z242" s="40"/>
    </row>
    <row r="243" spans="1:26" x14ac:dyDescent="0.25">
      <c r="A243" s="43">
        <v>74</v>
      </c>
      <c r="B243" s="43">
        <v>50</v>
      </c>
      <c r="C243" s="43">
        <v>2</v>
      </c>
      <c r="D243" s="43">
        <v>3</v>
      </c>
      <c r="E243" s="43">
        <v>130510</v>
      </c>
      <c r="F243" s="43">
        <v>102904</v>
      </c>
      <c r="G243" s="43" t="s">
        <v>175</v>
      </c>
      <c r="H243">
        <v>2</v>
      </c>
      <c r="I243">
        <v>2255</v>
      </c>
      <c r="J243">
        <v>500</v>
      </c>
      <c r="K243" s="7">
        <v>25.7</v>
      </c>
      <c r="L243" s="22">
        <v>22.9</v>
      </c>
      <c r="M243" s="7">
        <v>23.2</v>
      </c>
      <c r="N243" s="40">
        <f t="shared" si="10"/>
        <v>0.89105058365758749</v>
      </c>
      <c r="O243" s="40">
        <f t="shared" si="11"/>
        <v>0.90272373540856032</v>
      </c>
      <c r="P243" s="39">
        <v>2.2000000000000002</v>
      </c>
      <c r="Q243" s="72">
        <f>VLOOKUP('All inst data'!A243,'all mice (except april 2012)'!$A$2:$G$218,7,FALSE)</f>
        <v>70</v>
      </c>
      <c r="Z243" s="40"/>
    </row>
    <row r="244" spans="1:26" x14ac:dyDescent="0.25">
      <c r="A244" s="43">
        <v>75</v>
      </c>
      <c r="B244" s="43">
        <v>51</v>
      </c>
      <c r="C244" s="43">
        <v>2</v>
      </c>
      <c r="D244" s="43">
        <v>3</v>
      </c>
      <c r="E244" s="43">
        <v>130510</v>
      </c>
      <c r="F244" s="43">
        <v>102904</v>
      </c>
      <c r="G244" s="43" t="s">
        <v>175</v>
      </c>
      <c r="H244">
        <v>3</v>
      </c>
      <c r="I244">
        <v>414</v>
      </c>
      <c r="J244">
        <v>146</v>
      </c>
      <c r="K244" s="7">
        <v>26.4</v>
      </c>
      <c r="L244" s="22">
        <v>22.4</v>
      </c>
      <c r="M244" s="7">
        <v>21.6</v>
      </c>
      <c r="N244" s="40">
        <f t="shared" si="10"/>
        <v>0.84848484848484851</v>
      </c>
      <c r="O244" s="40">
        <f t="shared" si="11"/>
        <v>0.81818181818181823</v>
      </c>
      <c r="P244" s="39">
        <v>2.2000000000000002</v>
      </c>
      <c r="Q244" s="72">
        <f>VLOOKUP('All inst data'!A244,'all mice (except april 2012)'!$A$2:$G$218,7,FALSE)</f>
        <v>70</v>
      </c>
      <c r="Z244" s="40"/>
    </row>
    <row r="245" spans="1:26" x14ac:dyDescent="0.25">
      <c r="A245" s="43">
        <v>76</v>
      </c>
      <c r="B245" s="43">
        <v>52</v>
      </c>
      <c r="C245" s="43">
        <v>2</v>
      </c>
      <c r="D245" s="43">
        <v>3</v>
      </c>
      <c r="E245" s="43">
        <v>130510</v>
      </c>
      <c r="F245" s="43">
        <v>102904</v>
      </c>
      <c r="G245" s="43" t="s">
        <v>186</v>
      </c>
      <c r="H245">
        <v>4</v>
      </c>
      <c r="I245">
        <v>104</v>
      </c>
      <c r="J245">
        <v>69</v>
      </c>
      <c r="K245" s="7">
        <v>23.1</v>
      </c>
      <c r="L245" s="22">
        <v>20.6</v>
      </c>
      <c r="M245" s="7">
        <v>20.100000000000001</v>
      </c>
      <c r="N245" s="40">
        <f t="shared" si="10"/>
        <v>0.89177489177489178</v>
      </c>
      <c r="O245" s="40">
        <f t="shared" si="11"/>
        <v>0.87012987012987009</v>
      </c>
      <c r="P245" s="39">
        <v>2.2000000000000002</v>
      </c>
      <c r="Q245" s="72">
        <f>VLOOKUP('All inst data'!A245,'all mice (except april 2012)'!$A$2:$G$218,7,FALSE)</f>
        <v>76</v>
      </c>
      <c r="Z245" s="40"/>
    </row>
    <row r="246" spans="1:26" x14ac:dyDescent="0.25">
      <c r="A246" s="43">
        <v>77</v>
      </c>
      <c r="B246" s="43">
        <v>53</v>
      </c>
      <c r="C246" s="43">
        <v>2</v>
      </c>
      <c r="D246" s="43">
        <v>3</v>
      </c>
      <c r="E246" s="43">
        <v>130510</v>
      </c>
      <c r="F246" s="43">
        <v>102904</v>
      </c>
      <c r="G246" s="43" t="s">
        <v>186</v>
      </c>
      <c r="H246">
        <v>5</v>
      </c>
      <c r="I246">
        <v>2276</v>
      </c>
      <c r="J246">
        <v>500</v>
      </c>
      <c r="K246" s="7">
        <v>19.899999999999999</v>
      </c>
      <c r="L246" s="22">
        <v>17.100000000000001</v>
      </c>
      <c r="M246" s="7">
        <v>16.7</v>
      </c>
      <c r="N246" s="40">
        <f t="shared" si="10"/>
        <v>0.85929648241206047</v>
      </c>
      <c r="O246" s="40">
        <f t="shared" si="11"/>
        <v>0.83919597989949746</v>
      </c>
      <c r="P246" s="39">
        <v>2.2000000000000002</v>
      </c>
      <c r="Q246" s="72">
        <f>VLOOKUP('All inst data'!A246,'all mice (except april 2012)'!$A$2:$G$218,7,FALSE)</f>
        <v>76</v>
      </c>
      <c r="Z246" s="40"/>
    </row>
    <row r="247" spans="1:26" x14ac:dyDescent="0.25">
      <c r="A247" s="43">
        <v>78</v>
      </c>
      <c r="B247" s="43">
        <v>54</v>
      </c>
      <c r="C247" s="43">
        <v>2</v>
      </c>
      <c r="D247" s="43">
        <v>3</v>
      </c>
      <c r="E247" s="43">
        <v>130510</v>
      </c>
      <c r="F247" s="43">
        <v>102904</v>
      </c>
      <c r="G247" s="43" t="s">
        <v>176</v>
      </c>
      <c r="H247">
        <v>6</v>
      </c>
      <c r="I247">
        <v>333</v>
      </c>
      <c r="J247">
        <v>135</v>
      </c>
      <c r="K247" s="7">
        <v>26.3</v>
      </c>
      <c r="L247" s="22">
        <v>23.4</v>
      </c>
      <c r="M247" s="7">
        <v>21.7</v>
      </c>
      <c r="N247" s="40">
        <f t="shared" si="10"/>
        <v>0.88973384030418246</v>
      </c>
      <c r="O247" s="40">
        <f t="shared" si="11"/>
        <v>0.82509505703422048</v>
      </c>
      <c r="P247" s="39">
        <v>3</v>
      </c>
      <c r="Q247" s="72">
        <f>VLOOKUP('All inst data'!A247,'all mice (except april 2012)'!$A$2:$G$218,7,FALSE)</f>
        <v>72</v>
      </c>
      <c r="Z247" s="40"/>
    </row>
    <row r="248" spans="1:26" x14ac:dyDescent="0.25">
      <c r="A248" s="43">
        <v>79</v>
      </c>
      <c r="B248" s="43">
        <v>55</v>
      </c>
      <c r="C248" s="43">
        <v>2</v>
      </c>
      <c r="D248" s="43">
        <v>3</v>
      </c>
      <c r="E248" s="43">
        <v>130510</v>
      </c>
      <c r="F248" s="43">
        <v>102904</v>
      </c>
      <c r="G248" s="43" t="s">
        <v>176</v>
      </c>
      <c r="H248">
        <v>7</v>
      </c>
      <c r="I248">
        <v>778</v>
      </c>
      <c r="J248">
        <v>225</v>
      </c>
      <c r="K248" s="7">
        <v>27</v>
      </c>
      <c r="L248" s="22">
        <v>24.1</v>
      </c>
      <c r="M248" s="7">
        <v>23.2</v>
      </c>
      <c r="N248" s="40">
        <f t="shared" si="10"/>
        <v>0.8925925925925926</v>
      </c>
      <c r="O248" s="40">
        <f t="shared" si="11"/>
        <v>0.85925925925925928</v>
      </c>
      <c r="P248" s="39">
        <v>3</v>
      </c>
      <c r="Q248" s="72">
        <f>VLOOKUP('All inst data'!A248,'all mice (except april 2012)'!$A$2:$G$218,7,FALSE)</f>
        <v>72</v>
      </c>
      <c r="Z248" s="40"/>
    </row>
    <row r="249" spans="1:26" x14ac:dyDescent="0.25">
      <c r="A249" s="43">
        <v>80</v>
      </c>
      <c r="B249" s="43">
        <v>56</v>
      </c>
      <c r="C249" s="43">
        <v>2</v>
      </c>
      <c r="D249" s="43">
        <v>3</v>
      </c>
      <c r="E249" s="43">
        <v>130510</v>
      </c>
      <c r="F249" s="43">
        <v>102905</v>
      </c>
      <c r="G249" s="43" t="s">
        <v>176</v>
      </c>
      <c r="H249">
        <v>8</v>
      </c>
      <c r="I249">
        <v>2</v>
      </c>
      <c r="J249">
        <v>2</v>
      </c>
      <c r="K249" s="7">
        <v>21.9</v>
      </c>
      <c r="L249" s="22">
        <v>18.7</v>
      </c>
      <c r="M249" s="7">
        <v>18.3</v>
      </c>
      <c r="N249" s="40">
        <f t="shared" si="10"/>
        <v>0.85388127853881279</v>
      </c>
      <c r="O249" s="40">
        <f t="shared" si="11"/>
        <v>0.8356164383561645</v>
      </c>
      <c r="P249" s="39">
        <v>3</v>
      </c>
      <c r="Q249" s="72">
        <f>VLOOKUP('All inst data'!A249,'all mice (except april 2012)'!$A$2:$G$218,7,FALSE)</f>
        <v>72</v>
      </c>
      <c r="Z249" s="40"/>
    </row>
    <row r="250" spans="1:26" x14ac:dyDescent="0.25">
      <c r="A250" s="43">
        <v>81</v>
      </c>
      <c r="B250" s="43">
        <v>57</v>
      </c>
      <c r="C250" s="43">
        <v>2</v>
      </c>
      <c r="D250" s="43">
        <v>3</v>
      </c>
      <c r="E250" s="43">
        <v>130510</v>
      </c>
      <c r="F250" s="43">
        <v>101703</v>
      </c>
      <c r="G250" s="43" t="s">
        <v>174</v>
      </c>
      <c r="H250">
        <v>9</v>
      </c>
      <c r="I250">
        <v>0</v>
      </c>
      <c r="J250">
        <v>0</v>
      </c>
      <c r="K250" s="22">
        <v>21.5</v>
      </c>
      <c r="L250" s="22">
        <v>18.899999999999999</v>
      </c>
      <c r="M250" s="7">
        <v>16.600000000000001</v>
      </c>
      <c r="N250" s="40">
        <f t="shared" si="10"/>
        <v>0.87906976744186038</v>
      </c>
      <c r="O250" s="40">
        <f t="shared" si="11"/>
        <v>0.77209302325581397</v>
      </c>
      <c r="P250" s="39">
        <v>3.65</v>
      </c>
      <c r="Q250" s="72">
        <f>VLOOKUP('All inst data'!A250,'all mice (except april 2012)'!$A$2:$G$218,7,FALSE)</f>
        <v>62</v>
      </c>
      <c r="Z250" s="40"/>
    </row>
    <row r="251" spans="1:26" x14ac:dyDescent="0.25">
      <c r="A251" s="43">
        <v>82</v>
      </c>
      <c r="B251" s="43">
        <v>58</v>
      </c>
      <c r="C251" s="43">
        <v>2</v>
      </c>
      <c r="D251" s="43">
        <v>3</v>
      </c>
      <c r="E251" s="43">
        <v>130510</v>
      </c>
      <c r="F251" s="43">
        <v>101703</v>
      </c>
      <c r="G251" s="43" t="s">
        <v>174</v>
      </c>
      <c r="H251">
        <v>10</v>
      </c>
      <c r="I251">
        <v>0</v>
      </c>
      <c r="J251">
        <v>0</v>
      </c>
      <c r="K251" s="22">
        <v>20.5</v>
      </c>
      <c r="L251" s="22">
        <v>18.399999999999999</v>
      </c>
      <c r="M251" s="7">
        <v>16.600000000000001</v>
      </c>
      <c r="N251" s="40">
        <f t="shared" si="10"/>
        <v>0.89756097560975601</v>
      </c>
      <c r="O251" s="40">
        <f t="shared" si="11"/>
        <v>0.80975609756097566</v>
      </c>
      <c r="P251" s="39">
        <v>3.65</v>
      </c>
      <c r="Q251" s="72">
        <f>VLOOKUP('All inst data'!A251,'all mice (except april 2012)'!$A$2:$G$218,7,FALSE)</f>
        <v>62</v>
      </c>
      <c r="Z251" s="40"/>
    </row>
    <row r="252" spans="1:26" x14ac:dyDescent="0.25">
      <c r="A252" s="43">
        <v>83</v>
      </c>
      <c r="B252" s="43">
        <v>59</v>
      </c>
      <c r="C252" s="43">
        <v>2</v>
      </c>
      <c r="D252" s="43">
        <v>3</v>
      </c>
      <c r="E252" s="43">
        <v>130510</v>
      </c>
      <c r="F252" s="43">
        <v>101704</v>
      </c>
      <c r="G252" s="43" t="s">
        <v>171</v>
      </c>
      <c r="H252">
        <v>11</v>
      </c>
      <c r="I252">
        <v>479</v>
      </c>
      <c r="J252">
        <v>165</v>
      </c>
      <c r="K252" s="43">
        <v>18.3</v>
      </c>
      <c r="L252" s="22">
        <v>16.7</v>
      </c>
      <c r="M252" s="7">
        <v>15.7</v>
      </c>
      <c r="N252" s="40">
        <f t="shared" si="10"/>
        <v>0.91256830601092886</v>
      </c>
      <c r="O252" s="40">
        <f t="shared" si="11"/>
        <v>0.85792349726775952</v>
      </c>
      <c r="P252" s="39">
        <v>3.4</v>
      </c>
      <c r="Q252" s="72">
        <f>VLOOKUP('All inst data'!A252,'all mice (except april 2012)'!$A$2:$G$218,7,FALSE)</f>
        <v>64</v>
      </c>
      <c r="Z252" s="40"/>
    </row>
    <row r="253" spans="1:26" x14ac:dyDescent="0.25">
      <c r="A253" s="43">
        <v>84</v>
      </c>
      <c r="B253" s="43">
        <v>60</v>
      </c>
      <c r="C253" s="43">
        <v>2</v>
      </c>
      <c r="D253" s="43">
        <v>3</v>
      </c>
      <c r="E253" s="43">
        <v>130510</v>
      </c>
      <c r="F253" s="43">
        <v>101704</v>
      </c>
      <c r="G253" s="43" t="s">
        <v>171</v>
      </c>
      <c r="H253">
        <v>12</v>
      </c>
      <c r="I253">
        <v>0</v>
      </c>
      <c r="J253">
        <v>0</v>
      </c>
      <c r="K253" s="7">
        <v>14.8</v>
      </c>
      <c r="L253" s="22">
        <v>13.6</v>
      </c>
      <c r="M253" s="7">
        <v>12.4</v>
      </c>
      <c r="N253" s="40">
        <f t="shared" si="10"/>
        <v>0.91891891891891886</v>
      </c>
      <c r="O253" s="40">
        <f t="shared" si="11"/>
        <v>0.83783783783783783</v>
      </c>
      <c r="P253" s="39">
        <v>3.4</v>
      </c>
      <c r="Q253" s="72">
        <f>VLOOKUP('All inst data'!A253,'all mice (except april 2012)'!$A$2:$G$218,7,FALSE)</f>
        <v>64</v>
      </c>
      <c r="Z253" s="40"/>
    </row>
    <row r="254" spans="1:26" x14ac:dyDescent="0.25">
      <c r="A254" s="43">
        <v>85</v>
      </c>
      <c r="B254" s="43">
        <v>1</v>
      </c>
      <c r="C254" s="43">
        <v>3</v>
      </c>
      <c r="D254" s="43">
        <v>1</v>
      </c>
      <c r="E254" s="43">
        <v>130521</v>
      </c>
      <c r="F254" s="43">
        <v>102110</v>
      </c>
      <c r="G254" s="43" t="s">
        <v>169</v>
      </c>
      <c r="H254">
        <v>1</v>
      </c>
      <c r="I254">
        <v>4</v>
      </c>
      <c r="J254">
        <v>4</v>
      </c>
      <c r="K254" s="7">
        <v>27.4</v>
      </c>
      <c r="L254" s="22">
        <v>24.2</v>
      </c>
      <c r="M254" s="7">
        <v>22</v>
      </c>
      <c r="N254" s="40">
        <f t="shared" si="10"/>
        <v>0.88321167883211682</v>
      </c>
      <c r="O254" s="40">
        <f t="shared" si="11"/>
        <v>0.8029197080291971</v>
      </c>
      <c r="P254" s="4">
        <v>2.0499999999999998</v>
      </c>
      <c r="Q254" s="72">
        <f>VLOOKUP('All inst data'!A254,'all mice (except april 2012)'!$A$2:$G$218,7,FALSE)</f>
        <v>125</v>
      </c>
      <c r="Z254" s="40"/>
    </row>
    <row r="255" spans="1:26" x14ac:dyDescent="0.25">
      <c r="A255" s="43">
        <v>86</v>
      </c>
      <c r="B255" s="43">
        <v>2</v>
      </c>
      <c r="C255" s="43">
        <v>3</v>
      </c>
      <c r="D255" s="43">
        <v>1</v>
      </c>
      <c r="E255" s="43">
        <v>130521</v>
      </c>
      <c r="F255" s="43">
        <v>102111</v>
      </c>
      <c r="G255" s="43" t="s">
        <v>169</v>
      </c>
      <c r="H255">
        <v>2</v>
      </c>
      <c r="I255">
        <v>3</v>
      </c>
      <c r="J255">
        <v>3</v>
      </c>
      <c r="K255" s="7">
        <v>27.2</v>
      </c>
      <c r="L255" s="22">
        <v>24.4</v>
      </c>
      <c r="M255" s="7">
        <v>23.1</v>
      </c>
      <c r="N255" s="40">
        <f t="shared" si="10"/>
        <v>0.89705882352941169</v>
      </c>
      <c r="O255" s="40">
        <f t="shared" si="11"/>
        <v>0.84926470588235303</v>
      </c>
      <c r="P255" s="4">
        <v>2.0499999999999998</v>
      </c>
      <c r="Q255" s="72">
        <f>VLOOKUP('All inst data'!A255,'all mice (except april 2012)'!$A$2:$G$218,7,FALSE)</f>
        <v>125</v>
      </c>
      <c r="Z255" s="40"/>
    </row>
    <row r="256" spans="1:26" ht="14.25" customHeight="1" x14ac:dyDescent="0.25">
      <c r="A256" s="43">
        <v>87</v>
      </c>
      <c r="B256" s="43">
        <v>3</v>
      </c>
      <c r="C256" s="43">
        <v>3</v>
      </c>
      <c r="D256" s="43">
        <v>1</v>
      </c>
      <c r="E256" s="43">
        <v>130521</v>
      </c>
      <c r="F256" s="43">
        <v>102111</v>
      </c>
      <c r="G256" s="43" t="s">
        <v>179</v>
      </c>
      <c r="H256">
        <v>3</v>
      </c>
      <c r="I256" s="43">
        <v>9</v>
      </c>
      <c r="J256" s="43">
        <v>9</v>
      </c>
      <c r="K256" s="7">
        <v>26.4</v>
      </c>
      <c r="L256" s="22">
        <v>23.7</v>
      </c>
      <c r="M256" s="7">
        <v>22.8</v>
      </c>
      <c r="N256" s="40">
        <f t="shared" si="10"/>
        <v>0.89772727272727271</v>
      </c>
      <c r="O256" s="40">
        <f t="shared" si="11"/>
        <v>0.86363636363636376</v>
      </c>
      <c r="P256" s="4">
        <v>2.25</v>
      </c>
      <c r="Q256" s="72">
        <f>VLOOKUP('All inst data'!A256,'all mice (except april 2012)'!$A$2:$G$218,7,FALSE)</f>
        <v>143</v>
      </c>
      <c r="Z256" s="40"/>
    </row>
    <row r="257" spans="1:26" x14ac:dyDescent="0.25">
      <c r="A257" s="43">
        <v>88</v>
      </c>
      <c r="B257" s="43">
        <v>4</v>
      </c>
      <c r="C257" s="43">
        <v>3</v>
      </c>
      <c r="D257" s="43">
        <v>1</v>
      </c>
      <c r="E257" s="43">
        <v>130521</v>
      </c>
      <c r="F257" s="43">
        <v>102111</v>
      </c>
      <c r="G257" s="43" t="s">
        <v>179</v>
      </c>
      <c r="H257">
        <v>4</v>
      </c>
      <c r="I257">
        <v>2</v>
      </c>
      <c r="J257">
        <v>2</v>
      </c>
      <c r="K257" s="7">
        <v>26.9</v>
      </c>
      <c r="L257" s="22">
        <v>23.6</v>
      </c>
      <c r="M257" s="7">
        <v>22</v>
      </c>
      <c r="N257" s="40">
        <f t="shared" si="10"/>
        <v>0.87732342007434949</v>
      </c>
      <c r="O257" s="40">
        <f t="shared" si="11"/>
        <v>0.8178438661710038</v>
      </c>
      <c r="P257" s="4">
        <v>2.25</v>
      </c>
      <c r="Q257" s="72">
        <f>VLOOKUP('All inst data'!A257,'all mice (except april 2012)'!$A$2:$G$218,7,FALSE)</f>
        <v>143</v>
      </c>
      <c r="Z257" s="40"/>
    </row>
    <row r="258" spans="1:26" x14ac:dyDescent="0.25">
      <c r="A258" s="43">
        <v>89</v>
      </c>
      <c r="B258" s="43">
        <v>5</v>
      </c>
      <c r="C258" s="43">
        <v>3</v>
      </c>
      <c r="D258" s="43">
        <v>1</v>
      </c>
      <c r="E258" s="43">
        <v>130521</v>
      </c>
      <c r="F258" s="43">
        <v>102111</v>
      </c>
      <c r="G258" s="43" t="s">
        <v>174</v>
      </c>
      <c r="H258">
        <v>5</v>
      </c>
      <c r="I258">
        <v>1554</v>
      </c>
      <c r="J258">
        <v>370</v>
      </c>
      <c r="K258" s="7">
        <v>26.4</v>
      </c>
      <c r="L258" s="22">
        <v>23.2</v>
      </c>
      <c r="M258" s="7">
        <v>22.6</v>
      </c>
      <c r="N258" s="40">
        <f t="shared" ref="N258:N321" si="12">L258/K258</f>
        <v>0.87878787878787878</v>
      </c>
      <c r="O258" s="40">
        <f t="shared" ref="O258:O321" si="13">M258/K258</f>
        <v>0.85606060606060619</v>
      </c>
      <c r="P258" s="4">
        <v>2.4</v>
      </c>
      <c r="Q258" s="72">
        <f>VLOOKUP('All inst data'!A258,'all mice (except april 2012)'!$A$2:$G$218,7,FALSE)</f>
        <v>157</v>
      </c>
      <c r="Z258" s="40"/>
    </row>
    <row r="259" spans="1:26" x14ac:dyDescent="0.25">
      <c r="A259" s="43">
        <v>90</v>
      </c>
      <c r="B259" s="43">
        <v>6</v>
      </c>
      <c r="C259" s="43">
        <v>3</v>
      </c>
      <c r="D259" s="43">
        <v>1</v>
      </c>
      <c r="E259" s="43">
        <v>130521</v>
      </c>
      <c r="F259" s="43">
        <v>102111</v>
      </c>
      <c r="G259" s="43" t="s">
        <v>165</v>
      </c>
      <c r="H259">
        <v>6</v>
      </c>
      <c r="I259">
        <v>4</v>
      </c>
      <c r="J259">
        <v>4</v>
      </c>
      <c r="K259" s="7">
        <v>27.8</v>
      </c>
      <c r="L259" s="22">
        <v>24.3</v>
      </c>
      <c r="M259" s="7">
        <v>23</v>
      </c>
      <c r="N259" s="40">
        <f t="shared" si="12"/>
        <v>0.87410071942446044</v>
      </c>
      <c r="O259" s="40">
        <f t="shared" si="13"/>
        <v>0.82733812949640284</v>
      </c>
      <c r="P259" s="4">
        <v>2.1</v>
      </c>
      <c r="Q259" s="72">
        <f>VLOOKUP('All inst data'!A259,'all mice (except april 2012)'!$A$2:$G$218,7,FALSE)</f>
        <v>154</v>
      </c>
      <c r="Z259" s="40"/>
    </row>
    <row r="260" spans="1:26" x14ac:dyDescent="0.25">
      <c r="A260" s="43">
        <v>91</v>
      </c>
      <c r="B260" s="43">
        <v>7</v>
      </c>
      <c r="C260" s="43">
        <v>3</v>
      </c>
      <c r="D260" s="43">
        <v>1</v>
      </c>
      <c r="E260" s="43">
        <v>130521</v>
      </c>
      <c r="F260" s="43">
        <v>102111</v>
      </c>
      <c r="G260" s="43" t="s">
        <v>172</v>
      </c>
      <c r="H260">
        <v>7</v>
      </c>
      <c r="I260">
        <v>300</v>
      </c>
      <c r="J260">
        <v>128</v>
      </c>
      <c r="K260" s="7">
        <v>29.9</v>
      </c>
      <c r="L260" s="22">
        <v>26.4</v>
      </c>
      <c r="M260" s="7">
        <v>24.9</v>
      </c>
      <c r="N260" s="40">
        <f t="shared" si="12"/>
        <v>0.882943143812709</v>
      </c>
      <c r="O260" s="40">
        <f t="shared" si="13"/>
        <v>0.83277591973244147</v>
      </c>
      <c r="P260" s="4">
        <v>2.0499999999999998</v>
      </c>
      <c r="Q260" s="72">
        <f>VLOOKUP('All inst data'!A260,'all mice (except april 2012)'!$A$2:$G$218,7,FALSE)</f>
        <v>163</v>
      </c>
      <c r="Z260" s="40"/>
    </row>
    <row r="261" spans="1:26" x14ac:dyDescent="0.25">
      <c r="A261" s="43">
        <v>92</v>
      </c>
      <c r="B261" s="43">
        <v>8</v>
      </c>
      <c r="C261" s="43">
        <v>3</v>
      </c>
      <c r="D261" s="43">
        <v>1</v>
      </c>
      <c r="E261" s="43">
        <v>130521</v>
      </c>
      <c r="F261" s="43">
        <v>102111</v>
      </c>
      <c r="G261" s="43" t="s">
        <v>172</v>
      </c>
      <c r="H261">
        <v>8</v>
      </c>
      <c r="I261">
        <v>2</v>
      </c>
      <c r="J261">
        <v>2</v>
      </c>
      <c r="K261" s="7">
        <v>27.3</v>
      </c>
      <c r="L261" s="22">
        <v>24.3</v>
      </c>
      <c r="M261" s="7">
        <v>22.7</v>
      </c>
      <c r="N261" s="40">
        <f t="shared" si="12"/>
        <v>0.89010989010989017</v>
      </c>
      <c r="O261" s="40">
        <f t="shared" si="13"/>
        <v>0.83150183150183143</v>
      </c>
      <c r="P261" s="4">
        <v>2.0499999999999998</v>
      </c>
      <c r="Q261" s="72">
        <f>VLOOKUP('All inst data'!A261,'all mice (except april 2012)'!$A$2:$G$218,7,FALSE)</f>
        <v>163</v>
      </c>
    </row>
    <row r="262" spans="1:26" x14ac:dyDescent="0.25">
      <c r="A262" s="43">
        <v>93</v>
      </c>
      <c r="B262" s="43">
        <v>9</v>
      </c>
      <c r="C262" s="43">
        <v>3</v>
      </c>
      <c r="D262" s="43">
        <v>1</v>
      </c>
      <c r="E262" s="43">
        <v>130521</v>
      </c>
      <c r="F262" s="43">
        <v>102112</v>
      </c>
      <c r="G262" s="43" t="s">
        <v>168</v>
      </c>
      <c r="H262">
        <v>9</v>
      </c>
      <c r="I262">
        <v>107</v>
      </c>
      <c r="J262">
        <v>76</v>
      </c>
      <c r="K262" s="7">
        <v>32.5</v>
      </c>
      <c r="L262" s="22">
        <v>27.9</v>
      </c>
      <c r="M262" s="7">
        <v>27.3</v>
      </c>
      <c r="N262" s="40">
        <f t="shared" si="12"/>
        <v>0.85846153846153839</v>
      </c>
      <c r="O262" s="40">
        <f t="shared" si="13"/>
        <v>0.84</v>
      </c>
      <c r="P262" s="4">
        <v>2.2000000000000002</v>
      </c>
      <c r="Q262" s="72">
        <f>VLOOKUP('All inst data'!A262,'all mice (except april 2012)'!$A$2:$G$218,7,FALSE)</f>
        <v>159</v>
      </c>
    </row>
    <row r="263" spans="1:26" x14ac:dyDescent="0.25">
      <c r="A263" s="43">
        <v>94</v>
      </c>
      <c r="B263" s="43">
        <v>10</v>
      </c>
      <c r="C263" s="43">
        <v>3</v>
      </c>
      <c r="D263" s="43">
        <v>1</v>
      </c>
      <c r="E263" s="43">
        <v>130521</v>
      </c>
      <c r="F263" s="43">
        <v>102112</v>
      </c>
      <c r="G263" s="43" t="s">
        <v>168</v>
      </c>
      <c r="H263">
        <v>10</v>
      </c>
      <c r="I263">
        <v>170</v>
      </c>
      <c r="J263">
        <v>103</v>
      </c>
      <c r="K263" s="7">
        <v>34.299999999999997</v>
      </c>
      <c r="L263" s="22">
        <v>29.8</v>
      </c>
      <c r="M263" s="7">
        <v>29</v>
      </c>
      <c r="N263" s="40">
        <f t="shared" si="12"/>
        <v>0.86880466472303219</v>
      </c>
      <c r="O263" s="40">
        <f t="shared" si="13"/>
        <v>0.84548104956268233</v>
      </c>
      <c r="P263" s="4">
        <v>2.2000000000000002</v>
      </c>
      <c r="Q263" s="72">
        <f>VLOOKUP('All inst data'!A263,'all mice (except april 2012)'!$A$2:$G$218,7,FALSE)</f>
        <v>159</v>
      </c>
    </row>
    <row r="264" spans="1:26" x14ac:dyDescent="0.25">
      <c r="A264" s="43">
        <v>95</v>
      </c>
      <c r="B264" s="43">
        <v>11</v>
      </c>
      <c r="C264" s="43">
        <v>3</v>
      </c>
      <c r="D264" s="43">
        <v>1</v>
      </c>
      <c r="E264" s="43">
        <v>130521</v>
      </c>
      <c r="F264" s="43">
        <v>102112</v>
      </c>
      <c r="G264" s="43" t="s">
        <v>175</v>
      </c>
      <c r="H264">
        <v>11</v>
      </c>
      <c r="I264">
        <v>2</v>
      </c>
      <c r="J264">
        <v>2</v>
      </c>
      <c r="K264" s="7">
        <v>41.8</v>
      </c>
      <c r="L264" s="22">
        <v>36.299999999999997</v>
      </c>
      <c r="M264" s="7">
        <v>35.299999999999997</v>
      </c>
      <c r="N264" s="40">
        <f t="shared" si="12"/>
        <v>0.86842105263157898</v>
      </c>
      <c r="O264" s="40">
        <f t="shared" si="13"/>
        <v>0.84449760765550241</v>
      </c>
      <c r="P264" s="4">
        <v>2.2999999999999998</v>
      </c>
      <c r="Q264" s="72">
        <f>VLOOKUP('All inst data'!A264,'all mice (except april 2012)'!$A$2:$G$218,7,FALSE)</f>
        <v>149</v>
      </c>
    </row>
    <row r="265" spans="1:26" x14ac:dyDescent="0.25">
      <c r="A265" s="43">
        <v>96</v>
      </c>
      <c r="B265" s="43">
        <v>12</v>
      </c>
      <c r="C265" s="43">
        <v>3</v>
      </c>
      <c r="D265" s="43">
        <v>1</v>
      </c>
      <c r="E265" s="43">
        <v>130521</v>
      </c>
      <c r="F265" s="43">
        <v>102113</v>
      </c>
      <c r="G265" s="43" t="s">
        <v>175</v>
      </c>
      <c r="H265">
        <v>12</v>
      </c>
      <c r="I265">
        <v>3</v>
      </c>
      <c r="J265">
        <v>2</v>
      </c>
      <c r="K265" s="7">
        <v>33.5</v>
      </c>
      <c r="L265" s="22">
        <v>28.9</v>
      </c>
      <c r="M265" s="7">
        <v>28</v>
      </c>
      <c r="N265" s="40">
        <f t="shared" si="12"/>
        <v>0.86268656716417902</v>
      </c>
      <c r="O265" s="40">
        <f t="shared" si="13"/>
        <v>0.83582089552238803</v>
      </c>
      <c r="P265" s="4">
        <v>2.2999999999999998</v>
      </c>
      <c r="Q265" s="72">
        <f>VLOOKUP('All inst data'!A265,'all mice (except april 2012)'!$A$2:$G$218,7,FALSE)</f>
        <v>149</v>
      </c>
    </row>
    <row r="266" spans="1:26" x14ac:dyDescent="0.25">
      <c r="A266" s="43">
        <v>85</v>
      </c>
      <c r="B266" s="43">
        <v>1</v>
      </c>
      <c r="C266" s="43">
        <v>3</v>
      </c>
      <c r="D266" s="43">
        <v>2</v>
      </c>
      <c r="E266" s="43">
        <v>130522</v>
      </c>
      <c r="F266" s="43">
        <v>104437</v>
      </c>
      <c r="G266" s="43" t="s">
        <v>169</v>
      </c>
      <c r="H266">
        <v>1</v>
      </c>
      <c r="I266">
        <v>4</v>
      </c>
      <c r="J266">
        <v>4</v>
      </c>
      <c r="K266" s="7">
        <v>27.4</v>
      </c>
      <c r="L266" s="22">
        <v>23.4</v>
      </c>
      <c r="M266" s="7">
        <v>21.9</v>
      </c>
      <c r="N266" s="40">
        <f t="shared" si="12"/>
        <v>0.85401459854014594</v>
      </c>
      <c r="O266" s="40">
        <f t="shared" si="13"/>
        <v>0.7992700729927007</v>
      </c>
      <c r="P266" s="4">
        <v>2.4</v>
      </c>
      <c r="Q266" s="72">
        <f>VLOOKUP('All inst data'!A266,'all mice (except april 2012)'!$A$2:$G$218,7,FALSE)</f>
        <v>125</v>
      </c>
    </row>
    <row r="267" spans="1:26" x14ac:dyDescent="0.25">
      <c r="A267" s="43">
        <v>86</v>
      </c>
      <c r="B267" s="43">
        <v>2</v>
      </c>
      <c r="C267" s="43">
        <v>3</v>
      </c>
      <c r="D267" s="43">
        <v>2</v>
      </c>
      <c r="E267" s="43">
        <v>130522</v>
      </c>
      <c r="F267" s="43">
        <v>104437</v>
      </c>
      <c r="G267" s="43" t="s">
        <v>169</v>
      </c>
      <c r="H267">
        <v>2</v>
      </c>
      <c r="I267">
        <v>2</v>
      </c>
      <c r="J267">
        <v>2</v>
      </c>
      <c r="K267" s="7">
        <v>27.2</v>
      </c>
      <c r="L267" s="22">
        <v>23.5</v>
      </c>
      <c r="M267" s="7">
        <v>22.3</v>
      </c>
      <c r="N267" s="40">
        <f t="shared" si="12"/>
        <v>0.86397058823529416</v>
      </c>
      <c r="O267" s="40">
        <f t="shared" si="13"/>
        <v>0.81985294117647067</v>
      </c>
      <c r="P267" s="4">
        <v>2.4</v>
      </c>
      <c r="Q267" s="72">
        <f>VLOOKUP('All inst data'!A267,'all mice (except april 2012)'!$A$2:$G$218,7,FALSE)</f>
        <v>125</v>
      </c>
    </row>
    <row r="268" spans="1:26" x14ac:dyDescent="0.25">
      <c r="A268" s="43">
        <v>87</v>
      </c>
      <c r="B268" s="43">
        <v>3</v>
      </c>
      <c r="C268" s="43">
        <v>3</v>
      </c>
      <c r="D268" s="43">
        <v>2</v>
      </c>
      <c r="E268" s="43">
        <v>130522</v>
      </c>
      <c r="F268" s="43">
        <v>104437</v>
      </c>
      <c r="G268" s="43" t="s">
        <v>179</v>
      </c>
      <c r="H268">
        <v>3</v>
      </c>
      <c r="I268">
        <v>2</v>
      </c>
      <c r="J268">
        <v>2</v>
      </c>
      <c r="K268" s="7">
        <v>26.4</v>
      </c>
      <c r="L268" s="22">
        <v>23.7</v>
      </c>
      <c r="M268" s="7">
        <v>21.4</v>
      </c>
      <c r="N268" s="40">
        <f t="shared" si="12"/>
        <v>0.89772727272727271</v>
      </c>
      <c r="O268" s="40">
        <f t="shared" si="13"/>
        <v>0.81060606060606055</v>
      </c>
      <c r="P268" s="4">
        <v>2.5499999999999998</v>
      </c>
      <c r="Q268" s="72">
        <f>VLOOKUP('All inst data'!A268,'all mice (except april 2012)'!$A$2:$G$218,7,FALSE)</f>
        <v>143</v>
      </c>
    </row>
    <row r="269" spans="1:26" x14ac:dyDescent="0.25">
      <c r="A269" s="43">
        <v>88</v>
      </c>
      <c r="B269" s="43">
        <v>4</v>
      </c>
      <c r="C269" s="43">
        <v>3</v>
      </c>
      <c r="D269" s="43">
        <v>2</v>
      </c>
      <c r="E269" s="43">
        <v>130522</v>
      </c>
      <c r="F269" s="43">
        <v>104438</v>
      </c>
      <c r="G269" s="43" t="s">
        <v>179</v>
      </c>
      <c r="H269">
        <v>4</v>
      </c>
      <c r="I269">
        <v>0</v>
      </c>
      <c r="J269">
        <v>0</v>
      </c>
      <c r="K269" s="7">
        <v>26.9</v>
      </c>
      <c r="L269" s="22">
        <v>23.7</v>
      </c>
      <c r="M269" s="7">
        <v>22.2</v>
      </c>
      <c r="N269" s="40">
        <f t="shared" si="12"/>
        <v>0.88104089219330861</v>
      </c>
      <c r="O269" s="40">
        <f t="shared" si="13"/>
        <v>0.82527881040892193</v>
      </c>
      <c r="P269" s="4">
        <v>2.5499999999999998</v>
      </c>
      <c r="Q269" s="72">
        <f>VLOOKUP('All inst data'!A269,'all mice (except april 2012)'!$A$2:$G$218,7,FALSE)</f>
        <v>143</v>
      </c>
    </row>
    <row r="270" spans="1:26" x14ac:dyDescent="0.25">
      <c r="A270" s="43">
        <v>89</v>
      </c>
      <c r="B270" s="43">
        <v>5</v>
      </c>
      <c r="C270" s="43">
        <v>3</v>
      </c>
      <c r="D270" s="43">
        <v>2</v>
      </c>
      <c r="E270" s="43">
        <v>130522</v>
      </c>
      <c r="F270" s="43">
        <v>104438</v>
      </c>
      <c r="G270" s="43" t="s">
        <v>174</v>
      </c>
      <c r="H270">
        <v>5</v>
      </c>
      <c r="I270">
        <v>2216</v>
      </c>
      <c r="J270">
        <v>500</v>
      </c>
      <c r="K270" s="7">
        <v>26.4</v>
      </c>
      <c r="L270" s="22">
        <v>23.9</v>
      </c>
      <c r="M270" s="7">
        <v>22.5</v>
      </c>
      <c r="N270" s="40">
        <f t="shared" si="12"/>
        <v>0.90530303030303028</v>
      </c>
      <c r="O270" s="40">
        <f t="shared" si="13"/>
        <v>0.85227272727272729</v>
      </c>
      <c r="P270" s="4">
        <v>2.4</v>
      </c>
      <c r="Q270" s="72">
        <f>VLOOKUP('All inst data'!A270,'all mice (except april 2012)'!$A$2:$G$218,7,FALSE)</f>
        <v>157</v>
      </c>
    </row>
    <row r="271" spans="1:26" x14ac:dyDescent="0.25">
      <c r="A271" s="43">
        <v>90</v>
      </c>
      <c r="B271" s="43">
        <v>6</v>
      </c>
      <c r="C271" s="43">
        <v>3</v>
      </c>
      <c r="D271" s="43">
        <v>2</v>
      </c>
      <c r="E271" s="43">
        <v>130522</v>
      </c>
      <c r="F271" s="43">
        <v>104438</v>
      </c>
      <c r="G271" s="43" t="s">
        <v>165</v>
      </c>
      <c r="H271">
        <v>6</v>
      </c>
      <c r="I271">
        <v>1</v>
      </c>
      <c r="J271">
        <v>1</v>
      </c>
      <c r="K271" s="7">
        <v>27.8</v>
      </c>
      <c r="L271" s="22">
        <v>24</v>
      </c>
      <c r="M271" s="7">
        <v>22.7</v>
      </c>
      <c r="N271" s="40">
        <f t="shared" si="12"/>
        <v>0.86330935251798557</v>
      </c>
      <c r="O271" s="40">
        <f t="shared" si="13"/>
        <v>0.81654676258992798</v>
      </c>
      <c r="P271" s="4">
        <v>2.4</v>
      </c>
      <c r="Q271" s="72">
        <f>VLOOKUP('All inst data'!A271,'all mice (except april 2012)'!$A$2:$G$218,7,FALSE)</f>
        <v>154</v>
      </c>
    </row>
    <row r="272" spans="1:26" x14ac:dyDescent="0.25">
      <c r="A272" s="43">
        <v>91</v>
      </c>
      <c r="B272" s="43">
        <v>7</v>
      </c>
      <c r="C272" s="43">
        <v>3</v>
      </c>
      <c r="D272" s="43">
        <v>2</v>
      </c>
      <c r="E272" s="43">
        <v>130522</v>
      </c>
      <c r="F272" s="43">
        <v>104438</v>
      </c>
      <c r="G272" s="43" t="s">
        <v>172</v>
      </c>
      <c r="H272">
        <v>7</v>
      </c>
      <c r="I272">
        <v>1712</v>
      </c>
      <c r="J272">
        <v>409</v>
      </c>
      <c r="K272" s="7">
        <v>29.9</v>
      </c>
      <c r="L272" s="22">
        <v>26.2</v>
      </c>
      <c r="M272" s="7">
        <v>25.4</v>
      </c>
      <c r="N272" s="40">
        <f t="shared" si="12"/>
        <v>0.87625418060200666</v>
      </c>
      <c r="O272" s="40">
        <f t="shared" si="13"/>
        <v>0.84949832775919731</v>
      </c>
      <c r="P272" s="4">
        <v>2.2999999999999998</v>
      </c>
      <c r="Q272" s="72">
        <f>VLOOKUP('All inst data'!A272,'all mice (except april 2012)'!$A$2:$G$218,7,FALSE)</f>
        <v>163</v>
      </c>
    </row>
    <row r="273" spans="1:17" x14ac:dyDescent="0.25">
      <c r="A273" s="43">
        <v>92</v>
      </c>
      <c r="B273" s="43">
        <v>8</v>
      </c>
      <c r="C273" s="43">
        <v>3</v>
      </c>
      <c r="D273" s="43">
        <v>2</v>
      </c>
      <c r="E273" s="43">
        <v>130522</v>
      </c>
      <c r="F273" s="43">
        <v>104438</v>
      </c>
      <c r="G273" s="43" t="s">
        <v>172</v>
      </c>
      <c r="H273">
        <v>8</v>
      </c>
      <c r="I273">
        <v>1</v>
      </c>
      <c r="J273">
        <v>1</v>
      </c>
      <c r="K273" s="7">
        <v>27.3</v>
      </c>
      <c r="L273" s="22">
        <v>24</v>
      </c>
      <c r="M273" s="7">
        <v>22.3</v>
      </c>
      <c r="N273" s="40">
        <f t="shared" si="12"/>
        <v>0.87912087912087911</v>
      </c>
      <c r="O273" s="40">
        <f t="shared" si="13"/>
        <v>0.81684981684981683</v>
      </c>
      <c r="P273" s="4">
        <v>2.2999999999999998</v>
      </c>
      <c r="Q273" s="72">
        <f>VLOOKUP('All inst data'!A273,'all mice (except april 2012)'!$A$2:$G$218,7,FALSE)</f>
        <v>163</v>
      </c>
    </row>
    <row r="274" spans="1:17" x14ac:dyDescent="0.25">
      <c r="A274" s="43">
        <v>93</v>
      </c>
      <c r="B274" s="43">
        <v>9</v>
      </c>
      <c r="C274" s="43">
        <v>3</v>
      </c>
      <c r="D274" s="43">
        <v>2</v>
      </c>
      <c r="E274" s="43">
        <v>130522</v>
      </c>
      <c r="F274" s="43">
        <v>104438</v>
      </c>
      <c r="G274" s="43" t="s">
        <v>168</v>
      </c>
      <c r="H274">
        <v>9</v>
      </c>
      <c r="I274">
        <v>278</v>
      </c>
      <c r="J274">
        <v>124</v>
      </c>
      <c r="K274" s="7">
        <v>32.5</v>
      </c>
      <c r="L274" s="22">
        <v>27.8</v>
      </c>
      <c r="M274" s="7">
        <v>26.6</v>
      </c>
      <c r="N274" s="40">
        <f t="shared" si="12"/>
        <v>0.85538461538461541</v>
      </c>
      <c r="O274" s="40">
        <f t="shared" si="13"/>
        <v>0.81846153846153846</v>
      </c>
      <c r="P274" s="4">
        <v>2.4500000000000002</v>
      </c>
      <c r="Q274" s="72">
        <f>VLOOKUP('All inst data'!A274,'all mice (except april 2012)'!$A$2:$G$218,7,FALSE)</f>
        <v>159</v>
      </c>
    </row>
    <row r="275" spans="1:17" x14ac:dyDescent="0.25">
      <c r="A275" s="43">
        <v>94</v>
      </c>
      <c r="B275" s="43">
        <v>10</v>
      </c>
      <c r="C275" s="43">
        <v>3</v>
      </c>
      <c r="D275" s="43">
        <v>2</v>
      </c>
      <c r="E275" s="43">
        <v>130522</v>
      </c>
      <c r="F275" s="43">
        <v>104438</v>
      </c>
      <c r="G275" s="43" t="s">
        <v>168</v>
      </c>
      <c r="H275">
        <v>10</v>
      </c>
      <c r="I275">
        <v>715</v>
      </c>
      <c r="J275">
        <v>209</v>
      </c>
      <c r="K275" s="7">
        <v>34.299999999999997</v>
      </c>
      <c r="L275" s="22">
        <v>29.6</v>
      </c>
      <c r="M275" s="7">
        <v>28.8</v>
      </c>
      <c r="N275" s="40">
        <f t="shared" si="12"/>
        <v>0.86297376093294476</v>
      </c>
      <c r="O275" s="40">
        <f t="shared" si="13"/>
        <v>0.83965014577259489</v>
      </c>
      <c r="P275" s="4">
        <v>2.4500000000000002</v>
      </c>
      <c r="Q275" s="72">
        <f>VLOOKUP('All inst data'!A275,'all mice (except april 2012)'!$A$2:$G$218,7,FALSE)</f>
        <v>159</v>
      </c>
    </row>
    <row r="276" spans="1:17" x14ac:dyDescent="0.25">
      <c r="A276" s="43">
        <v>95</v>
      </c>
      <c r="B276" s="43">
        <v>11</v>
      </c>
      <c r="C276" s="43">
        <v>3</v>
      </c>
      <c r="D276" s="43">
        <v>2</v>
      </c>
      <c r="E276" s="43">
        <v>130522</v>
      </c>
      <c r="F276" s="43">
        <v>104438</v>
      </c>
      <c r="G276" s="43" t="s">
        <v>175</v>
      </c>
      <c r="H276">
        <v>11</v>
      </c>
      <c r="I276">
        <v>3</v>
      </c>
      <c r="J276">
        <v>3</v>
      </c>
      <c r="K276" s="7">
        <v>41.8</v>
      </c>
      <c r="L276" s="22">
        <v>36.299999999999997</v>
      </c>
      <c r="M276" s="7">
        <v>34.5</v>
      </c>
      <c r="N276" s="40">
        <f t="shared" si="12"/>
        <v>0.86842105263157898</v>
      </c>
      <c r="O276" s="40">
        <f t="shared" si="13"/>
        <v>0.82535885167464118</v>
      </c>
      <c r="P276" s="4">
        <v>2.65</v>
      </c>
      <c r="Q276" s="72">
        <f>VLOOKUP('All inst data'!A276,'all mice (except april 2012)'!$A$2:$G$218,7,FALSE)</f>
        <v>149</v>
      </c>
    </row>
    <row r="277" spans="1:17" x14ac:dyDescent="0.25">
      <c r="A277" s="43">
        <v>96</v>
      </c>
      <c r="B277" s="43">
        <v>12</v>
      </c>
      <c r="C277" s="43">
        <v>3</v>
      </c>
      <c r="D277" s="43">
        <v>2</v>
      </c>
      <c r="E277" s="43">
        <v>130522</v>
      </c>
      <c r="F277" s="43">
        <v>104439</v>
      </c>
      <c r="G277" s="43" t="s">
        <v>175</v>
      </c>
      <c r="H277">
        <v>12</v>
      </c>
      <c r="I277">
        <v>1</v>
      </c>
      <c r="J277">
        <v>1</v>
      </c>
      <c r="K277" s="7">
        <v>33.5</v>
      </c>
      <c r="L277" s="22">
        <v>28.7</v>
      </c>
      <c r="M277" s="7">
        <v>27.8</v>
      </c>
      <c r="N277" s="40">
        <f t="shared" si="12"/>
        <v>0.85671641791044773</v>
      </c>
      <c r="O277" s="40">
        <f t="shared" si="13"/>
        <v>0.82985074626865674</v>
      </c>
      <c r="P277" s="4">
        <v>2.65</v>
      </c>
      <c r="Q277" s="72">
        <f>VLOOKUP('All inst data'!A277,'all mice (except april 2012)'!$A$2:$G$218,7,FALSE)</f>
        <v>149</v>
      </c>
    </row>
    <row r="278" spans="1:17" x14ac:dyDescent="0.25">
      <c r="A278" s="43">
        <v>85</v>
      </c>
      <c r="B278" s="43">
        <v>1</v>
      </c>
      <c r="C278" s="43">
        <v>3</v>
      </c>
      <c r="D278" s="43">
        <v>3</v>
      </c>
      <c r="E278" s="43">
        <v>130523</v>
      </c>
      <c r="F278" s="43">
        <v>110725</v>
      </c>
      <c r="G278" s="43" t="s">
        <v>169</v>
      </c>
      <c r="H278">
        <v>1</v>
      </c>
      <c r="I278">
        <v>77</v>
      </c>
      <c r="J278">
        <v>62</v>
      </c>
      <c r="K278" s="7">
        <v>27.4</v>
      </c>
      <c r="L278" s="22">
        <v>23.6</v>
      </c>
      <c r="M278" s="7">
        <v>22.3</v>
      </c>
      <c r="N278" s="40">
        <f t="shared" si="12"/>
        <v>0.86131386861313874</v>
      </c>
      <c r="O278" s="40">
        <f t="shared" si="13"/>
        <v>0.81386861313868619</v>
      </c>
      <c r="P278" s="4" t="s">
        <v>139</v>
      </c>
      <c r="Q278" s="72">
        <f>VLOOKUP('All inst data'!A278,'all mice (except april 2012)'!$A$2:$G$218,7,FALSE)</f>
        <v>125</v>
      </c>
    </row>
    <row r="279" spans="1:17" x14ac:dyDescent="0.25">
      <c r="A279" s="43">
        <v>86</v>
      </c>
      <c r="B279" s="43">
        <v>2</v>
      </c>
      <c r="C279" s="43">
        <v>3</v>
      </c>
      <c r="D279" s="43">
        <v>3</v>
      </c>
      <c r="E279" s="43">
        <v>130523</v>
      </c>
      <c r="F279" s="43">
        <v>110725</v>
      </c>
      <c r="G279" s="43" t="s">
        <v>169</v>
      </c>
      <c r="H279">
        <v>2</v>
      </c>
      <c r="I279">
        <v>498</v>
      </c>
      <c r="J279">
        <v>170</v>
      </c>
      <c r="K279" s="7">
        <v>27.2</v>
      </c>
      <c r="L279" s="22">
        <v>23.4</v>
      </c>
      <c r="M279" s="7">
        <v>22.9</v>
      </c>
      <c r="N279" s="40">
        <f t="shared" si="12"/>
        <v>0.86029411764705876</v>
      </c>
      <c r="O279" s="40">
        <f t="shared" si="13"/>
        <v>0.84191176470588236</v>
      </c>
      <c r="P279" s="4" t="s">
        <v>139</v>
      </c>
      <c r="Q279" s="72">
        <f>VLOOKUP('All inst data'!A279,'all mice (except april 2012)'!$A$2:$G$218,7,FALSE)</f>
        <v>125</v>
      </c>
    </row>
    <row r="280" spans="1:17" x14ac:dyDescent="0.25">
      <c r="A280" s="43">
        <v>87</v>
      </c>
      <c r="B280" s="43">
        <v>3</v>
      </c>
      <c r="C280" s="43">
        <v>3</v>
      </c>
      <c r="D280" s="43">
        <v>3</v>
      </c>
      <c r="E280" s="43">
        <v>130523</v>
      </c>
      <c r="F280" s="43">
        <v>110725</v>
      </c>
      <c r="G280" s="43" t="s">
        <v>179</v>
      </c>
      <c r="H280">
        <v>3</v>
      </c>
      <c r="I280">
        <v>3</v>
      </c>
      <c r="J280">
        <v>2</v>
      </c>
      <c r="K280" s="7">
        <v>26.4</v>
      </c>
      <c r="L280" s="22">
        <v>23.8</v>
      </c>
      <c r="M280" s="7">
        <v>22</v>
      </c>
      <c r="N280" s="40">
        <f t="shared" si="12"/>
        <v>0.9015151515151516</v>
      </c>
      <c r="O280" s="40">
        <f t="shared" si="13"/>
        <v>0.83333333333333337</v>
      </c>
      <c r="P280" s="4" t="s">
        <v>139</v>
      </c>
      <c r="Q280" s="72">
        <f>VLOOKUP('All inst data'!A280,'all mice (except april 2012)'!$A$2:$G$218,7,FALSE)</f>
        <v>143</v>
      </c>
    </row>
    <row r="281" spans="1:17" x14ac:dyDescent="0.25">
      <c r="A281" s="43">
        <v>88</v>
      </c>
      <c r="B281" s="43">
        <v>4</v>
      </c>
      <c r="C281" s="43">
        <v>3</v>
      </c>
      <c r="D281" s="43">
        <v>3</v>
      </c>
      <c r="E281" s="43">
        <v>130523</v>
      </c>
      <c r="F281" s="43">
        <v>110725</v>
      </c>
      <c r="G281" s="43" t="s">
        <v>179</v>
      </c>
      <c r="H281">
        <v>4</v>
      </c>
      <c r="I281">
        <v>2</v>
      </c>
      <c r="J281">
        <v>2</v>
      </c>
      <c r="K281" s="7">
        <v>26.9</v>
      </c>
      <c r="L281" s="22">
        <v>23.7</v>
      </c>
      <c r="M281" s="7">
        <v>22.5</v>
      </c>
      <c r="N281" s="40">
        <f t="shared" si="12"/>
        <v>0.88104089219330861</v>
      </c>
      <c r="O281" s="40">
        <f t="shared" si="13"/>
        <v>0.83643122676579928</v>
      </c>
      <c r="P281" s="4" t="s">
        <v>139</v>
      </c>
      <c r="Q281" s="72">
        <f>VLOOKUP('All inst data'!A281,'all mice (except april 2012)'!$A$2:$G$218,7,FALSE)</f>
        <v>143</v>
      </c>
    </row>
    <row r="282" spans="1:17" x14ac:dyDescent="0.25">
      <c r="A282" s="43">
        <v>89</v>
      </c>
      <c r="B282" s="43">
        <v>5</v>
      </c>
      <c r="C282" s="43">
        <v>3</v>
      </c>
      <c r="D282" s="43">
        <v>3</v>
      </c>
      <c r="E282" s="43">
        <v>130523</v>
      </c>
      <c r="F282" s="43">
        <v>110726</v>
      </c>
      <c r="G282" s="43" t="s">
        <v>174</v>
      </c>
      <c r="H282">
        <v>5</v>
      </c>
      <c r="I282">
        <v>2213</v>
      </c>
      <c r="J282">
        <v>500</v>
      </c>
      <c r="K282" s="7">
        <v>26.4</v>
      </c>
      <c r="L282" s="22">
        <v>23.9</v>
      </c>
      <c r="M282" s="7">
        <v>23.2</v>
      </c>
      <c r="N282" s="40">
        <f t="shared" si="12"/>
        <v>0.90530303030303028</v>
      </c>
      <c r="O282" s="40">
        <f t="shared" si="13"/>
        <v>0.87878787878787878</v>
      </c>
      <c r="P282" s="4" t="s">
        <v>139</v>
      </c>
      <c r="Q282" s="72">
        <f>VLOOKUP('All inst data'!A282,'all mice (except april 2012)'!$A$2:$G$218,7,FALSE)</f>
        <v>157</v>
      </c>
    </row>
    <row r="283" spans="1:17" x14ac:dyDescent="0.25">
      <c r="A283" s="43">
        <v>90</v>
      </c>
      <c r="B283" s="43">
        <v>6</v>
      </c>
      <c r="C283" s="43">
        <v>3</v>
      </c>
      <c r="D283" s="43">
        <v>3</v>
      </c>
      <c r="E283" s="43">
        <v>130523</v>
      </c>
      <c r="F283" s="43">
        <v>110726</v>
      </c>
      <c r="G283" s="43" t="s">
        <v>165</v>
      </c>
      <c r="H283">
        <v>6</v>
      </c>
      <c r="I283">
        <v>0</v>
      </c>
      <c r="J283">
        <v>0</v>
      </c>
      <c r="K283" s="7">
        <v>27.8</v>
      </c>
      <c r="L283" s="22">
        <v>23.7</v>
      </c>
      <c r="M283" s="7">
        <v>22.8</v>
      </c>
      <c r="N283" s="40">
        <f t="shared" si="12"/>
        <v>0.85251798561151071</v>
      </c>
      <c r="O283" s="40">
        <f t="shared" si="13"/>
        <v>0.82014388489208634</v>
      </c>
      <c r="P283" s="4" t="s">
        <v>139</v>
      </c>
      <c r="Q283" s="72">
        <f>VLOOKUP('All inst data'!A283,'all mice (except april 2012)'!$A$2:$G$218,7,FALSE)</f>
        <v>154</v>
      </c>
    </row>
    <row r="284" spans="1:17" x14ac:dyDescent="0.25">
      <c r="A284" s="43">
        <v>91</v>
      </c>
      <c r="B284" s="43">
        <v>7</v>
      </c>
      <c r="C284" s="43">
        <v>3</v>
      </c>
      <c r="D284" s="43">
        <v>3</v>
      </c>
      <c r="E284" s="43">
        <v>130523</v>
      </c>
      <c r="F284" s="43">
        <v>110416</v>
      </c>
      <c r="G284" s="43" t="s">
        <v>172</v>
      </c>
      <c r="H284">
        <v>7</v>
      </c>
      <c r="I284">
        <v>1707</v>
      </c>
      <c r="J284">
        <v>408</v>
      </c>
      <c r="K284" s="7">
        <v>29.9</v>
      </c>
      <c r="L284" s="22">
        <v>26.2</v>
      </c>
      <c r="M284" s="7">
        <v>25.3</v>
      </c>
      <c r="N284" s="40">
        <f t="shared" si="12"/>
        <v>0.87625418060200666</v>
      </c>
      <c r="O284" s="40">
        <f t="shared" si="13"/>
        <v>0.84615384615384626</v>
      </c>
      <c r="P284" s="4" t="s">
        <v>139</v>
      </c>
      <c r="Q284" s="72">
        <f>VLOOKUP('All inst data'!A284,'all mice (except april 2012)'!$A$2:$G$218,7,FALSE)</f>
        <v>163</v>
      </c>
    </row>
    <row r="285" spans="1:17" x14ac:dyDescent="0.25">
      <c r="A285" s="43">
        <v>92</v>
      </c>
      <c r="B285" s="43">
        <v>8</v>
      </c>
      <c r="C285" s="43">
        <v>3</v>
      </c>
      <c r="D285" s="43">
        <v>3</v>
      </c>
      <c r="E285" s="43">
        <v>130523</v>
      </c>
      <c r="F285" s="43">
        <v>110416</v>
      </c>
      <c r="G285" s="43" t="s">
        <v>172</v>
      </c>
      <c r="H285">
        <v>8</v>
      </c>
      <c r="I285">
        <v>0</v>
      </c>
      <c r="J285">
        <v>0</v>
      </c>
      <c r="K285" s="7">
        <v>27.3</v>
      </c>
      <c r="L285" s="22">
        <v>23.6</v>
      </c>
      <c r="M285" s="7">
        <v>22.6</v>
      </c>
      <c r="N285" s="40">
        <f t="shared" si="12"/>
        <v>0.86446886446886451</v>
      </c>
      <c r="O285" s="40">
        <f t="shared" si="13"/>
        <v>0.8278388278388279</v>
      </c>
      <c r="P285" s="4" t="s">
        <v>139</v>
      </c>
      <c r="Q285" s="72">
        <f>VLOOKUP('All inst data'!A285,'all mice (except april 2012)'!$A$2:$G$218,7,FALSE)</f>
        <v>163</v>
      </c>
    </row>
    <row r="286" spans="1:17" x14ac:dyDescent="0.25">
      <c r="A286" s="43">
        <v>93</v>
      </c>
      <c r="B286" s="43">
        <v>9</v>
      </c>
      <c r="C286" s="43">
        <v>3</v>
      </c>
      <c r="D286" s="43">
        <v>3</v>
      </c>
      <c r="E286" s="43">
        <v>130523</v>
      </c>
      <c r="F286" s="43">
        <v>110416</v>
      </c>
      <c r="G286" s="43" t="s">
        <v>168</v>
      </c>
      <c r="H286">
        <v>9</v>
      </c>
      <c r="I286" s="5">
        <v>198</v>
      </c>
      <c r="J286" s="5">
        <v>109</v>
      </c>
      <c r="K286" s="7">
        <v>32.5</v>
      </c>
      <c r="L286" s="22">
        <v>28</v>
      </c>
      <c r="M286" s="7">
        <v>26.6</v>
      </c>
      <c r="N286" s="40">
        <f t="shared" si="12"/>
        <v>0.86153846153846159</v>
      </c>
      <c r="O286" s="40">
        <f t="shared" si="13"/>
        <v>0.81846153846153846</v>
      </c>
      <c r="P286" s="4" t="s">
        <v>139</v>
      </c>
      <c r="Q286" s="72">
        <f>VLOOKUP('All inst data'!A286,'all mice (except april 2012)'!$A$2:$G$218,7,FALSE)</f>
        <v>159</v>
      </c>
    </row>
    <row r="287" spans="1:17" x14ac:dyDescent="0.25">
      <c r="A287" s="43">
        <v>94</v>
      </c>
      <c r="B287" s="43">
        <v>10</v>
      </c>
      <c r="C287" s="43">
        <v>3</v>
      </c>
      <c r="D287" s="43">
        <v>3</v>
      </c>
      <c r="E287" s="43">
        <v>130523</v>
      </c>
      <c r="F287" s="43">
        <v>110416</v>
      </c>
      <c r="G287" s="43" t="s">
        <v>168</v>
      </c>
      <c r="H287">
        <v>10</v>
      </c>
      <c r="I287" s="5">
        <v>416</v>
      </c>
      <c r="J287" s="5">
        <v>148</v>
      </c>
      <c r="K287" s="7">
        <v>34.299999999999997</v>
      </c>
      <c r="L287" s="22">
        <v>29.6</v>
      </c>
      <c r="M287" s="7">
        <v>28.2</v>
      </c>
      <c r="N287" s="40">
        <f t="shared" si="12"/>
        <v>0.86297376093294476</v>
      </c>
      <c r="O287" s="40">
        <f t="shared" si="13"/>
        <v>0.82215743440233235</v>
      </c>
      <c r="P287" s="4" t="s">
        <v>139</v>
      </c>
      <c r="Q287" s="72">
        <f>VLOOKUP('All inst data'!A287,'all mice (except april 2012)'!$A$2:$G$218,7,FALSE)</f>
        <v>159</v>
      </c>
    </row>
    <row r="288" spans="1:17" x14ac:dyDescent="0.25">
      <c r="A288" s="43">
        <v>95</v>
      </c>
      <c r="B288" s="43">
        <v>11</v>
      </c>
      <c r="C288" s="43">
        <v>3</v>
      </c>
      <c r="D288" s="43">
        <v>3</v>
      </c>
      <c r="E288" s="43">
        <v>130523</v>
      </c>
      <c r="F288" s="43">
        <v>110416</v>
      </c>
      <c r="G288" s="43" t="s">
        <v>175</v>
      </c>
      <c r="H288">
        <v>11</v>
      </c>
      <c r="I288">
        <v>1</v>
      </c>
      <c r="J288">
        <v>1</v>
      </c>
      <c r="K288" s="7">
        <v>41.8</v>
      </c>
      <c r="L288" s="22">
        <v>35</v>
      </c>
      <c r="M288" s="7">
        <v>34.4</v>
      </c>
      <c r="N288" s="40">
        <f t="shared" si="12"/>
        <v>0.83732057416267947</v>
      </c>
      <c r="O288" s="40">
        <f t="shared" si="13"/>
        <v>0.82296650717703357</v>
      </c>
      <c r="P288" s="4" t="s">
        <v>139</v>
      </c>
      <c r="Q288" s="72">
        <f>VLOOKUP('All inst data'!A288,'all mice (except april 2012)'!$A$2:$G$218,7,FALSE)</f>
        <v>149</v>
      </c>
    </row>
    <row r="289" spans="1:17" x14ac:dyDescent="0.25">
      <c r="A289" s="43">
        <v>96</v>
      </c>
      <c r="B289" s="43">
        <v>12</v>
      </c>
      <c r="C289" s="43">
        <v>3</v>
      </c>
      <c r="D289" s="43">
        <v>3</v>
      </c>
      <c r="E289" s="43">
        <v>130523</v>
      </c>
      <c r="F289" s="43">
        <v>110416</v>
      </c>
      <c r="G289" s="43" t="s">
        <v>175</v>
      </c>
      <c r="H289">
        <v>12</v>
      </c>
      <c r="I289">
        <v>0</v>
      </c>
      <c r="J289">
        <v>0</v>
      </c>
      <c r="K289" s="7">
        <v>33.5</v>
      </c>
      <c r="L289" s="22">
        <v>28.9</v>
      </c>
      <c r="M289" s="7">
        <v>27.7</v>
      </c>
      <c r="N289" s="40">
        <f t="shared" si="12"/>
        <v>0.86268656716417902</v>
      </c>
      <c r="O289" s="40">
        <f t="shared" si="13"/>
        <v>0.82686567164179103</v>
      </c>
      <c r="P289" s="4" t="s">
        <v>139</v>
      </c>
      <c r="Q289" s="72">
        <f>VLOOKUP('All inst data'!A289,'all mice (except april 2012)'!$A$2:$G$218,7,FALSE)</f>
        <v>149</v>
      </c>
    </row>
    <row r="290" spans="1:17" x14ac:dyDescent="0.25">
      <c r="A290" s="43">
        <v>97</v>
      </c>
      <c r="B290" s="43">
        <v>13</v>
      </c>
      <c r="C290" s="43">
        <v>3</v>
      </c>
      <c r="D290" s="43">
        <v>1</v>
      </c>
      <c r="E290" s="43">
        <v>130529</v>
      </c>
      <c r="F290" s="43">
        <v>104142</v>
      </c>
      <c r="G290" s="43" t="s">
        <v>170</v>
      </c>
      <c r="H290">
        <v>1</v>
      </c>
      <c r="I290">
        <v>2</v>
      </c>
      <c r="J290">
        <v>2</v>
      </c>
      <c r="K290" s="7">
        <v>41.2</v>
      </c>
      <c r="L290" s="22">
        <v>36</v>
      </c>
      <c r="M290" s="7">
        <v>35.200000000000003</v>
      </c>
      <c r="N290" s="40">
        <f t="shared" si="12"/>
        <v>0.87378640776699024</v>
      </c>
      <c r="O290" s="40">
        <f t="shared" si="13"/>
        <v>0.85436893203883502</v>
      </c>
      <c r="P290" s="4">
        <v>1.75</v>
      </c>
      <c r="Q290" s="72">
        <f>VLOOKUP('All inst data'!A290,'all mice (except april 2012)'!$A$2:$G$218,7,FALSE)</f>
        <v>148</v>
      </c>
    </row>
    <row r="291" spans="1:17" x14ac:dyDescent="0.25">
      <c r="A291" s="43">
        <v>98</v>
      </c>
      <c r="B291" s="43">
        <v>14</v>
      </c>
      <c r="C291" s="43">
        <v>3</v>
      </c>
      <c r="D291" s="43">
        <v>1</v>
      </c>
      <c r="E291" s="43">
        <v>130529</v>
      </c>
      <c r="F291" s="43">
        <v>104142</v>
      </c>
      <c r="G291" s="43" t="s">
        <v>170</v>
      </c>
      <c r="H291">
        <v>2</v>
      </c>
      <c r="I291">
        <v>2</v>
      </c>
      <c r="J291">
        <v>2</v>
      </c>
      <c r="K291" s="7">
        <v>41.8</v>
      </c>
      <c r="L291" s="22">
        <v>36.1</v>
      </c>
      <c r="M291" s="7">
        <v>35.6</v>
      </c>
      <c r="N291" s="40">
        <f t="shared" si="12"/>
        <v>0.86363636363636376</v>
      </c>
      <c r="O291" s="40">
        <f t="shared" si="13"/>
        <v>0.85167464114832547</v>
      </c>
      <c r="P291" s="4">
        <v>1.75</v>
      </c>
      <c r="Q291" s="72">
        <f>VLOOKUP('All inst data'!A291,'all mice (except april 2012)'!$A$2:$G$218,7,FALSE)</f>
        <v>148</v>
      </c>
    </row>
    <row r="292" spans="1:17" x14ac:dyDescent="0.25">
      <c r="A292" s="43">
        <v>99</v>
      </c>
      <c r="B292" s="43">
        <v>15</v>
      </c>
      <c r="C292" s="43">
        <v>3</v>
      </c>
      <c r="D292" s="43">
        <v>1</v>
      </c>
      <c r="E292" s="43">
        <v>130529</v>
      </c>
      <c r="F292" s="43">
        <v>104142</v>
      </c>
      <c r="G292" s="43" t="s">
        <v>170</v>
      </c>
      <c r="H292">
        <v>3</v>
      </c>
      <c r="I292">
        <v>1</v>
      </c>
      <c r="J292">
        <v>1</v>
      </c>
      <c r="K292" s="7">
        <v>43.4</v>
      </c>
      <c r="L292" s="22">
        <v>37.6</v>
      </c>
      <c r="M292" s="7">
        <v>36.200000000000003</v>
      </c>
      <c r="N292" s="40">
        <f t="shared" si="12"/>
        <v>0.86635944700460832</v>
      </c>
      <c r="O292" s="40">
        <f t="shared" si="13"/>
        <v>0.83410138248847931</v>
      </c>
      <c r="P292" s="4">
        <v>1.75</v>
      </c>
      <c r="Q292" s="72">
        <f>VLOOKUP('All inst data'!A292,'all mice (except april 2012)'!$A$2:$G$218,7,FALSE)</f>
        <v>148</v>
      </c>
    </row>
    <row r="293" spans="1:17" x14ac:dyDescent="0.25">
      <c r="A293" s="43">
        <v>100</v>
      </c>
      <c r="B293" s="43">
        <v>16</v>
      </c>
      <c r="C293" s="43">
        <v>3</v>
      </c>
      <c r="D293" s="43">
        <v>1</v>
      </c>
      <c r="E293" s="43">
        <v>130529</v>
      </c>
      <c r="F293" s="43">
        <v>104142</v>
      </c>
      <c r="G293" s="43" t="s">
        <v>165</v>
      </c>
      <c r="H293">
        <v>4</v>
      </c>
      <c r="I293">
        <v>1722</v>
      </c>
      <c r="J293">
        <v>398</v>
      </c>
      <c r="K293" s="7">
        <v>21.8</v>
      </c>
      <c r="L293" s="22">
        <v>18.5</v>
      </c>
      <c r="M293" s="7">
        <v>18.899999999999999</v>
      </c>
      <c r="N293" s="40">
        <f t="shared" si="12"/>
        <v>0.84862385321100919</v>
      </c>
      <c r="O293" s="40">
        <f t="shared" si="13"/>
        <v>0.86697247706422009</v>
      </c>
      <c r="P293" s="4">
        <v>1.75</v>
      </c>
      <c r="Q293" s="72">
        <f>VLOOKUP('All inst data'!A293,'all mice (except april 2012)'!$A$2:$G$218,7,FALSE)</f>
        <v>140</v>
      </c>
    </row>
    <row r="294" spans="1:17" x14ac:dyDescent="0.25">
      <c r="A294" s="43">
        <v>101</v>
      </c>
      <c r="B294" s="43">
        <v>17</v>
      </c>
      <c r="C294" s="43">
        <v>3</v>
      </c>
      <c r="D294" s="43">
        <v>1</v>
      </c>
      <c r="E294" s="43">
        <v>130529</v>
      </c>
      <c r="F294" s="43">
        <v>104142</v>
      </c>
      <c r="G294" s="43" t="s">
        <v>165</v>
      </c>
      <c r="H294">
        <v>5</v>
      </c>
      <c r="I294">
        <v>1805</v>
      </c>
      <c r="J294">
        <v>420</v>
      </c>
      <c r="K294" s="7">
        <v>21.1</v>
      </c>
      <c r="L294" s="22">
        <v>18.899999999999999</v>
      </c>
      <c r="M294" s="7">
        <v>18.399999999999999</v>
      </c>
      <c r="N294" s="40">
        <f t="shared" si="12"/>
        <v>0.89573459715639803</v>
      </c>
      <c r="O294" s="40">
        <f t="shared" si="13"/>
        <v>0.87203791469194303</v>
      </c>
      <c r="P294" s="4">
        <v>1.75</v>
      </c>
      <c r="Q294" s="72">
        <f>VLOOKUP('All inst data'!A294,'all mice (except april 2012)'!$A$2:$G$218,7,FALSE)</f>
        <v>140</v>
      </c>
    </row>
    <row r="295" spans="1:17" x14ac:dyDescent="0.25">
      <c r="A295" s="43">
        <v>97</v>
      </c>
      <c r="B295" s="43">
        <v>13</v>
      </c>
      <c r="C295" s="43">
        <v>3</v>
      </c>
      <c r="D295" s="43">
        <v>2</v>
      </c>
      <c r="E295" s="43">
        <v>130530</v>
      </c>
      <c r="F295" s="43">
        <v>100057</v>
      </c>
      <c r="G295" s="43" t="s">
        <v>170</v>
      </c>
      <c r="H295">
        <v>1</v>
      </c>
      <c r="I295">
        <v>1</v>
      </c>
      <c r="J295">
        <v>1</v>
      </c>
      <c r="K295" s="7">
        <v>41.2</v>
      </c>
      <c r="L295" s="22">
        <v>35.799999999999997</v>
      </c>
      <c r="M295" s="7">
        <v>34.9</v>
      </c>
      <c r="N295" s="40">
        <f t="shared" si="12"/>
        <v>0.86893203883495129</v>
      </c>
      <c r="O295" s="40">
        <f t="shared" si="13"/>
        <v>0.84708737864077666</v>
      </c>
      <c r="P295" s="4">
        <v>2.2000000000000002</v>
      </c>
      <c r="Q295" s="72">
        <f>VLOOKUP('All inst data'!A295,'all mice (except april 2012)'!$A$2:$G$218,7,FALSE)</f>
        <v>148</v>
      </c>
    </row>
    <row r="296" spans="1:17" x14ac:dyDescent="0.25">
      <c r="A296" s="43">
        <v>98</v>
      </c>
      <c r="B296" s="43">
        <v>14</v>
      </c>
      <c r="C296" s="43">
        <v>3</v>
      </c>
      <c r="D296" s="43">
        <v>2</v>
      </c>
      <c r="E296" s="43">
        <v>130530</v>
      </c>
      <c r="F296" s="43">
        <v>100057</v>
      </c>
      <c r="G296" s="43" t="s">
        <v>170</v>
      </c>
      <c r="H296">
        <v>2</v>
      </c>
      <c r="I296">
        <v>2</v>
      </c>
      <c r="J296">
        <v>2</v>
      </c>
      <c r="K296" s="7">
        <v>41.8</v>
      </c>
      <c r="L296" s="22">
        <v>35.5</v>
      </c>
      <c r="M296" s="7">
        <v>35.200000000000003</v>
      </c>
      <c r="N296" s="40">
        <f t="shared" si="12"/>
        <v>0.84928229665071775</v>
      </c>
      <c r="O296" s="40">
        <f t="shared" si="13"/>
        <v>0.84210526315789491</v>
      </c>
      <c r="P296" s="4">
        <v>2.2000000000000002</v>
      </c>
      <c r="Q296" s="72">
        <f>VLOOKUP('All inst data'!A296,'all mice (except april 2012)'!$A$2:$G$218,7,FALSE)</f>
        <v>148</v>
      </c>
    </row>
    <row r="297" spans="1:17" x14ac:dyDescent="0.25">
      <c r="A297" s="43">
        <v>99</v>
      </c>
      <c r="B297" s="43">
        <v>15</v>
      </c>
      <c r="C297" s="43">
        <v>3</v>
      </c>
      <c r="D297" s="43">
        <v>2</v>
      </c>
      <c r="E297" s="43">
        <v>130530</v>
      </c>
      <c r="F297" s="43">
        <v>100058</v>
      </c>
      <c r="G297" s="43" t="s">
        <v>170</v>
      </c>
      <c r="H297">
        <v>3</v>
      </c>
      <c r="I297">
        <v>0</v>
      </c>
      <c r="J297">
        <v>0</v>
      </c>
      <c r="K297" s="7">
        <v>43.4</v>
      </c>
      <c r="L297" s="22">
        <v>37.200000000000003</v>
      </c>
      <c r="M297" s="7">
        <v>36</v>
      </c>
      <c r="N297" s="40">
        <f t="shared" si="12"/>
        <v>0.85714285714285721</v>
      </c>
      <c r="O297" s="40">
        <f t="shared" si="13"/>
        <v>0.82949308755760376</v>
      </c>
      <c r="P297" s="4">
        <v>2.2000000000000002</v>
      </c>
      <c r="Q297" s="72">
        <f>VLOOKUP('All inst data'!A297,'all mice (except april 2012)'!$A$2:$G$218,7,FALSE)</f>
        <v>148</v>
      </c>
    </row>
    <row r="298" spans="1:17" x14ac:dyDescent="0.25">
      <c r="A298" s="43">
        <v>100</v>
      </c>
      <c r="B298" s="43">
        <v>16</v>
      </c>
      <c r="C298" s="43">
        <v>3</v>
      </c>
      <c r="D298" s="43">
        <v>2</v>
      </c>
      <c r="E298" s="43">
        <v>130530</v>
      </c>
      <c r="F298" s="43">
        <v>100058</v>
      </c>
      <c r="G298" s="43" t="s">
        <v>165</v>
      </c>
      <c r="H298">
        <v>4</v>
      </c>
      <c r="I298">
        <v>1838</v>
      </c>
      <c r="J298">
        <v>408</v>
      </c>
      <c r="K298" s="7">
        <v>21.8</v>
      </c>
      <c r="L298" s="22">
        <v>19.399999999999999</v>
      </c>
      <c r="M298" s="7">
        <v>19.5</v>
      </c>
      <c r="N298" s="40">
        <f t="shared" si="12"/>
        <v>0.88990825688073383</v>
      </c>
      <c r="O298" s="40">
        <f t="shared" si="13"/>
        <v>0.89449541284403666</v>
      </c>
      <c r="P298" s="4">
        <v>1.6</v>
      </c>
      <c r="Q298" s="72">
        <f>VLOOKUP('All inst data'!A298,'all mice (except april 2012)'!$A$2:$G$218,7,FALSE)</f>
        <v>140</v>
      </c>
    </row>
    <row r="299" spans="1:17" x14ac:dyDescent="0.25">
      <c r="A299" s="43">
        <v>101</v>
      </c>
      <c r="B299" s="43">
        <v>17</v>
      </c>
      <c r="C299" s="43">
        <v>3</v>
      </c>
      <c r="D299" s="43">
        <v>2</v>
      </c>
      <c r="E299" s="43">
        <v>130530</v>
      </c>
      <c r="F299" s="43">
        <v>100058</v>
      </c>
      <c r="G299" s="43" t="s">
        <v>165</v>
      </c>
      <c r="H299">
        <v>5</v>
      </c>
      <c r="I299">
        <v>1215</v>
      </c>
      <c r="J299">
        <v>304</v>
      </c>
      <c r="K299" s="7">
        <v>21.1</v>
      </c>
      <c r="L299" s="22">
        <v>19.100000000000001</v>
      </c>
      <c r="M299" s="7">
        <v>18.8</v>
      </c>
      <c r="N299" s="40">
        <f t="shared" si="12"/>
        <v>0.90521327014218012</v>
      </c>
      <c r="O299" s="40">
        <f t="shared" si="13"/>
        <v>0.89099526066350709</v>
      </c>
      <c r="P299" s="4">
        <v>1.6</v>
      </c>
      <c r="Q299" s="72">
        <f>VLOOKUP('All inst data'!A299,'all mice (except april 2012)'!$A$2:$G$218,7,FALSE)</f>
        <v>140</v>
      </c>
    </row>
    <row r="300" spans="1:17" x14ac:dyDescent="0.25">
      <c r="A300" s="43">
        <v>97</v>
      </c>
      <c r="B300" s="43">
        <v>13</v>
      </c>
      <c r="C300" s="43">
        <v>3</v>
      </c>
      <c r="D300" s="43">
        <v>3</v>
      </c>
      <c r="E300" s="43">
        <v>130531</v>
      </c>
      <c r="F300" s="43">
        <v>93646</v>
      </c>
      <c r="G300" s="43" t="s">
        <v>170</v>
      </c>
      <c r="H300">
        <v>1</v>
      </c>
      <c r="I300">
        <v>1</v>
      </c>
      <c r="J300">
        <v>1</v>
      </c>
      <c r="K300" s="7">
        <v>41.2</v>
      </c>
      <c r="L300" s="22">
        <v>35.6</v>
      </c>
      <c r="M300" s="7">
        <v>34.700000000000003</v>
      </c>
      <c r="N300" s="40">
        <f t="shared" si="12"/>
        <v>0.86407766990291257</v>
      </c>
      <c r="O300" s="40">
        <f t="shared" si="13"/>
        <v>0.84223300970873782</v>
      </c>
      <c r="P300" s="4" t="s">
        <v>139</v>
      </c>
      <c r="Q300" s="72">
        <f>VLOOKUP('All inst data'!A300,'all mice (except april 2012)'!$A$2:$G$218,7,FALSE)</f>
        <v>148</v>
      </c>
    </row>
    <row r="301" spans="1:17" x14ac:dyDescent="0.25">
      <c r="A301" s="43">
        <v>98</v>
      </c>
      <c r="B301" s="43">
        <v>14</v>
      </c>
      <c r="C301" s="43">
        <v>3</v>
      </c>
      <c r="D301" s="43">
        <v>3</v>
      </c>
      <c r="E301" s="43">
        <v>130531</v>
      </c>
      <c r="F301" s="43">
        <v>93647</v>
      </c>
      <c r="G301" s="43" t="s">
        <v>170</v>
      </c>
      <c r="H301">
        <v>2</v>
      </c>
      <c r="I301">
        <v>0</v>
      </c>
      <c r="J301">
        <v>0</v>
      </c>
      <c r="K301" s="7">
        <v>41.8</v>
      </c>
      <c r="L301" s="22">
        <v>36</v>
      </c>
      <c r="M301" s="7">
        <v>35.299999999999997</v>
      </c>
      <c r="N301" s="40">
        <f t="shared" si="12"/>
        <v>0.86124401913875603</v>
      </c>
      <c r="O301" s="40">
        <f t="shared" si="13"/>
        <v>0.84449760765550241</v>
      </c>
      <c r="P301" s="4" t="s">
        <v>139</v>
      </c>
      <c r="Q301" s="72">
        <f>VLOOKUP('All inst data'!A301,'all mice (except april 2012)'!$A$2:$G$218,7,FALSE)</f>
        <v>148</v>
      </c>
    </row>
    <row r="302" spans="1:17" x14ac:dyDescent="0.25">
      <c r="A302" s="43">
        <v>99</v>
      </c>
      <c r="B302" s="43">
        <v>15</v>
      </c>
      <c r="C302" s="43">
        <v>3</v>
      </c>
      <c r="D302" s="43">
        <v>3</v>
      </c>
      <c r="E302" s="43">
        <v>130531</v>
      </c>
      <c r="F302" s="43">
        <v>93647</v>
      </c>
      <c r="G302" s="43" t="s">
        <v>170</v>
      </c>
      <c r="H302">
        <v>3</v>
      </c>
      <c r="I302">
        <v>0</v>
      </c>
      <c r="J302">
        <v>0</v>
      </c>
      <c r="K302" s="7">
        <v>43.4</v>
      </c>
      <c r="L302" s="22">
        <v>37.6</v>
      </c>
      <c r="M302" s="7">
        <v>36</v>
      </c>
      <c r="N302" s="40">
        <f t="shared" si="12"/>
        <v>0.86635944700460832</v>
      </c>
      <c r="O302" s="40">
        <f t="shared" si="13"/>
        <v>0.82949308755760376</v>
      </c>
      <c r="P302" s="4" t="s">
        <v>139</v>
      </c>
      <c r="Q302" s="72">
        <f>VLOOKUP('All inst data'!A302,'all mice (except april 2012)'!$A$2:$G$218,7,FALSE)</f>
        <v>148</v>
      </c>
    </row>
    <row r="303" spans="1:17" x14ac:dyDescent="0.25">
      <c r="A303" s="43">
        <v>100</v>
      </c>
      <c r="B303" s="43">
        <v>16</v>
      </c>
      <c r="C303" s="43">
        <v>3</v>
      </c>
      <c r="D303" s="43">
        <v>3</v>
      </c>
      <c r="E303" s="43">
        <v>130531</v>
      </c>
      <c r="F303" s="43">
        <v>93647</v>
      </c>
      <c r="G303" s="43" t="s">
        <v>165</v>
      </c>
      <c r="H303">
        <v>4</v>
      </c>
      <c r="I303">
        <v>1808</v>
      </c>
      <c r="J303">
        <v>396</v>
      </c>
      <c r="K303" s="7">
        <v>21.8</v>
      </c>
      <c r="L303" s="22">
        <v>19.3</v>
      </c>
      <c r="M303" s="7">
        <v>19.5</v>
      </c>
      <c r="N303" s="40">
        <f t="shared" si="12"/>
        <v>0.88532110091743121</v>
      </c>
      <c r="O303" s="40">
        <f t="shared" si="13"/>
        <v>0.89449541284403666</v>
      </c>
      <c r="P303" s="4" t="s">
        <v>139</v>
      </c>
      <c r="Q303" s="72">
        <f>VLOOKUP('All inst data'!A303,'all mice (except april 2012)'!$A$2:$G$218,7,FALSE)</f>
        <v>140</v>
      </c>
    </row>
    <row r="304" spans="1:17" x14ac:dyDescent="0.25">
      <c r="A304" s="43">
        <v>101</v>
      </c>
      <c r="B304" s="43">
        <v>17</v>
      </c>
      <c r="C304" s="43">
        <v>3</v>
      </c>
      <c r="D304" s="43">
        <v>3</v>
      </c>
      <c r="E304" s="43">
        <v>130531</v>
      </c>
      <c r="F304" s="43">
        <v>93647</v>
      </c>
      <c r="G304" s="43" t="s">
        <v>165</v>
      </c>
      <c r="H304">
        <v>5</v>
      </c>
      <c r="I304">
        <v>1004</v>
      </c>
      <c r="J304">
        <v>261</v>
      </c>
      <c r="K304" s="7">
        <v>21.1</v>
      </c>
      <c r="L304" s="22">
        <v>19</v>
      </c>
      <c r="M304" s="7">
        <v>18.600000000000001</v>
      </c>
      <c r="N304" s="40">
        <f t="shared" si="12"/>
        <v>0.90047393364928907</v>
      </c>
      <c r="O304" s="40">
        <f t="shared" si="13"/>
        <v>0.88151658767772512</v>
      </c>
      <c r="P304" s="4" t="s">
        <v>139</v>
      </c>
      <c r="Q304" s="72">
        <f>VLOOKUP('All inst data'!A304,'all mice (except april 2012)'!$A$2:$G$218,7,FALSE)</f>
        <v>140</v>
      </c>
    </row>
    <row r="305" spans="1:17" x14ac:dyDescent="0.25">
      <c r="A305" s="43">
        <v>102</v>
      </c>
      <c r="B305" s="43">
        <v>18</v>
      </c>
      <c r="C305" s="43">
        <v>3</v>
      </c>
      <c r="D305" s="43">
        <v>1</v>
      </c>
      <c r="E305" s="43">
        <v>130603</v>
      </c>
      <c r="F305" s="43">
        <v>100703</v>
      </c>
      <c r="G305" s="43" t="s">
        <v>171</v>
      </c>
      <c r="H305">
        <v>1</v>
      </c>
      <c r="I305">
        <v>1249</v>
      </c>
      <c r="J305">
        <v>311</v>
      </c>
      <c r="K305" s="7">
        <v>22.9</v>
      </c>
      <c r="L305" s="22">
        <v>20.6</v>
      </c>
      <c r="M305" s="7">
        <v>19.600000000000001</v>
      </c>
      <c r="N305" s="40">
        <f t="shared" si="12"/>
        <v>0.89956331877729268</v>
      </c>
      <c r="O305" s="40">
        <f t="shared" si="13"/>
        <v>0.85589519650655033</v>
      </c>
      <c r="P305" s="4">
        <v>3.1</v>
      </c>
      <c r="Q305" s="72">
        <f>VLOOKUP('All inst data'!A305,'all mice (except april 2012)'!$A$2:$G$218,7,FALSE)</f>
        <v>72</v>
      </c>
    </row>
    <row r="306" spans="1:17" x14ac:dyDescent="0.25">
      <c r="A306" s="43">
        <v>103</v>
      </c>
      <c r="B306" s="43">
        <v>19</v>
      </c>
      <c r="C306" s="43">
        <v>3</v>
      </c>
      <c r="D306" s="43">
        <v>1</v>
      </c>
      <c r="E306" s="43">
        <v>130603</v>
      </c>
      <c r="F306" s="43">
        <v>102026</v>
      </c>
      <c r="G306" s="43" t="s">
        <v>171</v>
      </c>
      <c r="H306">
        <v>2</v>
      </c>
      <c r="I306">
        <v>1006</v>
      </c>
      <c r="J306">
        <v>261</v>
      </c>
      <c r="K306" s="7">
        <v>23.3</v>
      </c>
      <c r="L306" s="22">
        <v>20.100000000000001</v>
      </c>
      <c r="M306" s="7">
        <v>18.5</v>
      </c>
      <c r="N306" s="40">
        <f t="shared" si="12"/>
        <v>0.86266094420600858</v>
      </c>
      <c r="O306" s="40">
        <f t="shared" si="13"/>
        <v>0.79399141630901282</v>
      </c>
      <c r="P306" s="4">
        <v>3.1</v>
      </c>
      <c r="Q306" s="72">
        <f>VLOOKUP('All inst data'!A306,'all mice (except april 2012)'!$A$2:$G$218,7,FALSE)</f>
        <v>72</v>
      </c>
    </row>
    <row r="307" spans="1:17" x14ac:dyDescent="0.25">
      <c r="A307" s="43">
        <v>104</v>
      </c>
      <c r="B307" s="43">
        <v>20</v>
      </c>
      <c r="C307" s="43">
        <v>3</v>
      </c>
      <c r="D307" s="43">
        <v>1</v>
      </c>
      <c r="E307" s="43">
        <v>130603</v>
      </c>
      <c r="F307" s="43">
        <v>100943</v>
      </c>
      <c r="G307" s="43" t="s">
        <v>171</v>
      </c>
      <c r="H307">
        <v>3</v>
      </c>
      <c r="I307">
        <v>4</v>
      </c>
      <c r="J307">
        <v>4</v>
      </c>
      <c r="K307" s="7">
        <v>23.6</v>
      </c>
      <c r="L307" s="22">
        <v>20.7</v>
      </c>
      <c r="M307" s="7">
        <v>18.899999999999999</v>
      </c>
      <c r="N307" s="40">
        <f t="shared" si="12"/>
        <v>0.87711864406779649</v>
      </c>
      <c r="O307" s="40">
        <f t="shared" si="13"/>
        <v>0.80084745762711851</v>
      </c>
      <c r="P307" s="4">
        <v>3.1</v>
      </c>
      <c r="Q307" s="72">
        <f>VLOOKUP('All inst data'!A307,'all mice (except april 2012)'!$A$2:$G$218,7,FALSE)</f>
        <v>72</v>
      </c>
    </row>
    <row r="308" spans="1:17" x14ac:dyDescent="0.25">
      <c r="A308" s="43">
        <v>105</v>
      </c>
      <c r="B308" s="43">
        <v>21</v>
      </c>
      <c r="C308" s="43">
        <v>3</v>
      </c>
      <c r="D308" s="43">
        <v>1</v>
      </c>
      <c r="E308" s="43">
        <v>130603</v>
      </c>
      <c r="F308" s="43">
        <v>102026</v>
      </c>
      <c r="G308" s="43" t="s">
        <v>177</v>
      </c>
      <c r="H308">
        <v>4</v>
      </c>
      <c r="I308">
        <v>4</v>
      </c>
      <c r="J308">
        <v>4</v>
      </c>
      <c r="K308" s="7">
        <v>30</v>
      </c>
      <c r="L308" s="22">
        <v>26.7</v>
      </c>
      <c r="M308" s="7">
        <v>25.6</v>
      </c>
      <c r="N308" s="40">
        <f t="shared" si="12"/>
        <v>0.89</v>
      </c>
      <c r="O308" s="40">
        <f t="shared" si="13"/>
        <v>0.85333333333333339</v>
      </c>
      <c r="P308" s="4">
        <v>2.75</v>
      </c>
      <c r="Q308" s="72">
        <f>VLOOKUP('All inst data'!A308,'all mice (except april 2012)'!$A$2:$G$218,7,FALSE)</f>
        <v>111</v>
      </c>
    </row>
    <row r="309" spans="1:17" x14ac:dyDescent="0.25">
      <c r="A309" s="43">
        <v>106</v>
      </c>
      <c r="B309" s="43">
        <v>22</v>
      </c>
      <c r="C309" s="43">
        <v>3</v>
      </c>
      <c r="D309" s="43">
        <v>1</v>
      </c>
      <c r="E309" s="43">
        <v>130603</v>
      </c>
      <c r="F309" s="43">
        <v>100703</v>
      </c>
      <c r="G309" s="43" t="s">
        <v>177</v>
      </c>
      <c r="H309">
        <v>5</v>
      </c>
      <c r="I309">
        <v>19</v>
      </c>
      <c r="J309">
        <v>18</v>
      </c>
      <c r="K309" s="7">
        <v>30.8</v>
      </c>
      <c r="L309" s="22">
        <v>26.4</v>
      </c>
      <c r="M309" s="7">
        <v>25.4</v>
      </c>
      <c r="N309" s="40">
        <f t="shared" si="12"/>
        <v>0.8571428571428571</v>
      </c>
      <c r="O309" s="40">
        <f t="shared" si="13"/>
        <v>0.82467532467532456</v>
      </c>
      <c r="P309" s="4">
        <v>2.75</v>
      </c>
      <c r="Q309" s="72">
        <f>VLOOKUP('All inst data'!A309,'all mice (except april 2012)'!$A$2:$G$218,7,FALSE)</f>
        <v>111</v>
      </c>
    </row>
    <row r="310" spans="1:17" x14ac:dyDescent="0.25">
      <c r="A310" s="43">
        <v>102</v>
      </c>
      <c r="B310" s="43">
        <v>18</v>
      </c>
      <c r="C310" s="43">
        <v>3</v>
      </c>
      <c r="D310" s="43">
        <v>2</v>
      </c>
      <c r="E310" s="43">
        <v>130606</v>
      </c>
      <c r="F310" s="43">
        <v>93110</v>
      </c>
      <c r="G310" s="43" t="s">
        <v>171</v>
      </c>
      <c r="H310">
        <v>1</v>
      </c>
      <c r="I310">
        <v>1421</v>
      </c>
      <c r="J310">
        <v>341</v>
      </c>
      <c r="K310" s="7">
        <v>22.9</v>
      </c>
      <c r="L310" s="22">
        <v>21.3</v>
      </c>
      <c r="M310" s="7">
        <v>20.399999999999999</v>
      </c>
      <c r="N310" s="40">
        <f t="shared" si="12"/>
        <v>0.93013100436681229</v>
      </c>
      <c r="O310" s="40">
        <f t="shared" si="13"/>
        <v>0.89082969432314407</v>
      </c>
      <c r="P310" s="4">
        <v>3.5</v>
      </c>
      <c r="Q310" s="72">
        <f>VLOOKUP('All inst data'!A310,'all mice (except april 2012)'!$A$2:$G$218,7,FALSE)</f>
        <v>72</v>
      </c>
    </row>
    <row r="311" spans="1:17" x14ac:dyDescent="0.25">
      <c r="A311" s="43">
        <v>103</v>
      </c>
      <c r="B311" s="43">
        <v>19</v>
      </c>
      <c r="C311" s="43">
        <v>3</v>
      </c>
      <c r="D311" s="43">
        <v>2</v>
      </c>
      <c r="E311" s="43">
        <v>130606</v>
      </c>
      <c r="F311" s="43">
        <v>93110</v>
      </c>
      <c r="G311" s="43" t="s">
        <v>171</v>
      </c>
      <c r="H311">
        <v>2</v>
      </c>
      <c r="I311">
        <v>1350</v>
      </c>
      <c r="J311">
        <v>328</v>
      </c>
      <c r="K311" s="7">
        <v>23.3</v>
      </c>
      <c r="L311" s="22">
        <v>21.2</v>
      </c>
      <c r="M311" s="7">
        <v>19.7</v>
      </c>
      <c r="N311" s="40">
        <f t="shared" si="12"/>
        <v>0.90987124463519309</v>
      </c>
      <c r="O311" s="40">
        <f t="shared" si="13"/>
        <v>0.84549356223175964</v>
      </c>
      <c r="P311" s="4">
        <v>3.5</v>
      </c>
      <c r="Q311" s="72">
        <f>VLOOKUP('All inst data'!A311,'all mice (except april 2012)'!$A$2:$G$218,7,FALSE)</f>
        <v>72</v>
      </c>
    </row>
    <row r="312" spans="1:17" x14ac:dyDescent="0.25">
      <c r="A312" s="43">
        <v>104</v>
      </c>
      <c r="B312" s="43">
        <v>20</v>
      </c>
      <c r="C312" s="43">
        <v>3</v>
      </c>
      <c r="D312" s="43">
        <v>2</v>
      </c>
      <c r="E312" s="43">
        <v>130606</v>
      </c>
      <c r="F312" s="43">
        <v>93110</v>
      </c>
      <c r="G312" s="43" t="s">
        <v>171</v>
      </c>
      <c r="H312">
        <v>3</v>
      </c>
      <c r="I312">
        <v>0</v>
      </c>
      <c r="J312">
        <v>0</v>
      </c>
      <c r="K312" s="7">
        <v>23.6</v>
      </c>
      <c r="L312" s="22">
        <v>21.4</v>
      </c>
      <c r="M312" s="7">
        <v>19.600000000000001</v>
      </c>
      <c r="N312" s="40">
        <f t="shared" si="12"/>
        <v>0.90677966101694907</v>
      </c>
      <c r="O312" s="40">
        <f t="shared" si="13"/>
        <v>0.83050847457627119</v>
      </c>
      <c r="P312" s="4">
        <v>3.5</v>
      </c>
      <c r="Q312" s="72">
        <f>VLOOKUP('All inst data'!A312,'all mice (except april 2012)'!$A$2:$G$218,7,FALSE)</f>
        <v>72</v>
      </c>
    </row>
    <row r="313" spans="1:17" x14ac:dyDescent="0.25">
      <c r="A313" s="43">
        <v>105</v>
      </c>
      <c r="B313" s="43">
        <v>21</v>
      </c>
      <c r="C313" s="43">
        <v>3</v>
      </c>
      <c r="D313" s="43">
        <v>2</v>
      </c>
      <c r="E313" s="43">
        <v>130606</v>
      </c>
      <c r="F313" s="43">
        <v>93110</v>
      </c>
      <c r="G313" s="43" t="s">
        <v>177</v>
      </c>
      <c r="H313">
        <v>4</v>
      </c>
      <c r="I313">
        <v>1</v>
      </c>
      <c r="J313">
        <v>1</v>
      </c>
      <c r="K313" s="7">
        <v>30</v>
      </c>
      <c r="L313" s="22">
        <v>27.7</v>
      </c>
      <c r="M313" s="7">
        <v>26.2</v>
      </c>
      <c r="N313" s="40">
        <f t="shared" si="12"/>
        <v>0.92333333333333334</v>
      </c>
      <c r="O313" s="40">
        <f t="shared" si="13"/>
        <v>0.87333333333333329</v>
      </c>
      <c r="P313" s="4">
        <v>2.95</v>
      </c>
      <c r="Q313" s="72">
        <f>VLOOKUP('All inst data'!A313,'all mice (except april 2012)'!$A$2:$G$218,7,FALSE)</f>
        <v>111</v>
      </c>
    </row>
    <row r="314" spans="1:17" x14ac:dyDescent="0.25">
      <c r="A314" s="43">
        <v>106</v>
      </c>
      <c r="B314" s="43">
        <v>22</v>
      </c>
      <c r="C314" s="43">
        <v>3</v>
      </c>
      <c r="D314" s="43">
        <v>2</v>
      </c>
      <c r="E314" s="43">
        <v>130606</v>
      </c>
      <c r="F314" s="43">
        <v>93110</v>
      </c>
      <c r="G314" s="43" t="s">
        <v>177</v>
      </c>
      <c r="H314">
        <v>5</v>
      </c>
      <c r="I314">
        <v>34</v>
      </c>
      <c r="J314">
        <v>31</v>
      </c>
      <c r="K314" s="7">
        <v>30.8</v>
      </c>
      <c r="L314" s="22">
        <v>26.8</v>
      </c>
      <c r="M314" s="7">
        <v>25.3</v>
      </c>
      <c r="N314" s="40">
        <f t="shared" si="12"/>
        <v>0.87012987012987009</v>
      </c>
      <c r="O314" s="40">
        <f t="shared" si="13"/>
        <v>0.8214285714285714</v>
      </c>
      <c r="P314" s="4">
        <v>2.95</v>
      </c>
      <c r="Q314" s="72">
        <f>VLOOKUP('All inst data'!A314,'all mice (except april 2012)'!$A$2:$G$218,7,FALSE)</f>
        <v>111</v>
      </c>
    </row>
    <row r="315" spans="1:17" x14ac:dyDescent="0.25">
      <c r="A315" s="43">
        <v>102</v>
      </c>
      <c r="B315" s="43">
        <v>18</v>
      </c>
      <c r="C315" s="43">
        <v>3</v>
      </c>
      <c r="D315" s="43">
        <v>3</v>
      </c>
      <c r="E315" s="43">
        <v>130607</v>
      </c>
      <c r="F315" s="43">
        <v>95840</v>
      </c>
      <c r="G315" s="43" t="s">
        <v>171</v>
      </c>
      <c r="H315">
        <v>1</v>
      </c>
      <c r="I315">
        <v>1671</v>
      </c>
      <c r="J315">
        <v>390</v>
      </c>
      <c r="K315" s="7">
        <v>22.9</v>
      </c>
      <c r="L315" s="22">
        <v>22</v>
      </c>
      <c r="M315" s="7">
        <v>21.3</v>
      </c>
      <c r="N315" s="40">
        <f t="shared" si="12"/>
        <v>0.9606986899563319</v>
      </c>
      <c r="O315" s="40">
        <f t="shared" si="13"/>
        <v>0.93013100436681229</v>
      </c>
      <c r="P315" s="4" t="s">
        <v>139</v>
      </c>
      <c r="Q315" s="72">
        <f>VLOOKUP('All inst data'!A315,'all mice (except april 2012)'!$A$2:$G$218,7,FALSE)</f>
        <v>72</v>
      </c>
    </row>
    <row r="316" spans="1:17" x14ac:dyDescent="0.25">
      <c r="A316" s="43">
        <v>103</v>
      </c>
      <c r="B316" s="43">
        <v>19</v>
      </c>
      <c r="C316" s="43">
        <v>3</v>
      </c>
      <c r="D316" s="43">
        <v>3</v>
      </c>
      <c r="E316" s="43">
        <v>130607</v>
      </c>
      <c r="F316" s="43">
        <v>95840</v>
      </c>
      <c r="G316" s="43" t="s">
        <v>171</v>
      </c>
      <c r="H316">
        <v>2</v>
      </c>
      <c r="I316">
        <v>1114</v>
      </c>
      <c r="J316">
        <v>284</v>
      </c>
      <c r="K316" s="7">
        <v>23.3</v>
      </c>
      <c r="L316" s="22">
        <v>21.4</v>
      </c>
      <c r="M316" s="7">
        <v>20.2</v>
      </c>
      <c r="N316" s="40">
        <f t="shared" si="12"/>
        <v>0.9184549356223175</v>
      </c>
      <c r="O316" s="40">
        <f t="shared" si="13"/>
        <v>0.86695278969957079</v>
      </c>
      <c r="P316" s="4" t="s">
        <v>139</v>
      </c>
      <c r="Q316" s="72">
        <f>VLOOKUP('All inst data'!A316,'all mice (except april 2012)'!$A$2:$G$218,7,FALSE)</f>
        <v>72</v>
      </c>
    </row>
    <row r="317" spans="1:17" x14ac:dyDescent="0.25">
      <c r="A317" s="43">
        <v>104</v>
      </c>
      <c r="B317" s="43">
        <v>20</v>
      </c>
      <c r="C317" s="43">
        <v>3</v>
      </c>
      <c r="D317" s="43">
        <v>3</v>
      </c>
      <c r="E317" s="43">
        <v>130607</v>
      </c>
      <c r="F317" s="43">
        <v>95840</v>
      </c>
      <c r="G317" s="43" t="s">
        <v>171</v>
      </c>
      <c r="H317">
        <v>3</v>
      </c>
      <c r="I317">
        <v>4</v>
      </c>
      <c r="J317">
        <v>3</v>
      </c>
      <c r="K317" s="7">
        <v>23.6</v>
      </c>
      <c r="L317" s="22">
        <v>21.6</v>
      </c>
      <c r="M317" s="7">
        <v>20</v>
      </c>
      <c r="N317" s="40">
        <f t="shared" si="12"/>
        <v>0.9152542372881356</v>
      </c>
      <c r="O317" s="40">
        <f t="shared" si="13"/>
        <v>0.84745762711864403</v>
      </c>
      <c r="P317" s="4" t="s">
        <v>139</v>
      </c>
      <c r="Q317" s="72">
        <f>VLOOKUP('All inst data'!A317,'all mice (except april 2012)'!$A$2:$G$218,7,FALSE)</f>
        <v>72</v>
      </c>
    </row>
    <row r="318" spans="1:17" x14ac:dyDescent="0.25">
      <c r="A318" s="43">
        <v>105</v>
      </c>
      <c r="B318" s="43">
        <v>21</v>
      </c>
      <c r="C318" s="43">
        <v>3</v>
      </c>
      <c r="D318" s="43">
        <v>3</v>
      </c>
      <c r="E318" s="43">
        <v>130607</v>
      </c>
      <c r="F318" s="43">
        <v>95840</v>
      </c>
      <c r="G318" s="43" t="s">
        <v>177</v>
      </c>
      <c r="H318">
        <v>4</v>
      </c>
      <c r="I318">
        <v>4</v>
      </c>
      <c r="J318">
        <v>4</v>
      </c>
      <c r="K318" s="7">
        <v>30</v>
      </c>
      <c r="L318" s="22">
        <v>27.5</v>
      </c>
      <c r="M318" s="7">
        <v>25.8</v>
      </c>
      <c r="N318" s="40">
        <f t="shared" si="12"/>
        <v>0.91666666666666663</v>
      </c>
      <c r="O318" s="40">
        <f t="shared" si="13"/>
        <v>0.86</v>
      </c>
      <c r="P318" s="4" t="s">
        <v>139</v>
      </c>
      <c r="Q318" s="72">
        <f>VLOOKUP('All inst data'!A318,'all mice (except april 2012)'!$A$2:$G$218,7,FALSE)</f>
        <v>111</v>
      </c>
    </row>
    <row r="319" spans="1:17" x14ac:dyDescent="0.25">
      <c r="A319" s="43">
        <v>106</v>
      </c>
      <c r="B319" s="43">
        <v>22</v>
      </c>
      <c r="C319" s="43">
        <v>3</v>
      </c>
      <c r="D319" s="43">
        <v>3</v>
      </c>
      <c r="E319" s="43">
        <v>130607</v>
      </c>
      <c r="F319" s="43">
        <v>95840</v>
      </c>
      <c r="G319" s="43" t="s">
        <v>177</v>
      </c>
      <c r="H319">
        <v>5</v>
      </c>
      <c r="I319">
        <v>175</v>
      </c>
      <c r="J319">
        <v>101</v>
      </c>
      <c r="K319" s="7">
        <v>30.8</v>
      </c>
      <c r="L319" s="22">
        <v>26.5</v>
      </c>
      <c r="M319" s="7">
        <v>25.2</v>
      </c>
      <c r="N319" s="40">
        <f t="shared" si="12"/>
        <v>0.86038961038961037</v>
      </c>
      <c r="O319" s="40">
        <f t="shared" si="13"/>
        <v>0.81818181818181812</v>
      </c>
      <c r="P319" s="4" t="s">
        <v>139</v>
      </c>
      <c r="Q319" s="72">
        <f>VLOOKUP('All inst data'!A319,'all mice (except april 2012)'!$A$2:$G$218,7,FALSE)</f>
        <v>111</v>
      </c>
    </row>
    <row r="320" spans="1:17" x14ac:dyDescent="0.25">
      <c r="A320" s="43">
        <v>107</v>
      </c>
      <c r="B320" s="43">
        <v>23</v>
      </c>
      <c r="C320" s="43">
        <v>3</v>
      </c>
      <c r="D320" s="43">
        <v>1</v>
      </c>
      <c r="E320" s="43">
        <v>130611</v>
      </c>
      <c r="F320" s="43">
        <v>104112</v>
      </c>
      <c r="G320" s="43" t="s">
        <v>174</v>
      </c>
      <c r="H320">
        <v>1</v>
      </c>
      <c r="I320">
        <v>5</v>
      </c>
      <c r="J320">
        <v>5</v>
      </c>
      <c r="K320" s="7">
        <v>25.5</v>
      </c>
      <c r="L320" s="22">
        <v>22.2</v>
      </c>
      <c r="M320" s="7">
        <v>19.5</v>
      </c>
      <c r="N320" s="40">
        <f t="shared" si="12"/>
        <v>0.87058823529411766</v>
      </c>
      <c r="O320" s="40">
        <f t="shared" si="13"/>
        <v>0.76470588235294112</v>
      </c>
      <c r="P320" s="4">
        <v>3.9</v>
      </c>
      <c r="Q320" s="72">
        <f>VLOOKUP('All inst data'!A320,'all mice (except april 2012)'!$A$2:$G$218,7,FALSE)</f>
        <v>91</v>
      </c>
    </row>
    <row r="321" spans="1:21" x14ac:dyDescent="0.25">
      <c r="A321" s="43">
        <v>108</v>
      </c>
      <c r="B321" s="43">
        <v>24</v>
      </c>
      <c r="C321" s="43">
        <v>3</v>
      </c>
      <c r="D321" s="43">
        <v>1</v>
      </c>
      <c r="E321" s="43">
        <v>130611</v>
      </c>
      <c r="F321" s="43">
        <v>103701</v>
      </c>
      <c r="G321" s="43" t="s">
        <v>174</v>
      </c>
      <c r="H321">
        <v>2</v>
      </c>
      <c r="I321">
        <v>4</v>
      </c>
      <c r="J321">
        <v>4</v>
      </c>
      <c r="K321" s="7">
        <v>23.5</v>
      </c>
      <c r="L321" s="22">
        <v>20.2</v>
      </c>
      <c r="M321" s="7">
        <v>18.100000000000001</v>
      </c>
      <c r="N321" s="40">
        <f t="shared" si="12"/>
        <v>0.8595744680851064</v>
      </c>
      <c r="O321" s="40">
        <f t="shared" si="13"/>
        <v>0.77021276595744692</v>
      </c>
      <c r="P321" s="4">
        <v>3.9</v>
      </c>
      <c r="Q321" s="72">
        <f>VLOOKUP('All inst data'!A321,'all mice (except april 2012)'!$A$2:$G$218,7,FALSE)</f>
        <v>91</v>
      </c>
    </row>
    <row r="322" spans="1:21" x14ac:dyDescent="0.25">
      <c r="A322" s="43">
        <v>109</v>
      </c>
      <c r="B322" s="43">
        <v>25</v>
      </c>
      <c r="C322" s="43">
        <v>3</v>
      </c>
      <c r="D322" s="43">
        <v>1</v>
      </c>
      <c r="E322" s="43">
        <v>130611</v>
      </c>
      <c r="F322" s="43">
        <v>103534</v>
      </c>
      <c r="G322" s="43" t="s">
        <v>171</v>
      </c>
      <c r="H322">
        <v>3</v>
      </c>
      <c r="I322">
        <v>1133</v>
      </c>
      <c r="J322">
        <v>290</v>
      </c>
      <c r="K322" s="7">
        <v>23.5</v>
      </c>
      <c r="L322" s="22">
        <v>20.7</v>
      </c>
      <c r="M322" s="7">
        <v>19.7</v>
      </c>
      <c r="N322" s="40">
        <f t="shared" ref="N322:N385" si="14">L322/K322</f>
        <v>0.88085106382978717</v>
      </c>
      <c r="O322" s="40">
        <f t="shared" ref="O322:O329" si="15">M322/K322</f>
        <v>0.83829787234042552</v>
      </c>
      <c r="P322" s="4">
        <v>3.35</v>
      </c>
      <c r="Q322" s="72">
        <f>VLOOKUP('All inst data'!A322,'all mice (except april 2012)'!$A$2:$G$218,7,FALSE)</f>
        <v>80</v>
      </c>
    </row>
    <row r="323" spans="1:21" x14ac:dyDescent="0.25">
      <c r="A323" s="43">
        <v>110</v>
      </c>
      <c r="B323" s="43">
        <v>26</v>
      </c>
      <c r="C323" s="43">
        <v>3</v>
      </c>
      <c r="D323" s="43">
        <v>1</v>
      </c>
      <c r="E323" s="43">
        <v>130611</v>
      </c>
      <c r="F323" s="43">
        <v>103535</v>
      </c>
      <c r="G323" s="43" t="s">
        <v>171</v>
      </c>
      <c r="H323">
        <v>4</v>
      </c>
      <c r="I323">
        <v>436</v>
      </c>
      <c r="J323">
        <v>155</v>
      </c>
      <c r="K323" s="7">
        <v>21.3</v>
      </c>
      <c r="L323" s="22">
        <v>18.5</v>
      </c>
      <c r="M323" s="7">
        <v>17.3</v>
      </c>
      <c r="N323" s="40">
        <f t="shared" si="14"/>
        <v>0.86854460093896713</v>
      </c>
      <c r="O323" s="40">
        <f t="shared" si="15"/>
        <v>0.81220657276995301</v>
      </c>
      <c r="P323" s="4">
        <v>3.35</v>
      </c>
      <c r="Q323" s="72">
        <f>VLOOKUP('All inst data'!A323,'all mice (except april 2012)'!$A$2:$G$218,7,FALSE)</f>
        <v>80</v>
      </c>
    </row>
    <row r="324" spans="1:21" x14ac:dyDescent="0.25">
      <c r="A324" s="43">
        <v>111</v>
      </c>
      <c r="B324" s="43">
        <v>27</v>
      </c>
      <c r="C324" s="43">
        <v>3</v>
      </c>
      <c r="D324" s="43">
        <v>1</v>
      </c>
      <c r="E324" s="43">
        <v>130611</v>
      </c>
      <c r="F324" s="43">
        <v>104112</v>
      </c>
      <c r="G324" s="43" t="s">
        <v>171</v>
      </c>
      <c r="H324">
        <v>5</v>
      </c>
      <c r="I324">
        <v>1634</v>
      </c>
      <c r="J324">
        <v>385</v>
      </c>
      <c r="K324" s="7">
        <v>21.4</v>
      </c>
      <c r="L324" s="22">
        <v>18.899999999999999</v>
      </c>
      <c r="M324" s="7">
        <v>18.100000000000001</v>
      </c>
      <c r="N324" s="40">
        <f t="shared" si="14"/>
        <v>0.88317757009345799</v>
      </c>
      <c r="O324" s="40">
        <f t="shared" si="15"/>
        <v>0.84579439252336464</v>
      </c>
      <c r="P324" s="4">
        <v>3.35</v>
      </c>
      <c r="Q324" s="72">
        <f>VLOOKUP('All inst data'!A324,'all mice (except april 2012)'!$A$2:$G$218,7,FALSE)</f>
        <v>80</v>
      </c>
    </row>
    <row r="325" spans="1:21" x14ac:dyDescent="0.25">
      <c r="A325" s="43">
        <v>107</v>
      </c>
      <c r="B325" s="43">
        <v>23</v>
      </c>
      <c r="C325" s="43">
        <v>3</v>
      </c>
      <c r="D325" s="43">
        <v>2</v>
      </c>
      <c r="E325" s="43">
        <v>130612</v>
      </c>
      <c r="F325" s="43">
        <v>95025</v>
      </c>
      <c r="G325" s="43" t="s">
        <v>174</v>
      </c>
      <c r="H325">
        <v>1</v>
      </c>
      <c r="I325">
        <v>1</v>
      </c>
      <c r="J325">
        <v>1</v>
      </c>
      <c r="K325" s="7">
        <v>25.5</v>
      </c>
      <c r="L325" s="22">
        <v>22.8</v>
      </c>
      <c r="M325" s="7">
        <v>20</v>
      </c>
      <c r="N325" s="40">
        <f t="shared" si="14"/>
        <v>0.89411764705882357</v>
      </c>
      <c r="O325" s="40">
        <f t="shared" si="15"/>
        <v>0.78431372549019607</v>
      </c>
      <c r="P325" s="4">
        <v>4.25</v>
      </c>
      <c r="Q325" s="72">
        <f>VLOOKUP('All inst data'!A325,'all mice (except april 2012)'!$A$2:$G$218,7,FALSE)</f>
        <v>91</v>
      </c>
    </row>
    <row r="326" spans="1:21" x14ac:dyDescent="0.25">
      <c r="A326" s="43">
        <v>108</v>
      </c>
      <c r="B326" s="43">
        <v>24</v>
      </c>
      <c r="C326" s="43">
        <v>3</v>
      </c>
      <c r="D326" s="43">
        <v>2</v>
      </c>
      <c r="E326" s="43">
        <v>130612</v>
      </c>
      <c r="F326" s="43">
        <v>95026</v>
      </c>
      <c r="G326" s="43" t="s">
        <v>174</v>
      </c>
      <c r="H326">
        <v>2</v>
      </c>
      <c r="I326">
        <v>1</v>
      </c>
      <c r="J326">
        <v>1</v>
      </c>
      <c r="K326" s="7">
        <v>23.5</v>
      </c>
      <c r="L326" s="22">
        <v>21.7</v>
      </c>
      <c r="M326" s="7">
        <v>18.8</v>
      </c>
      <c r="N326" s="40">
        <f t="shared" si="14"/>
        <v>0.92340425531914894</v>
      </c>
      <c r="O326" s="40">
        <f t="shared" si="15"/>
        <v>0.8</v>
      </c>
      <c r="P326" s="4">
        <v>4.25</v>
      </c>
      <c r="Q326" s="72">
        <f>VLOOKUP('All inst data'!A326,'all mice (except april 2012)'!$A$2:$G$218,7,FALSE)</f>
        <v>91</v>
      </c>
    </row>
    <row r="327" spans="1:21" x14ac:dyDescent="0.25">
      <c r="A327" s="43">
        <v>109</v>
      </c>
      <c r="B327" s="43">
        <v>25</v>
      </c>
      <c r="C327" s="43">
        <v>3</v>
      </c>
      <c r="D327" s="43">
        <v>2</v>
      </c>
      <c r="E327" s="43">
        <v>130612</v>
      </c>
      <c r="F327" s="43">
        <v>90843</v>
      </c>
      <c r="G327" s="43" t="s">
        <v>171</v>
      </c>
      <c r="H327">
        <v>3</v>
      </c>
      <c r="I327">
        <v>1917</v>
      </c>
      <c r="J327">
        <v>441</v>
      </c>
      <c r="K327" s="7">
        <v>23.5</v>
      </c>
      <c r="L327" s="22">
        <v>21.6</v>
      </c>
      <c r="M327" s="7">
        <v>20.3</v>
      </c>
      <c r="N327" s="40">
        <f t="shared" si="14"/>
        <v>0.91914893617021287</v>
      </c>
      <c r="O327" s="40">
        <f t="shared" si="15"/>
        <v>0.86382978723404258</v>
      </c>
      <c r="P327" s="4">
        <v>3.25</v>
      </c>
      <c r="Q327" s="72">
        <f>VLOOKUP('All inst data'!A327,'all mice (except april 2012)'!$A$2:$G$218,7,FALSE)</f>
        <v>80</v>
      </c>
    </row>
    <row r="328" spans="1:21" x14ac:dyDescent="0.25">
      <c r="A328" s="43">
        <v>110</v>
      </c>
      <c r="B328" s="43">
        <v>26</v>
      </c>
      <c r="C328" s="43">
        <v>3</v>
      </c>
      <c r="D328" s="43">
        <v>2</v>
      </c>
      <c r="E328" s="43">
        <v>130612</v>
      </c>
      <c r="F328" s="43">
        <v>95026</v>
      </c>
      <c r="G328" s="43" t="s">
        <v>171</v>
      </c>
      <c r="H328">
        <v>4</v>
      </c>
      <c r="I328">
        <v>716</v>
      </c>
      <c r="J328">
        <v>211</v>
      </c>
      <c r="K328" s="7">
        <v>21.3</v>
      </c>
      <c r="L328" s="22">
        <v>18.8</v>
      </c>
      <c r="M328" s="7">
        <v>17.899999999999999</v>
      </c>
      <c r="N328" s="40">
        <f t="shared" si="14"/>
        <v>0.88262910798122063</v>
      </c>
      <c r="O328" s="40">
        <f t="shared" si="15"/>
        <v>0.84037558685446001</v>
      </c>
      <c r="P328" s="4">
        <v>3.25</v>
      </c>
      <c r="Q328" s="72">
        <f>VLOOKUP('All inst data'!A328,'all mice (except april 2012)'!$A$2:$G$218,7,FALSE)</f>
        <v>80</v>
      </c>
    </row>
    <row r="329" spans="1:21" x14ac:dyDescent="0.25">
      <c r="A329" s="43">
        <v>111</v>
      </c>
      <c r="B329" s="43">
        <v>27</v>
      </c>
      <c r="C329" s="43">
        <v>3</v>
      </c>
      <c r="D329" s="43">
        <v>2</v>
      </c>
      <c r="E329" s="43">
        <v>130612</v>
      </c>
      <c r="F329" s="43">
        <v>95026</v>
      </c>
      <c r="G329" s="43" t="s">
        <v>171</v>
      </c>
      <c r="H329">
        <v>5</v>
      </c>
      <c r="I329">
        <v>1604</v>
      </c>
      <c r="J329">
        <v>376</v>
      </c>
      <c r="K329" s="7">
        <v>21.4</v>
      </c>
      <c r="L329" s="22">
        <v>19.7</v>
      </c>
      <c r="M329" s="7">
        <v>18.600000000000001</v>
      </c>
      <c r="N329" s="40">
        <f t="shared" si="14"/>
        <v>0.92056074766355145</v>
      </c>
      <c r="O329" s="40">
        <f t="shared" si="15"/>
        <v>0.86915887850467299</v>
      </c>
      <c r="P329" s="4">
        <v>3.25</v>
      </c>
      <c r="Q329" s="72">
        <f>VLOOKUP('All inst data'!A329,'all mice (except april 2012)'!$A$2:$G$218,7,FALSE)</f>
        <v>80</v>
      </c>
    </row>
    <row r="330" spans="1:21" x14ac:dyDescent="0.25">
      <c r="A330" s="43">
        <v>107</v>
      </c>
      <c r="B330" s="43">
        <v>23</v>
      </c>
      <c r="C330" s="43">
        <v>3</v>
      </c>
      <c r="D330" s="43">
        <v>3</v>
      </c>
      <c r="E330" s="43">
        <v>130613</v>
      </c>
      <c r="F330" s="43">
        <v>103107</v>
      </c>
      <c r="G330" s="43" t="s">
        <v>174</v>
      </c>
      <c r="H330">
        <v>1</v>
      </c>
      <c r="I330">
        <v>41</v>
      </c>
      <c r="J330">
        <v>37</v>
      </c>
      <c r="K330" s="7">
        <v>25.5</v>
      </c>
      <c r="L330" s="22">
        <v>22.1</v>
      </c>
      <c r="M330" s="5"/>
      <c r="N330" s="40">
        <f t="shared" si="14"/>
        <v>0.8666666666666667</v>
      </c>
      <c r="O330" s="42"/>
      <c r="P330" s="4" t="s">
        <v>139</v>
      </c>
      <c r="Q330" s="72">
        <f>VLOOKUP('All inst data'!A330,'all mice (except april 2012)'!$A$2:$G$218,7,FALSE)</f>
        <v>91</v>
      </c>
      <c r="S330">
        <v>0.22</v>
      </c>
      <c r="U330">
        <f>AVERAGE(R330:S330)</f>
        <v>0.22</v>
      </c>
    </row>
    <row r="331" spans="1:21" x14ac:dyDescent="0.25">
      <c r="A331" s="43">
        <v>108</v>
      </c>
      <c r="B331" s="43">
        <v>24</v>
      </c>
      <c r="C331" s="43">
        <v>3</v>
      </c>
      <c r="D331" s="43">
        <v>3</v>
      </c>
      <c r="E331" s="43">
        <v>130613</v>
      </c>
      <c r="F331" s="43">
        <v>103108</v>
      </c>
      <c r="G331" s="43" t="s">
        <v>174</v>
      </c>
      <c r="H331">
        <v>2</v>
      </c>
      <c r="I331">
        <v>1</v>
      </c>
      <c r="J331">
        <v>1</v>
      </c>
      <c r="K331" s="7">
        <v>23.5</v>
      </c>
      <c r="L331" s="22">
        <v>21.1</v>
      </c>
      <c r="M331" s="5"/>
      <c r="N331" s="40">
        <f t="shared" si="14"/>
        <v>0.89787234042553199</v>
      </c>
      <c r="O331" s="42"/>
      <c r="P331" s="4" t="s">
        <v>139</v>
      </c>
      <c r="Q331" s="72">
        <f>VLOOKUP('All inst data'!A331,'all mice (except april 2012)'!$A$2:$G$218,7,FALSE)</f>
        <v>91</v>
      </c>
      <c r="S331">
        <v>0.2</v>
      </c>
      <c r="U331" s="43">
        <f>AVERAGE(R331:S331)</f>
        <v>0.2</v>
      </c>
    </row>
    <row r="332" spans="1:21" x14ac:dyDescent="0.25">
      <c r="A332" s="43">
        <v>109</v>
      </c>
      <c r="B332" s="43">
        <v>25</v>
      </c>
      <c r="C332" s="43">
        <v>3</v>
      </c>
      <c r="D332" s="43">
        <v>3</v>
      </c>
      <c r="E332" s="43">
        <v>130613</v>
      </c>
      <c r="F332" s="43">
        <v>103108</v>
      </c>
      <c r="G332" s="43" t="s">
        <v>171</v>
      </c>
      <c r="H332">
        <v>3</v>
      </c>
      <c r="I332">
        <v>2033</v>
      </c>
      <c r="J332">
        <v>470</v>
      </c>
      <c r="K332" s="7">
        <v>23.5</v>
      </c>
      <c r="L332" s="22">
        <v>21.2</v>
      </c>
      <c r="M332" s="5"/>
      <c r="N332" s="40">
        <f t="shared" si="14"/>
        <v>0.90212765957446805</v>
      </c>
      <c r="O332" s="42"/>
      <c r="P332" s="4" t="s">
        <v>139</v>
      </c>
      <c r="Q332" s="72">
        <f>VLOOKUP('All inst data'!A332,'all mice (except april 2012)'!$A$2:$G$218,7,FALSE)</f>
        <v>80</v>
      </c>
      <c r="S332">
        <v>0.14000000000000001</v>
      </c>
      <c r="U332" s="43">
        <f>AVERAGE(R332:S332)</f>
        <v>0.14000000000000001</v>
      </c>
    </row>
    <row r="333" spans="1:21" x14ac:dyDescent="0.25">
      <c r="A333" s="43">
        <v>110</v>
      </c>
      <c r="B333" s="43">
        <v>26</v>
      </c>
      <c r="C333" s="43">
        <v>3</v>
      </c>
      <c r="D333" s="43">
        <v>3</v>
      </c>
      <c r="E333" s="43">
        <v>130613</v>
      </c>
      <c r="F333" s="43">
        <v>103108</v>
      </c>
      <c r="G333" s="43" t="s">
        <v>171</v>
      </c>
      <c r="H333">
        <v>4</v>
      </c>
      <c r="I333">
        <v>730</v>
      </c>
      <c r="J333">
        <v>213</v>
      </c>
      <c r="K333" s="7">
        <v>21.3</v>
      </c>
      <c r="L333" s="22">
        <v>18.5</v>
      </c>
      <c r="M333" s="5"/>
      <c r="N333" s="40">
        <f t="shared" si="14"/>
        <v>0.86854460093896713</v>
      </c>
      <c r="O333" s="42"/>
      <c r="P333" s="4" t="s">
        <v>139</v>
      </c>
      <c r="Q333" s="72">
        <f>VLOOKUP('All inst data'!A333,'all mice (except april 2012)'!$A$2:$G$218,7,FALSE)</f>
        <v>80</v>
      </c>
      <c r="S333">
        <v>0.16</v>
      </c>
      <c r="U333" s="43">
        <f>AVERAGE(R333:S333)</f>
        <v>0.16</v>
      </c>
    </row>
    <row r="334" spans="1:21" x14ac:dyDescent="0.25">
      <c r="A334" s="43">
        <v>111</v>
      </c>
      <c r="B334" s="43">
        <v>27</v>
      </c>
      <c r="C334" s="43">
        <v>3</v>
      </c>
      <c r="D334" s="43">
        <v>3</v>
      </c>
      <c r="E334" s="43">
        <v>130613</v>
      </c>
      <c r="F334" s="43">
        <v>103108</v>
      </c>
      <c r="G334" s="43" t="s">
        <v>171</v>
      </c>
      <c r="H334">
        <v>5</v>
      </c>
      <c r="I334">
        <v>1825</v>
      </c>
      <c r="J334">
        <v>416</v>
      </c>
      <c r="K334" s="7">
        <v>21.4</v>
      </c>
      <c r="L334" s="22">
        <v>19.600000000000001</v>
      </c>
      <c r="M334" s="5"/>
      <c r="N334" s="40">
        <f t="shared" si="14"/>
        <v>0.91588785046728982</v>
      </c>
      <c r="O334" s="42"/>
      <c r="P334" s="4" t="s">
        <v>139</v>
      </c>
      <c r="Q334" s="72">
        <f>VLOOKUP('All inst data'!A334,'all mice (except april 2012)'!$A$2:$G$218,7,FALSE)</f>
        <v>80</v>
      </c>
      <c r="S334">
        <v>0.13</v>
      </c>
      <c r="U334" s="43">
        <f>AVERAGE(R334:S334)</f>
        <v>0.13</v>
      </c>
    </row>
    <row r="335" spans="1:21" x14ac:dyDescent="0.25">
      <c r="A335" s="43">
        <v>112</v>
      </c>
      <c r="B335" s="43">
        <v>1</v>
      </c>
      <c r="C335" s="43">
        <v>4</v>
      </c>
      <c r="D335" s="43">
        <v>1</v>
      </c>
      <c r="E335" s="43">
        <v>130615</v>
      </c>
      <c r="F335" s="43">
        <v>121503</v>
      </c>
      <c r="G335" s="43" t="s">
        <v>130</v>
      </c>
      <c r="H335">
        <v>1</v>
      </c>
      <c r="I335">
        <v>1461</v>
      </c>
      <c r="J335">
        <v>358</v>
      </c>
      <c r="K335" s="7">
        <v>25.2</v>
      </c>
      <c r="L335" s="22">
        <v>22.9</v>
      </c>
      <c r="M335" s="43">
        <v>21.4</v>
      </c>
      <c r="N335" s="40">
        <f t="shared" si="14"/>
        <v>0.90873015873015872</v>
      </c>
      <c r="O335" s="40">
        <f t="shared" ref="O335:O366" si="16">M335/K335</f>
        <v>0.84920634920634919</v>
      </c>
      <c r="P335" s="4">
        <v>3.4</v>
      </c>
      <c r="Q335" s="72">
        <f>VLOOKUP('All inst data'!A335,'all mice (except april 2012)'!$A$2:$G$218,7,FALSE)</f>
        <v>73</v>
      </c>
    </row>
    <row r="336" spans="1:21" x14ac:dyDescent="0.25">
      <c r="A336" s="43">
        <v>113</v>
      </c>
      <c r="B336" s="43">
        <v>2</v>
      </c>
      <c r="C336" s="43">
        <v>4</v>
      </c>
      <c r="D336" s="43">
        <v>1</v>
      </c>
      <c r="E336" s="43">
        <v>130615</v>
      </c>
      <c r="F336" s="43">
        <v>115330</v>
      </c>
      <c r="G336" s="43" t="s">
        <v>130</v>
      </c>
      <c r="H336">
        <v>2</v>
      </c>
      <c r="I336">
        <v>2192</v>
      </c>
      <c r="J336">
        <v>500</v>
      </c>
      <c r="K336" s="7">
        <v>27</v>
      </c>
      <c r="L336" s="22">
        <v>24.6</v>
      </c>
      <c r="M336" s="43">
        <v>22.5</v>
      </c>
      <c r="N336" s="40">
        <f t="shared" si="14"/>
        <v>0.9111111111111112</v>
      </c>
      <c r="O336" s="40">
        <f t="shared" si="16"/>
        <v>0.83333333333333337</v>
      </c>
      <c r="P336" s="4">
        <v>3.4</v>
      </c>
      <c r="Q336" s="72">
        <f>VLOOKUP('All inst data'!A336,'all mice (except april 2012)'!$A$2:$G$218,7,FALSE)</f>
        <v>73</v>
      </c>
    </row>
    <row r="337" spans="1:17" x14ac:dyDescent="0.25">
      <c r="A337" s="43">
        <v>114</v>
      </c>
      <c r="B337" s="43">
        <v>3</v>
      </c>
      <c r="C337" s="43">
        <v>4</v>
      </c>
      <c r="D337" s="43">
        <v>1</v>
      </c>
      <c r="E337" s="43">
        <v>130615</v>
      </c>
      <c r="F337" s="43">
        <v>115330</v>
      </c>
      <c r="G337" s="43" t="s">
        <v>105</v>
      </c>
      <c r="H337">
        <v>3</v>
      </c>
      <c r="I337">
        <v>4</v>
      </c>
      <c r="J337">
        <v>4</v>
      </c>
      <c r="K337" s="7">
        <v>22.2</v>
      </c>
      <c r="L337" s="22">
        <v>19.8</v>
      </c>
      <c r="M337" s="43">
        <v>18.2</v>
      </c>
      <c r="N337" s="40">
        <f t="shared" si="14"/>
        <v>0.891891891891892</v>
      </c>
      <c r="O337" s="40">
        <f t="shared" si="16"/>
        <v>0.81981981981981977</v>
      </c>
      <c r="P337" s="4">
        <v>2.35</v>
      </c>
      <c r="Q337" s="72">
        <f>VLOOKUP('All inst data'!A337,'all mice (except april 2012)'!$A$2:$G$218,7,FALSE)</f>
        <v>73</v>
      </c>
    </row>
    <row r="338" spans="1:17" x14ac:dyDescent="0.25">
      <c r="A338" s="43">
        <v>115</v>
      </c>
      <c r="B338" s="43">
        <v>4</v>
      </c>
      <c r="C338" s="43">
        <v>4</v>
      </c>
      <c r="D338" s="43">
        <v>1</v>
      </c>
      <c r="E338" s="43">
        <v>130615</v>
      </c>
      <c r="F338" s="43">
        <v>115330</v>
      </c>
      <c r="G338" s="43" t="s">
        <v>105</v>
      </c>
      <c r="H338">
        <v>4</v>
      </c>
      <c r="I338">
        <v>409</v>
      </c>
      <c r="J338">
        <v>150</v>
      </c>
      <c r="K338" s="7">
        <v>21.2</v>
      </c>
      <c r="L338" s="22">
        <v>18.600000000000001</v>
      </c>
      <c r="M338" s="22">
        <v>17.100000000000001</v>
      </c>
      <c r="N338" s="40">
        <f t="shared" si="14"/>
        <v>0.87735849056603787</v>
      </c>
      <c r="O338" s="40">
        <f t="shared" si="16"/>
        <v>0.80660377358490576</v>
      </c>
      <c r="P338" s="4">
        <v>2.35</v>
      </c>
      <c r="Q338" s="72">
        <f>VLOOKUP('All inst data'!A338,'all mice (except april 2012)'!$A$2:$G$218,7,FALSE)</f>
        <v>73</v>
      </c>
    </row>
    <row r="339" spans="1:17" x14ac:dyDescent="0.25">
      <c r="A339" s="43">
        <v>116</v>
      </c>
      <c r="B339" s="43">
        <v>5</v>
      </c>
      <c r="C339" s="43">
        <v>4</v>
      </c>
      <c r="D339" s="43">
        <v>1</v>
      </c>
      <c r="E339" s="43">
        <v>130615</v>
      </c>
      <c r="F339" s="43">
        <v>121503</v>
      </c>
      <c r="G339" s="43" t="s">
        <v>106</v>
      </c>
      <c r="H339">
        <v>5</v>
      </c>
      <c r="I339">
        <v>2097</v>
      </c>
      <c r="J339">
        <v>488</v>
      </c>
      <c r="K339" s="7">
        <v>35.4</v>
      </c>
      <c r="L339" s="22">
        <v>30.2</v>
      </c>
      <c r="M339" s="43">
        <v>28.3</v>
      </c>
      <c r="N339" s="40">
        <f t="shared" si="14"/>
        <v>0.85310734463276838</v>
      </c>
      <c r="O339" s="40">
        <f t="shared" si="16"/>
        <v>0.79943502824858759</v>
      </c>
      <c r="P339" s="4">
        <v>2.7</v>
      </c>
      <c r="Q339" s="72">
        <f>VLOOKUP('All inst data'!A339,'all mice (except april 2012)'!$A$2:$G$218,7,FALSE)</f>
        <v>78</v>
      </c>
    </row>
    <row r="340" spans="1:17" x14ac:dyDescent="0.25">
      <c r="A340" s="43">
        <v>117</v>
      </c>
      <c r="B340" s="43">
        <v>6</v>
      </c>
      <c r="C340" s="43">
        <v>4</v>
      </c>
      <c r="D340" s="43">
        <v>1</v>
      </c>
      <c r="E340" s="43">
        <v>130615</v>
      </c>
      <c r="F340" s="43">
        <v>115330</v>
      </c>
      <c r="G340" s="43" t="s">
        <v>106</v>
      </c>
      <c r="H340" s="43">
        <v>6</v>
      </c>
      <c r="I340" s="43">
        <v>2218</v>
      </c>
      <c r="J340" s="43">
        <v>500</v>
      </c>
      <c r="K340" s="7">
        <v>37.1</v>
      </c>
      <c r="L340" s="43">
        <v>32.1</v>
      </c>
      <c r="M340" s="43">
        <v>30</v>
      </c>
      <c r="N340" s="40">
        <f t="shared" si="14"/>
        <v>0.86522911051212936</v>
      </c>
      <c r="O340" s="40">
        <f t="shared" si="16"/>
        <v>0.80862533692722371</v>
      </c>
      <c r="P340" s="4">
        <v>2.7</v>
      </c>
      <c r="Q340" s="72">
        <f>VLOOKUP('All inst data'!A340,'all mice (except april 2012)'!$A$2:$G$218,7,FALSE)</f>
        <v>78</v>
      </c>
    </row>
    <row r="341" spans="1:17" x14ac:dyDescent="0.25">
      <c r="A341" s="43">
        <v>118</v>
      </c>
      <c r="B341" s="43">
        <v>7</v>
      </c>
      <c r="C341" s="43">
        <v>4</v>
      </c>
      <c r="D341" s="43">
        <v>1</v>
      </c>
      <c r="E341" s="43">
        <v>130615</v>
      </c>
      <c r="F341" s="43">
        <v>115330</v>
      </c>
      <c r="G341" s="43" t="s">
        <v>56</v>
      </c>
      <c r="H341">
        <v>7</v>
      </c>
      <c r="I341">
        <v>2029</v>
      </c>
      <c r="J341">
        <v>464</v>
      </c>
      <c r="K341" s="7">
        <v>28</v>
      </c>
      <c r="L341" s="22">
        <v>24.5</v>
      </c>
      <c r="M341" s="43">
        <v>22.9</v>
      </c>
      <c r="N341" s="40">
        <f t="shared" si="14"/>
        <v>0.875</v>
      </c>
      <c r="O341" s="40">
        <f t="shared" si="16"/>
        <v>0.81785714285714284</v>
      </c>
      <c r="P341" s="4">
        <v>2.95</v>
      </c>
      <c r="Q341" s="72">
        <f>VLOOKUP('All inst data'!A341,'all mice (except april 2012)'!$A$2:$G$218,7,FALSE)</f>
        <v>80</v>
      </c>
    </row>
    <row r="342" spans="1:17" x14ac:dyDescent="0.25">
      <c r="A342" s="43">
        <v>119</v>
      </c>
      <c r="B342" s="43">
        <v>8</v>
      </c>
      <c r="C342" s="43">
        <v>4</v>
      </c>
      <c r="D342" s="43">
        <v>1</v>
      </c>
      <c r="E342" s="43">
        <v>130615</v>
      </c>
      <c r="F342" s="43">
        <v>115330</v>
      </c>
      <c r="G342" s="43" t="s">
        <v>56</v>
      </c>
      <c r="H342">
        <v>8</v>
      </c>
      <c r="I342">
        <v>283</v>
      </c>
      <c r="J342">
        <v>124</v>
      </c>
      <c r="K342" s="7">
        <v>27.5</v>
      </c>
      <c r="L342" s="22">
        <v>23.5</v>
      </c>
      <c r="M342" s="43">
        <v>21.9</v>
      </c>
      <c r="N342" s="40">
        <f t="shared" si="14"/>
        <v>0.8545454545454545</v>
      </c>
      <c r="O342" s="40">
        <f t="shared" si="16"/>
        <v>0.79636363636363627</v>
      </c>
      <c r="P342" s="4">
        <v>2.95</v>
      </c>
      <c r="Q342" s="72">
        <f>VLOOKUP('All inst data'!A342,'all mice (except april 2012)'!$A$2:$G$218,7,FALSE)</f>
        <v>80</v>
      </c>
    </row>
    <row r="343" spans="1:17" x14ac:dyDescent="0.25">
      <c r="A343" s="43">
        <v>120</v>
      </c>
      <c r="B343" s="43">
        <v>9</v>
      </c>
      <c r="C343" s="43">
        <v>4</v>
      </c>
      <c r="D343" s="43">
        <v>1</v>
      </c>
      <c r="E343" s="43">
        <v>130615</v>
      </c>
      <c r="F343" s="43">
        <v>115331</v>
      </c>
      <c r="G343" s="43" t="s">
        <v>55</v>
      </c>
      <c r="H343">
        <v>9</v>
      </c>
      <c r="I343">
        <v>150</v>
      </c>
      <c r="J343">
        <v>98</v>
      </c>
      <c r="K343" s="7">
        <v>26.2</v>
      </c>
      <c r="L343" s="22">
        <v>22</v>
      </c>
      <c r="M343" s="43">
        <v>20.5</v>
      </c>
      <c r="N343" s="40">
        <f t="shared" si="14"/>
        <v>0.83969465648854968</v>
      </c>
      <c r="O343" s="40">
        <f t="shared" si="16"/>
        <v>0.78244274809160308</v>
      </c>
      <c r="P343" s="4">
        <v>3.6</v>
      </c>
      <c r="Q343" s="72">
        <f>VLOOKUP('All inst data'!A343,'all mice (except april 2012)'!$A$2:$G$218,7,FALSE)</f>
        <v>80</v>
      </c>
    </row>
    <row r="344" spans="1:17" x14ac:dyDescent="0.25">
      <c r="A344" s="43">
        <v>121</v>
      </c>
      <c r="B344" s="43">
        <v>10</v>
      </c>
      <c r="C344" s="43">
        <v>4</v>
      </c>
      <c r="D344" s="43">
        <v>1</v>
      </c>
      <c r="E344" s="43">
        <v>130615</v>
      </c>
      <c r="F344" s="43">
        <v>115331</v>
      </c>
      <c r="G344" s="43" t="s">
        <v>55</v>
      </c>
      <c r="H344">
        <v>10</v>
      </c>
      <c r="I344">
        <v>6</v>
      </c>
      <c r="J344">
        <v>6</v>
      </c>
      <c r="K344" s="7">
        <v>28.9</v>
      </c>
      <c r="L344" s="22">
        <v>25.5</v>
      </c>
      <c r="M344" s="22">
        <v>23.6</v>
      </c>
      <c r="N344" s="40">
        <f t="shared" si="14"/>
        <v>0.88235294117647067</v>
      </c>
      <c r="O344" s="40">
        <f t="shared" si="16"/>
        <v>0.81660899653979246</v>
      </c>
      <c r="P344" s="4">
        <v>3.6</v>
      </c>
      <c r="Q344" s="72">
        <f>VLOOKUP('All inst data'!A344,'all mice (except april 2012)'!$A$2:$G$218,7,FALSE)</f>
        <v>80</v>
      </c>
    </row>
    <row r="345" spans="1:17" x14ac:dyDescent="0.25">
      <c r="A345" s="43">
        <v>122</v>
      </c>
      <c r="B345" s="43">
        <v>11</v>
      </c>
      <c r="C345" s="43">
        <v>4</v>
      </c>
      <c r="D345" s="43">
        <v>1</v>
      </c>
      <c r="E345" s="43">
        <v>130615</v>
      </c>
      <c r="F345" s="43">
        <v>115331</v>
      </c>
      <c r="G345" s="43" t="s">
        <v>107</v>
      </c>
      <c r="H345">
        <v>11</v>
      </c>
      <c r="I345">
        <v>1543</v>
      </c>
      <c r="J345">
        <v>376</v>
      </c>
      <c r="K345" s="7">
        <v>28.5</v>
      </c>
      <c r="L345" s="22">
        <v>25.7</v>
      </c>
      <c r="M345" s="22">
        <v>22.8</v>
      </c>
      <c r="N345" s="40">
        <f t="shared" si="14"/>
        <v>0.90175438596491231</v>
      </c>
      <c r="O345" s="40">
        <f t="shared" si="16"/>
        <v>0.8</v>
      </c>
      <c r="P345" s="4">
        <v>2.9</v>
      </c>
      <c r="Q345" s="72">
        <f>VLOOKUP('All inst data'!A345,'all mice (except april 2012)'!$A$2:$G$218,7,FALSE)</f>
        <v>80</v>
      </c>
    </row>
    <row r="346" spans="1:17" x14ac:dyDescent="0.25">
      <c r="A346" s="43">
        <v>123</v>
      </c>
      <c r="B346" s="43">
        <v>12</v>
      </c>
      <c r="C346" s="43">
        <v>4</v>
      </c>
      <c r="D346" s="43">
        <v>1</v>
      </c>
      <c r="E346" s="43">
        <v>130615</v>
      </c>
      <c r="F346" s="43">
        <v>115332</v>
      </c>
      <c r="G346" s="43" t="s">
        <v>107</v>
      </c>
      <c r="H346">
        <v>12</v>
      </c>
      <c r="I346">
        <v>32</v>
      </c>
      <c r="J346">
        <v>31</v>
      </c>
      <c r="K346" s="7">
        <v>29.6</v>
      </c>
      <c r="L346" s="22">
        <v>25.7</v>
      </c>
      <c r="M346" s="22">
        <v>23.2</v>
      </c>
      <c r="N346" s="40">
        <f t="shared" si="14"/>
        <v>0.8682432432432432</v>
      </c>
      <c r="O346" s="40">
        <f t="shared" si="16"/>
        <v>0.78378378378378377</v>
      </c>
      <c r="P346" s="4">
        <v>2.8</v>
      </c>
      <c r="Q346" s="72">
        <f>VLOOKUP('All inst data'!A346,'all mice (except april 2012)'!$A$2:$G$218,7,FALSE)</f>
        <v>80</v>
      </c>
    </row>
    <row r="347" spans="1:17" x14ac:dyDescent="0.25">
      <c r="A347" s="43">
        <v>112</v>
      </c>
      <c r="B347" s="43">
        <v>1</v>
      </c>
      <c r="C347" s="43">
        <v>4</v>
      </c>
      <c r="D347" s="43">
        <v>2</v>
      </c>
      <c r="E347" s="43">
        <v>130616</v>
      </c>
      <c r="F347" s="43">
        <v>145233</v>
      </c>
      <c r="G347" s="43" t="s">
        <v>130</v>
      </c>
      <c r="H347">
        <v>1</v>
      </c>
      <c r="I347">
        <v>2168</v>
      </c>
      <c r="J347">
        <v>500</v>
      </c>
      <c r="K347" s="7">
        <v>25.2</v>
      </c>
      <c r="L347" s="22">
        <v>23.2</v>
      </c>
      <c r="M347" s="22">
        <v>21.8</v>
      </c>
      <c r="N347" s="40">
        <f t="shared" si="14"/>
        <v>0.92063492063492058</v>
      </c>
      <c r="O347" s="40">
        <f t="shared" si="16"/>
        <v>0.86507936507936511</v>
      </c>
      <c r="P347" s="4">
        <v>3.3</v>
      </c>
      <c r="Q347" s="72">
        <f>VLOOKUP('All inst data'!A347,'all mice (except april 2012)'!$A$2:$G$218,7,FALSE)</f>
        <v>73</v>
      </c>
    </row>
    <row r="348" spans="1:17" x14ac:dyDescent="0.25">
      <c r="A348" s="43">
        <v>113</v>
      </c>
      <c r="B348" s="43">
        <v>2</v>
      </c>
      <c r="C348" s="43">
        <v>4</v>
      </c>
      <c r="D348" s="43">
        <v>2</v>
      </c>
      <c r="E348" s="43">
        <v>130616</v>
      </c>
      <c r="F348" s="43">
        <v>143154</v>
      </c>
      <c r="G348" s="43" t="s">
        <v>130</v>
      </c>
      <c r="H348">
        <v>2</v>
      </c>
      <c r="I348">
        <v>2203</v>
      </c>
      <c r="J348">
        <v>500</v>
      </c>
      <c r="K348" s="7">
        <v>27</v>
      </c>
      <c r="L348" s="22">
        <v>24.8</v>
      </c>
      <c r="M348" s="22">
        <v>23.2</v>
      </c>
      <c r="N348" s="40">
        <f t="shared" si="14"/>
        <v>0.91851851851851851</v>
      </c>
      <c r="O348" s="40">
        <f t="shared" si="16"/>
        <v>0.85925925925925928</v>
      </c>
      <c r="P348" s="4">
        <v>3.3</v>
      </c>
      <c r="Q348" s="72">
        <f>VLOOKUP('All inst data'!A348,'all mice (except april 2012)'!$A$2:$G$218,7,FALSE)</f>
        <v>73</v>
      </c>
    </row>
    <row r="349" spans="1:17" x14ac:dyDescent="0.25">
      <c r="A349" s="43">
        <v>114</v>
      </c>
      <c r="B349" s="43">
        <v>3</v>
      </c>
      <c r="C349" s="43">
        <v>4</v>
      </c>
      <c r="D349" s="43">
        <v>2</v>
      </c>
      <c r="E349" s="43">
        <v>130616</v>
      </c>
      <c r="F349" s="43">
        <v>143154</v>
      </c>
      <c r="G349" s="43" t="s">
        <v>105</v>
      </c>
      <c r="H349">
        <v>3</v>
      </c>
      <c r="I349">
        <v>2</v>
      </c>
      <c r="J349">
        <v>2</v>
      </c>
      <c r="K349" s="7">
        <v>22.2</v>
      </c>
      <c r="L349" s="22">
        <v>19.899999999999999</v>
      </c>
      <c r="M349" s="22">
        <v>17.899999999999999</v>
      </c>
      <c r="N349" s="40">
        <f t="shared" si="14"/>
        <v>0.89639639639639634</v>
      </c>
      <c r="O349" s="40">
        <f t="shared" si="16"/>
        <v>0.80630630630630629</v>
      </c>
      <c r="P349" s="4">
        <v>2.6</v>
      </c>
      <c r="Q349" s="72">
        <f>VLOOKUP('All inst data'!A349,'all mice (except april 2012)'!$A$2:$G$218,7,FALSE)</f>
        <v>73</v>
      </c>
    </row>
    <row r="350" spans="1:17" x14ac:dyDescent="0.25">
      <c r="A350" s="43">
        <v>115</v>
      </c>
      <c r="B350" s="43">
        <v>4</v>
      </c>
      <c r="C350" s="43">
        <v>4</v>
      </c>
      <c r="D350" s="43">
        <v>2</v>
      </c>
      <c r="E350" s="43">
        <v>130616</v>
      </c>
      <c r="F350" s="43">
        <v>143155</v>
      </c>
      <c r="G350" s="43" t="s">
        <v>105</v>
      </c>
      <c r="H350">
        <v>4</v>
      </c>
      <c r="I350">
        <v>680</v>
      </c>
      <c r="J350">
        <v>204</v>
      </c>
      <c r="K350" s="7">
        <v>21.2</v>
      </c>
      <c r="L350" s="22">
        <v>18.8</v>
      </c>
      <c r="M350" s="43">
        <v>17.3</v>
      </c>
      <c r="N350" s="40">
        <f t="shared" si="14"/>
        <v>0.8867924528301887</v>
      </c>
      <c r="O350" s="40">
        <f t="shared" si="16"/>
        <v>0.8160377358490567</v>
      </c>
      <c r="P350" s="4">
        <v>2.6</v>
      </c>
      <c r="Q350" s="72">
        <f>VLOOKUP('All inst data'!A350,'all mice (except april 2012)'!$A$2:$G$218,7,FALSE)</f>
        <v>73</v>
      </c>
    </row>
    <row r="351" spans="1:17" x14ac:dyDescent="0.25">
      <c r="A351" s="43">
        <v>116</v>
      </c>
      <c r="B351" s="43">
        <v>5</v>
      </c>
      <c r="C351" s="43">
        <v>4</v>
      </c>
      <c r="D351" s="43">
        <v>2</v>
      </c>
      <c r="E351" s="43">
        <v>130616</v>
      </c>
      <c r="F351" s="43">
        <v>145233</v>
      </c>
      <c r="G351" s="43" t="s">
        <v>106</v>
      </c>
      <c r="H351">
        <v>5</v>
      </c>
      <c r="I351">
        <v>2154</v>
      </c>
      <c r="J351">
        <v>500</v>
      </c>
      <c r="K351" s="7">
        <v>35.4</v>
      </c>
      <c r="L351" s="22">
        <v>30.8</v>
      </c>
      <c r="M351" s="22">
        <v>29</v>
      </c>
      <c r="N351" s="40">
        <f t="shared" si="14"/>
        <v>0.87005649717514133</v>
      </c>
      <c r="O351" s="40">
        <f t="shared" si="16"/>
        <v>0.8192090395480226</v>
      </c>
      <c r="P351" s="4">
        <v>2.9</v>
      </c>
      <c r="Q351" s="72">
        <f>VLOOKUP('All inst data'!A351,'all mice (except april 2012)'!$A$2:$G$218,7,FALSE)</f>
        <v>78</v>
      </c>
    </row>
    <row r="352" spans="1:17" x14ac:dyDescent="0.25">
      <c r="A352" s="43">
        <v>117</v>
      </c>
      <c r="B352" s="43">
        <v>6</v>
      </c>
      <c r="C352" s="43">
        <v>4</v>
      </c>
      <c r="D352" s="43">
        <v>2</v>
      </c>
      <c r="E352" s="43">
        <v>130616</v>
      </c>
      <c r="F352" s="43">
        <v>143155</v>
      </c>
      <c r="G352" s="43" t="s">
        <v>106</v>
      </c>
      <c r="H352">
        <v>6</v>
      </c>
      <c r="I352">
        <v>2262</v>
      </c>
      <c r="J352">
        <v>500</v>
      </c>
      <c r="K352" s="7">
        <v>37.1</v>
      </c>
      <c r="L352" s="22">
        <v>32.4</v>
      </c>
      <c r="M352" s="43">
        <v>30.8</v>
      </c>
      <c r="N352" s="40">
        <f t="shared" si="14"/>
        <v>0.87331536388140152</v>
      </c>
      <c r="O352" s="40">
        <f t="shared" si="16"/>
        <v>0.83018867924528306</v>
      </c>
      <c r="P352" s="4">
        <v>2.9</v>
      </c>
      <c r="Q352" s="72">
        <f>VLOOKUP('All inst data'!A352,'all mice (except april 2012)'!$A$2:$G$218,7,FALSE)</f>
        <v>78</v>
      </c>
    </row>
    <row r="353" spans="1:17" x14ac:dyDescent="0.25">
      <c r="A353" s="43">
        <v>118</v>
      </c>
      <c r="B353" s="43">
        <v>7</v>
      </c>
      <c r="C353" s="43">
        <v>4</v>
      </c>
      <c r="D353" s="43">
        <v>2</v>
      </c>
      <c r="E353" s="43">
        <v>130616</v>
      </c>
      <c r="F353" s="43">
        <v>143155</v>
      </c>
      <c r="G353" s="43" t="s">
        <v>56</v>
      </c>
      <c r="H353">
        <v>7</v>
      </c>
      <c r="I353">
        <v>2228</v>
      </c>
      <c r="J353">
        <v>500</v>
      </c>
      <c r="K353" s="7">
        <v>28</v>
      </c>
      <c r="L353" s="22">
        <v>25</v>
      </c>
      <c r="M353" s="43">
        <v>23.3</v>
      </c>
      <c r="N353" s="40">
        <f t="shared" si="14"/>
        <v>0.8928571428571429</v>
      </c>
      <c r="O353" s="40">
        <f t="shared" si="16"/>
        <v>0.83214285714285718</v>
      </c>
      <c r="P353" s="4">
        <v>3.1</v>
      </c>
      <c r="Q353" s="72">
        <f>VLOOKUP('All inst data'!A353,'all mice (except april 2012)'!$A$2:$G$218,7,FALSE)</f>
        <v>80</v>
      </c>
    </row>
    <row r="354" spans="1:17" x14ac:dyDescent="0.25">
      <c r="A354" s="43">
        <v>119</v>
      </c>
      <c r="B354" s="43">
        <v>8</v>
      </c>
      <c r="C354" s="43">
        <v>4</v>
      </c>
      <c r="D354" s="43">
        <v>2</v>
      </c>
      <c r="E354" s="43">
        <v>130616</v>
      </c>
      <c r="F354" s="43">
        <v>143155</v>
      </c>
      <c r="G354" s="43" t="s">
        <v>56</v>
      </c>
      <c r="H354">
        <v>8</v>
      </c>
      <c r="I354">
        <v>2275</v>
      </c>
      <c r="J354">
        <v>500</v>
      </c>
      <c r="K354" s="7">
        <v>27.5</v>
      </c>
      <c r="L354" s="22">
        <v>23.9</v>
      </c>
      <c r="M354" s="43">
        <v>23</v>
      </c>
      <c r="N354" s="40">
        <f t="shared" si="14"/>
        <v>0.86909090909090903</v>
      </c>
      <c r="O354" s="40">
        <f t="shared" si="16"/>
        <v>0.83636363636363631</v>
      </c>
      <c r="P354" s="4">
        <v>3.1</v>
      </c>
      <c r="Q354" s="72">
        <f>VLOOKUP('All inst data'!A354,'all mice (except april 2012)'!$A$2:$G$218,7,FALSE)</f>
        <v>80</v>
      </c>
    </row>
    <row r="355" spans="1:17" x14ac:dyDescent="0.25">
      <c r="A355" s="43">
        <v>120</v>
      </c>
      <c r="B355" s="43">
        <v>9</v>
      </c>
      <c r="C355" s="43">
        <v>4</v>
      </c>
      <c r="D355" s="43">
        <v>2</v>
      </c>
      <c r="E355" s="43">
        <v>130616</v>
      </c>
      <c r="F355" s="43">
        <v>143631</v>
      </c>
      <c r="G355" s="43" t="s">
        <v>55</v>
      </c>
      <c r="H355">
        <v>9</v>
      </c>
      <c r="I355">
        <v>792</v>
      </c>
      <c r="J355">
        <v>228</v>
      </c>
      <c r="K355" s="7">
        <v>26.2</v>
      </c>
      <c r="L355" s="22">
        <v>22.5</v>
      </c>
      <c r="M355" s="22">
        <v>20.8</v>
      </c>
      <c r="N355" s="40">
        <f t="shared" si="14"/>
        <v>0.85877862595419852</v>
      </c>
      <c r="O355" s="40">
        <f t="shared" si="16"/>
        <v>0.79389312977099247</v>
      </c>
      <c r="P355" s="4">
        <v>3.85</v>
      </c>
      <c r="Q355" s="72">
        <f>VLOOKUP('All inst data'!A355,'all mice (except april 2012)'!$A$2:$G$218,7,FALSE)</f>
        <v>80</v>
      </c>
    </row>
    <row r="356" spans="1:17" x14ac:dyDescent="0.25">
      <c r="A356" s="43">
        <v>121</v>
      </c>
      <c r="B356" s="43">
        <v>10</v>
      </c>
      <c r="C356" s="43">
        <v>4</v>
      </c>
      <c r="D356" s="43">
        <v>2</v>
      </c>
      <c r="E356" s="43">
        <v>130616</v>
      </c>
      <c r="F356" s="43">
        <v>143631</v>
      </c>
      <c r="G356" s="43" t="s">
        <v>55</v>
      </c>
      <c r="H356">
        <v>10</v>
      </c>
      <c r="I356">
        <v>78</v>
      </c>
      <c r="J356">
        <v>63</v>
      </c>
      <c r="K356" s="7">
        <v>28.9</v>
      </c>
      <c r="L356" s="22">
        <v>26</v>
      </c>
      <c r="M356" s="22">
        <v>24.4</v>
      </c>
      <c r="N356" s="40">
        <f t="shared" si="14"/>
        <v>0.89965397923875434</v>
      </c>
      <c r="O356" s="40">
        <f t="shared" si="16"/>
        <v>0.84429065743944631</v>
      </c>
      <c r="P356" s="4">
        <v>3.85</v>
      </c>
      <c r="Q356" s="72">
        <f>VLOOKUP('All inst data'!A356,'all mice (except april 2012)'!$A$2:$G$218,7,FALSE)</f>
        <v>80</v>
      </c>
    </row>
    <row r="357" spans="1:17" x14ac:dyDescent="0.25">
      <c r="A357" s="43">
        <v>122</v>
      </c>
      <c r="B357" s="43">
        <v>11</v>
      </c>
      <c r="C357" s="43">
        <v>4</v>
      </c>
      <c r="D357" s="43">
        <v>2</v>
      </c>
      <c r="E357" s="43">
        <v>130616</v>
      </c>
      <c r="F357" s="43">
        <v>143631</v>
      </c>
      <c r="G357" s="43" t="s">
        <v>107</v>
      </c>
      <c r="H357">
        <v>11</v>
      </c>
      <c r="I357">
        <v>2165</v>
      </c>
      <c r="J357">
        <v>500</v>
      </c>
      <c r="K357" s="7">
        <v>28.5</v>
      </c>
      <c r="L357" s="22">
        <v>25.5</v>
      </c>
      <c r="M357" s="43">
        <v>23.5</v>
      </c>
      <c r="N357" s="40">
        <f t="shared" si="14"/>
        <v>0.89473684210526316</v>
      </c>
      <c r="O357" s="40">
        <f t="shared" si="16"/>
        <v>0.82456140350877194</v>
      </c>
      <c r="P357" s="4">
        <v>3.1</v>
      </c>
      <c r="Q357" s="72">
        <f>VLOOKUP('All inst data'!A357,'all mice (except april 2012)'!$A$2:$G$218,7,FALSE)</f>
        <v>80</v>
      </c>
    </row>
    <row r="358" spans="1:17" x14ac:dyDescent="0.25">
      <c r="A358" s="43">
        <v>123</v>
      </c>
      <c r="B358" s="43">
        <v>12</v>
      </c>
      <c r="C358" s="43">
        <v>4</v>
      </c>
      <c r="D358" s="43">
        <v>2</v>
      </c>
      <c r="E358" s="43">
        <v>130616</v>
      </c>
      <c r="F358" s="43">
        <v>143631</v>
      </c>
      <c r="G358" s="43" t="s">
        <v>107</v>
      </c>
      <c r="H358">
        <v>12</v>
      </c>
      <c r="I358">
        <v>275</v>
      </c>
      <c r="J358">
        <v>122</v>
      </c>
      <c r="K358" s="7">
        <v>29.6</v>
      </c>
      <c r="L358" s="22">
        <v>25.8</v>
      </c>
      <c r="M358" s="22">
        <v>23</v>
      </c>
      <c r="N358" s="40">
        <f t="shared" si="14"/>
        <v>0.8716216216216216</v>
      </c>
      <c r="O358" s="40">
        <f t="shared" si="16"/>
        <v>0.77702702702702697</v>
      </c>
      <c r="P358" s="4">
        <v>3.3</v>
      </c>
      <c r="Q358" s="72">
        <f>VLOOKUP('All inst data'!A358,'all mice (except april 2012)'!$A$2:$G$218,7,FALSE)</f>
        <v>80</v>
      </c>
    </row>
    <row r="359" spans="1:17" x14ac:dyDescent="0.25">
      <c r="A359" s="43">
        <v>112</v>
      </c>
      <c r="B359" s="43">
        <v>1</v>
      </c>
      <c r="C359" s="43">
        <v>4</v>
      </c>
      <c r="D359" s="43">
        <v>3</v>
      </c>
      <c r="E359" s="43">
        <v>130617</v>
      </c>
      <c r="F359" s="43">
        <v>142742</v>
      </c>
      <c r="G359" s="43" t="s">
        <v>130</v>
      </c>
      <c r="H359">
        <v>1</v>
      </c>
      <c r="I359">
        <v>2089</v>
      </c>
      <c r="J359">
        <v>484</v>
      </c>
      <c r="K359" s="7">
        <v>25.2</v>
      </c>
      <c r="L359" s="22">
        <v>23.7</v>
      </c>
      <c r="M359" s="43">
        <v>22.6</v>
      </c>
      <c r="N359" s="40">
        <f t="shared" si="14"/>
        <v>0.94047619047619047</v>
      </c>
      <c r="O359" s="40">
        <f t="shared" si="16"/>
        <v>0.89682539682539686</v>
      </c>
      <c r="P359" s="4" t="s">
        <v>139</v>
      </c>
      <c r="Q359" s="72">
        <f>VLOOKUP('All inst data'!A359,'all mice (except april 2012)'!$A$2:$G$218,7,FALSE)</f>
        <v>73</v>
      </c>
    </row>
    <row r="360" spans="1:17" x14ac:dyDescent="0.25">
      <c r="A360" s="43">
        <v>113</v>
      </c>
      <c r="B360" s="43">
        <v>2</v>
      </c>
      <c r="C360" s="43">
        <v>4</v>
      </c>
      <c r="D360" s="43">
        <v>3</v>
      </c>
      <c r="E360" s="43">
        <v>130617</v>
      </c>
      <c r="F360" s="43">
        <v>141056</v>
      </c>
      <c r="G360" s="43" t="s">
        <v>130</v>
      </c>
      <c r="H360">
        <v>2</v>
      </c>
      <c r="I360">
        <v>2189</v>
      </c>
      <c r="J360">
        <v>500</v>
      </c>
      <c r="K360" s="7">
        <v>27</v>
      </c>
      <c r="L360" s="22">
        <v>25.3</v>
      </c>
      <c r="M360" s="43">
        <v>23.5</v>
      </c>
      <c r="N360" s="40">
        <f t="shared" si="14"/>
        <v>0.93703703703703711</v>
      </c>
      <c r="O360" s="40">
        <f t="shared" si="16"/>
        <v>0.87037037037037035</v>
      </c>
      <c r="P360" s="4" t="s">
        <v>139</v>
      </c>
      <c r="Q360" s="72">
        <f>VLOOKUP('All inst data'!A360,'all mice (except april 2012)'!$A$2:$G$218,7,FALSE)</f>
        <v>73</v>
      </c>
    </row>
    <row r="361" spans="1:17" x14ac:dyDescent="0.25">
      <c r="A361" s="43">
        <v>114</v>
      </c>
      <c r="B361" s="43">
        <v>3</v>
      </c>
      <c r="C361" s="43">
        <v>4</v>
      </c>
      <c r="D361" s="43">
        <v>3</v>
      </c>
      <c r="E361" s="43">
        <v>130617</v>
      </c>
      <c r="F361" s="43">
        <v>140759</v>
      </c>
      <c r="G361" s="43" t="s">
        <v>105</v>
      </c>
      <c r="H361">
        <v>3</v>
      </c>
      <c r="I361">
        <v>1</v>
      </c>
      <c r="J361">
        <v>1</v>
      </c>
      <c r="K361" s="7">
        <v>22.2</v>
      </c>
      <c r="L361" s="22">
        <v>20.5</v>
      </c>
      <c r="M361" s="22">
        <v>18.2</v>
      </c>
      <c r="N361" s="40">
        <f t="shared" si="14"/>
        <v>0.92342342342342343</v>
      </c>
      <c r="O361" s="40">
        <f t="shared" si="16"/>
        <v>0.81981981981981977</v>
      </c>
      <c r="P361" s="4" t="s">
        <v>139</v>
      </c>
      <c r="Q361" s="72">
        <f>VLOOKUP('All inst data'!A361,'all mice (except april 2012)'!$A$2:$G$218,7,FALSE)</f>
        <v>73</v>
      </c>
    </row>
    <row r="362" spans="1:17" x14ac:dyDescent="0.25">
      <c r="A362" s="43">
        <v>115</v>
      </c>
      <c r="B362" s="43">
        <v>4</v>
      </c>
      <c r="C362" s="43">
        <v>4</v>
      </c>
      <c r="D362" s="43">
        <v>3</v>
      </c>
      <c r="E362" s="43">
        <v>130617</v>
      </c>
      <c r="F362" s="43">
        <v>140759</v>
      </c>
      <c r="G362" s="43" t="s">
        <v>105</v>
      </c>
      <c r="H362">
        <v>4</v>
      </c>
      <c r="I362">
        <v>511</v>
      </c>
      <c r="J362">
        <v>170</v>
      </c>
      <c r="K362" s="7">
        <v>21.2</v>
      </c>
      <c r="L362" s="22">
        <v>19.2</v>
      </c>
      <c r="M362" s="22">
        <v>17.5</v>
      </c>
      <c r="N362" s="40">
        <f t="shared" si="14"/>
        <v>0.90566037735849059</v>
      </c>
      <c r="O362" s="40">
        <f t="shared" si="16"/>
        <v>0.82547169811320753</v>
      </c>
      <c r="P362" s="4" t="s">
        <v>139</v>
      </c>
      <c r="Q362" s="72">
        <f>VLOOKUP('All inst data'!A362,'all mice (except april 2012)'!$A$2:$G$218,7,FALSE)</f>
        <v>73</v>
      </c>
    </row>
    <row r="363" spans="1:17" x14ac:dyDescent="0.25">
      <c r="A363" s="43">
        <v>116</v>
      </c>
      <c r="B363" s="43">
        <v>5</v>
      </c>
      <c r="C363" s="43">
        <v>4</v>
      </c>
      <c r="D363" s="43">
        <v>3</v>
      </c>
      <c r="E363" s="43">
        <v>130617</v>
      </c>
      <c r="F363" s="43">
        <v>142742</v>
      </c>
      <c r="G363" s="43" t="s">
        <v>106</v>
      </c>
      <c r="H363">
        <v>5</v>
      </c>
      <c r="I363">
        <v>2168</v>
      </c>
      <c r="J363">
        <v>500</v>
      </c>
      <c r="K363" s="7">
        <v>35.4</v>
      </c>
      <c r="L363" s="22">
        <v>31.7</v>
      </c>
      <c r="M363" s="22">
        <v>30.2</v>
      </c>
      <c r="N363" s="40">
        <f t="shared" si="14"/>
        <v>0.89548022598870058</v>
      </c>
      <c r="O363" s="40">
        <f t="shared" si="16"/>
        <v>0.85310734463276838</v>
      </c>
      <c r="P363" s="4" t="s">
        <v>139</v>
      </c>
      <c r="Q363" s="72">
        <f>VLOOKUP('All inst data'!A363,'all mice (except april 2012)'!$A$2:$G$218,7,FALSE)</f>
        <v>78</v>
      </c>
    </row>
    <row r="364" spans="1:17" x14ac:dyDescent="0.25">
      <c r="A364" s="43">
        <v>117</v>
      </c>
      <c r="B364" s="43">
        <v>6</v>
      </c>
      <c r="C364" s="43">
        <v>4</v>
      </c>
      <c r="D364" s="43">
        <v>3</v>
      </c>
      <c r="E364" s="43">
        <v>130617</v>
      </c>
      <c r="F364" s="43">
        <v>141057</v>
      </c>
      <c r="G364" s="43" t="s">
        <v>106</v>
      </c>
      <c r="H364">
        <v>6</v>
      </c>
      <c r="I364">
        <v>2372</v>
      </c>
      <c r="J364">
        <v>500</v>
      </c>
      <c r="K364" s="7">
        <v>37.1</v>
      </c>
      <c r="L364" s="22">
        <v>33</v>
      </c>
      <c r="M364" s="43">
        <v>30.4</v>
      </c>
      <c r="N364" s="40">
        <f t="shared" si="14"/>
        <v>0.88948787061994605</v>
      </c>
      <c r="O364" s="40">
        <f t="shared" si="16"/>
        <v>0.81940700808625333</v>
      </c>
      <c r="P364" s="4" t="s">
        <v>139</v>
      </c>
      <c r="Q364" s="72">
        <f>VLOOKUP('All inst data'!A364,'all mice (except april 2012)'!$A$2:$G$218,7,FALSE)</f>
        <v>78</v>
      </c>
    </row>
    <row r="365" spans="1:17" x14ac:dyDescent="0.25">
      <c r="A365" s="43">
        <v>118</v>
      </c>
      <c r="B365" s="43">
        <v>7</v>
      </c>
      <c r="C365" s="43">
        <v>4</v>
      </c>
      <c r="D365" s="43">
        <v>3</v>
      </c>
      <c r="E365" s="43">
        <v>130617</v>
      </c>
      <c r="F365" s="43">
        <v>140759</v>
      </c>
      <c r="G365" s="43" t="s">
        <v>56</v>
      </c>
      <c r="H365">
        <v>7</v>
      </c>
      <c r="I365">
        <v>2280</v>
      </c>
      <c r="J365">
        <v>500</v>
      </c>
      <c r="K365" s="7">
        <v>28</v>
      </c>
      <c r="L365" s="22">
        <v>25.8</v>
      </c>
      <c r="M365" s="22">
        <v>23.5</v>
      </c>
      <c r="N365" s="40">
        <f t="shared" si="14"/>
        <v>0.92142857142857149</v>
      </c>
      <c r="O365" s="40">
        <f t="shared" si="16"/>
        <v>0.8392857142857143</v>
      </c>
      <c r="P365" s="4" t="s">
        <v>139</v>
      </c>
      <c r="Q365" s="72">
        <f>VLOOKUP('All inst data'!A365,'all mice (except april 2012)'!$A$2:$G$218,7,FALSE)</f>
        <v>80</v>
      </c>
    </row>
    <row r="366" spans="1:17" x14ac:dyDescent="0.25">
      <c r="A366" s="43">
        <v>119</v>
      </c>
      <c r="B366" s="43">
        <v>8</v>
      </c>
      <c r="C366" s="43">
        <v>4</v>
      </c>
      <c r="D366" s="43">
        <v>3</v>
      </c>
      <c r="E366" s="43">
        <v>130617</v>
      </c>
      <c r="F366" s="43">
        <v>140759</v>
      </c>
      <c r="G366" s="43" t="s">
        <v>56</v>
      </c>
      <c r="H366">
        <v>8</v>
      </c>
      <c r="I366">
        <v>2358</v>
      </c>
      <c r="J366">
        <v>500</v>
      </c>
      <c r="K366" s="7">
        <v>27.5</v>
      </c>
      <c r="L366" s="22">
        <v>24.7</v>
      </c>
      <c r="M366" s="43">
        <v>22.8</v>
      </c>
      <c r="N366" s="40">
        <f t="shared" si="14"/>
        <v>0.89818181818181819</v>
      </c>
      <c r="O366" s="40">
        <f t="shared" si="16"/>
        <v>0.8290909090909091</v>
      </c>
      <c r="P366" s="4" t="s">
        <v>139</v>
      </c>
      <c r="Q366" s="72">
        <f>VLOOKUP('All inst data'!A366,'all mice (except april 2012)'!$A$2:$G$218,7,FALSE)</f>
        <v>80</v>
      </c>
    </row>
    <row r="367" spans="1:17" x14ac:dyDescent="0.25">
      <c r="A367" s="43">
        <v>120</v>
      </c>
      <c r="B367" s="43">
        <v>9</v>
      </c>
      <c r="C367" s="43">
        <v>4</v>
      </c>
      <c r="D367" s="43">
        <v>3</v>
      </c>
      <c r="E367" s="43">
        <v>130617</v>
      </c>
      <c r="F367" s="43">
        <v>140325</v>
      </c>
      <c r="G367" s="43" t="s">
        <v>55</v>
      </c>
      <c r="H367">
        <v>9</v>
      </c>
      <c r="I367">
        <v>200</v>
      </c>
      <c r="J367">
        <v>109</v>
      </c>
      <c r="K367" s="7">
        <v>26.2</v>
      </c>
      <c r="L367" s="22">
        <v>23.3</v>
      </c>
      <c r="M367" s="22">
        <v>22.1</v>
      </c>
      <c r="N367" s="40">
        <f t="shared" si="14"/>
        <v>0.88931297709923673</v>
      </c>
      <c r="O367" s="40">
        <f t="shared" ref="O367:O398" si="17">M367/K367</f>
        <v>0.84351145038167952</v>
      </c>
      <c r="P367" s="4" t="s">
        <v>139</v>
      </c>
      <c r="Q367" s="72">
        <f>VLOOKUP('All inst data'!A367,'all mice (except april 2012)'!$A$2:$G$218,7,FALSE)</f>
        <v>80</v>
      </c>
    </row>
    <row r="368" spans="1:17" x14ac:dyDescent="0.25">
      <c r="A368" s="43">
        <v>121</v>
      </c>
      <c r="B368" s="43">
        <v>10</v>
      </c>
      <c r="C368" s="43">
        <v>4</v>
      </c>
      <c r="D368" s="43">
        <v>3</v>
      </c>
      <c r="E368" s="43">
        <v>130617</v>
      </c>
      <c r="F368" s="43">
        <v>140326</v>
      </c>
      <c r="G368" s="43" t="s">
        <v>55</v>
      </c>
      <c r="H368">
        <v>10</v>
      </c>
      <c r="I368">
        <v>236</v>
      </c>
      <c r="J368">
        <v>117</v>
      </c>
      <c r="K368" s="7">
        <v>28.9</v>
      </c>
      <c r="L368" s="22">
        <v>26.7</v>
      </c>
      <c r="M368" s="43">
        <v>25.5</v>
      </c>
      <c r="N368" s="40">
        <f t="shared" si="14"/>
        <v>0.92387543252595161</v>
      </c>
      <c r="O368" s="40">
        <f t="shared" si="17"/>
        <v>0.88235294117647067</v>
      </c>
      <c r="P368" s="4" t="s">
        <v>139</v>
      </c>
      <c r="Q368" s="72">
        <f>VLOOKUP('All inst data'!A368,'all mice (except april 2012)'!$A$2:$G$218,7,FALSE)</f>
        <v>80</v>
      </c>
    </row>
    <row r="369" spans="1:17" x14ac:dyDescent="0.25">
      <c r="A369" s="43">
        <v>122</v>
      </c>
      <c r="B369" s="43">
        <v>11</v>
      </c>
      <c r="C369" s="43">
        <v>4</v>
      </c>
      <c r="D369" s="43">
        <v>3</v>
      </c>
      <c r="E369" s="43">
        <v>130617</v>
      </c>
      <c r="F369" s="43">
        <v>140326</v>
      </c>
      <c r="G369" s="43" t="s">
        <v>107</v>
      </c>
      <c r="H369">
        <v>11</v>
      </c>
      <c r="I369">
        <v>2169</v>
      </c>
      <c r="J369">
        <v>500</v>
      </c>
      <c r="K369" s="7">
        <v>28.5</v>
      </c>
      <c r="L369" s="22">
        <v>26.1</v>
      </c>
      <c r="M369" s="22">
        <v>23.7</v>
      </c>
      <c r="N369" s="40">
        <f t="shared" si="14"/>
        <v>0.9157894736842106</v>
      </c>
      <c r="O369" s="40">
        <f t="shared" si="17"/>
        <v>0.83157894736842097</v>
      </c>
      <c r="P369" s="4" t="s">
        <v>139</v>
      </c>
      <c r="Q369" s="72">
        <f>VLOOKUP('All inst data'!A369,'all mice (except april 2012)'!$A$2:$G$218,7,FALSE)</f>
        <v>80</v>
      </c>
    </row>
    <row r="370" spans="1:17" x14ac:dyDescent="0.25">
      <c r="A370" s="43">
        <v>123</v>
      </c>
      <c r="B370" s="43">
        <v>12</v>
      </c>
      <c r="C370" s="43">
        <v>4</v>
      </c>
      <c r="D370" s="43">
        <v>3</v>
      </c>
      <c r="E370" s="43">
        <v>130617</v>
      </c>
      <c r="F370" s="43">
        <v>140326</v>
      </c>
      <c r="G370" s="43" t="s">
        <v>107</v>
      </c>
      <c r="H370">
        <v>12</v>
      </c>
      <c r="I370">
        <v>475</v>
      </c>
      <c r="J370">
        <v>164</v>
      </c>
      <c r="K370" s="7">
        <v>29.6</v>
      </c>
      <c r="L370" s="22">
        <v>26.6</v>
      </c>
      <c r="M370" s="43">
        <v>23.8</v>
      </c>
      <c r="N370" s="40">
        <f t="shared" si="14"/>
        <v>0.89864864864864868</v>
      </c>
      <c r="O370" s="40">
        <f t="shared" si="17"/>
        <v>0.80405405405405406</v>
      </c>
      <c r="P370" s="4" t="s">
        <v>139</v>
      </c>
      <c r="Q370" s="72">
        <f>VLOOKUP('All inst data'!A370,'all mice (except april 2012)'!$A$2:$G$218,7,FALSE)</f>
        <v>80</v>
      </c>
    </row>
    <row r="371" spans="1:17" x14ac:dyDescent="0.25">
      <c r="A371" s="43">
        <v>124</v>
      </c>
      <c r="B371" s="43">
        <v>13</v>
      </c>
      <c r="C371" s="43">
        <v>4</v>
      </c>
      <c r="D371" s="43">
        <v>1</v>
      </c>
      <c r="E371" s="43">
        <v>130618</v>
      </c>
      <c r="F371" s="43">
        <v>114535</v>
      </c>
      <c r="G371" s="43" t="s">
        <v>110</v>
      </c>
      <c r="H371">
        <v>1</v>
      </c>
      <c r="I371">
        <v>38</v>
      </c>
      <c r="J371">
        <v>38</v>
      </c>
      <c r="K371" s="7">
        <v>20.5</v>
      </c>
      <c r="L371" s="22">
        <v>19.100000000000001</v>
      </c>
      <c r="M371" s="43">
        <v>16.7</v>
      </c>
      <c r="N371" s="40">
        <f t="shared" si="14"/>
        <v>0.93170731707317078</v>
      </c>
      <c r="O371" s="40">
        <f t="shared" si="17"/>
        <v>0.81463414634146336</v>
      </c>
      <c r="P371" s="4">
        <v>3.55</v>
      </c>
      <c r="Q371" s="72">
        <f>VLOOKUP('All inst data'!A371,'all mice (except april 2012)'!$A$2:$G$218,7,FALSE)</f>
        <v>69</v>
      </c>
    </row>
    <row r="372" spans="1:17" x14ac:dyDescent="0.25">
      <c r="A372" s="43">
        <v>125</v>
      </c>
      <c r="B372" s="43">
        <v>14</v>
      </c>
      <c r="C372" s="43">
        <v>4</v>
      </c>
      <c r="D372" s="43">
        <v>1</v>
      </c>
      <c r="E372" s="43">
        <v>130618</v>
      </c>
      <c r="F372" s="43">
        <v>110923</v>
      </c>
      <c r="G372" s="43" t="s">
        <v>110</v>
      </c>
      <c r="H372">
        <v>2</v>
      </c>
      <c r="I372">
        <v>1284</v>
      </c>
      <c r="J372">
        <v>322</v>
      </c>
      <c r="K372" s="7">
        <v>20.2</v>
      </c>
      <c r="L372" s="22">
        <v>18.399999999999999</v>
      </c>
      <c r="M372" s="43">
        <v>16.3</v>
      </c>
      <c r="N372" s="40">
        <f t="shared" si="14"/>
        <v>0.91089108910891081</v>
      </c>
      <c r="O372" s="40">
        <f t="shared" si="17"/>
        <v>0.80693069306930698</v>
      </c>
      <c r="P372" s="4">
        <v>3.55</v>
      </c>
      <c r="Q372" s="72">
        <f>VLOOKUP('All inst data'!A372,'all mice (except april 2012)'!$A$2:$G$218,7,FALSE)</f>
        <v>69</v>
      </c>
    </row>
    <row r="373" spans="1:17" x14ac:dyDescent="0.25">
      <c r="A373" s="43">
        <v>126</v>
      </c>
      <c r="B373" s="43">
        <v>15</v>
      </c>
      <c r="C373" s="43">
        <v>4</v>
      </c>
      <c r="D373" s="43">
        <v>1</v>
      </c>
      <c r="E373" s="43">
        <v>130618</v>
      </c>
      <c r="F373" s="43">
        <v>110700</v>
      </c>
      <c r="G373" s="43" t="s">
        <v>111</v>
      </c>
      <c r="H373">
        <v>3</v>
      </c>
      <c r="I373">
        <v>1216</v>
      </c>
      <c r="J373">
        <v>310</v>
      </c>
      <c r="K373" s="7">
        <v>31.9</v>
      </c>
      <c r="L373" s="22">
        <v>27.1</v>
      </c>
      <c r="M373" s="22">
        <v>24.9</v>
      </c>
      <c r="N373" s="40">
        <f t="shared" si="14"/>
        <v>0.84952978056426343</v>
      </c>
      <c r="O373" s="40">
        <f t="shared" si="17"/>
        <v>0.78056426332288398</v>
      </c>
      <c r="P373" s="4">
        <v>3.95</v>
      </c>
      <c r="Q373" s="72">
        <f>VLOOKUP('All inst data'!A373,'all mice (except april 2012)'!$A$2:$G$218,7,FALSE)</f>
        <v>69</v>
      </c>
    </row>
    <row r="374" spans="1:17" ht="20.25" customHeight="1" x14ac:dyDescent="0.25">
      <c r="A374" s="43">
        <v>127</v>
      </c>
      <c r="B374" s="43">
        <v>16</v>
      </c>
      <c r="C374" s="43">
        <v>4</v>
      </c>
      <c r="D374" s="43">
        <v>1</v>
      </c>
      <c r="E374" s="43">
        <v>130618</v>
      </c>
      <c r="F374" s="43">
        <v>110700</v>
      </c>
      <c r="G374" s="43" t="s">
        <v>111</v>
      </c>
      <c r="H374">
        <v>4</v>
      </c>
      <c r="I374">
        <v>176</v>
      </c>
      <c r="J374">
        <v>103</v>
      </c>
      <c r="K374" s="7">
        <v>27.2</v>
      </c>
      <c r="L374" s="22">
        <v>23.5</v>
      </c>
      <c r="M374" s="22">
        <v>21.9</v>
      </c>
      <c r="N374" s="40">
        <f t="shared" si="14"/>
        <v>0.86397058823529416</v>
      </c>
      <c r="O374" s="40">
        <f t="shared" si="17"/>
        <v>0.80514705882352933</v>
      </c>
      <c r="P374" s="4">
        <v>3.95</v>
      </c>
      <c r="Q374" s="72">
        <f>VLOOKUP('All inst data'!A374,'all mice (except april 2012)'!$A$2:$G$218,7,FALSE)</f>
        <v>69</v>
      </c>
    </row>
    <row r="375" spans="1:17" x14ac:dyDescent="0.25">
      <c r="A375" s="43">
        <v>128</v>
      </c>
      <c r="B375" s="43">
        <v>17</v>
      </c>
      <c r="C375" s="43">
        <v>4</v>
      </c>
      <c r="D375" s="43">
        <v>1</v>
      </c>
      <c r="E375" s="43">
        <v>130618</v>
      </c>
      <c r="F375" s="43">
        <v>114536</v>
      </c>
      <c r="G375" s="43" t="s">
        <v>501</v>
      </c>
      <c r="H375">
        <v>5</v>
      </c>
      <c r="I375">
        <v>4</v>
      </c>
      <c r="J375">
        <v>4</v>
      </c>
      <c r="K375" s="7">
        <v>23</v>
      </c>
      <c r="L375" s="22">
        <v>19.399999999999999</v>
      </c>
      <c r="M375" s="43">
        <v>18.3</v>
      </c>
      <c r="N375" s="40">
        <f t="shared" si="14"/>
        <v>0.84347826086956512</v>
      </c>
      <c r="O375" s="40">
        <f t="shared" si="17"/>
        <v>0.79565217391304355</v>
      </c>
      <c r="P375" s="4">
        <v>2.5</v>
      </c>
      <c r="Q375" s="72">
        <f>VLOOKUP('All inst data'!A375,'all mice (except april 2012)'!$A$2:$G$218,7,FALSE)</f>
        <v>69</v>
      </c>
    </row>
    <row r="376" spans="1:17" x14ac:dyDescent="0.25">
      <c r="A376" s="43">
        <v>129</v>
      </c>
      <c r="B376" s="43">
        <v>18</v>
      </c>
      <c r="C376" s="43">
        <v>4</v>
      </c>
      <c r="D376" s="43">
        <v>1</v>
      </c>
      <c r="E376" s="43">
        <v>130618</v>
      </c>
      <c r="F376" s="43">
        <v>110923</v>
      </c>
      <c r="G376" s="43" t="s">
        <v>501</v>
      </c>
      <c r="H376">
        <v>6</v>
      </c>
      <c r="I376">
        <v>2</v>
      </c>
      <c r="J376">
        <v>2</v>
      </c>
      <c r="K376" s="7">
        <v>22.1</v>
      </c>
      <c r="L376" s="22">
        <v>18.5</v>
      </c>
      <c r="M376" s="43">
        <v>17.600000000000001</v>
      </c>
      <c r="N376" s="40">
        <f t="shared" si="14"/>
        <v>0.83710407239818996</v>
      </c>
      <c r="O376" s="40">
        <f t="shared" si="17"/>
        <v>0.79638009049773761</v>
      </c>
      <c r="P376" s="4">
        <v>2.5</v>
      </c>
      <c r="Q376" s="72">
        <f>VLOOKUP('All inst data'!A376,'all mice (except april 2012)'!$A$2:$G$218,7,FALSE)</f>
        <v>69</v>
      </c>
    </row>
    <row r="377" spans="1:17" x14ac:dyDescent="0.25">
      <c r="A377" s="43">
        <v>130</v>
      </c>
      <c r="B377" s="43">
        <v>19</v>
      </c>
      <c r="C377" s="43">
        <v>4</v>
      </c>
      <c r="D377" s="43">
        <v>1</v>
      </c>
      <c r="E377" s="43">
        <v>130618</v>
      </c>
      <c r="F377" s="43">
        <v>110700</v>
      </c>
      <c r="G377" s="43" t="s">
        <v>112</v>
      </c>
      <c r="H377">
        <v>7</v>
      </c>
      <c r="I377">
        <v>9</v>
      </c>
      <c r="J377">
        <v>8</v>
      </c>
      <c r="K377" s="7">
        <v>23.4</v>
      </c>
      <c r="L377" s="22">
        <v>20.8</v>
      </c>
      <c r="M377" s="43">
        <v>18.7</v>
      </c>
      <c r="N377" s="40">
        <f t="shared" si="14"/>
        <v>0.88888888888888895</v>
      </c>
      <c r="O377" s="40">
        <f t="shared" si="17"/>
        <v>0.79914529914529919</v>
      </c>
      <c r="P377" s="4">
        <v>3.8</v>
      </c>
      <c r="Q377" s="72">
        <f>VLOOKUP('All inst data'!A377,'all mice (except april 2012)'!$A$2:$G$218,7,FALSE)</f>
        <v>76</v>
      </c>
    </row>
    <row r="378" spans="1:17" x14ac:dyDescent="0.25">
      <c r="A378" s="43">
        <v>131</v>
      </c>
      <c r="B378" s="43">
        <v>20</v>
      </c>
      <c r="C378" s="43">
        <v>4</v>
      </c>
      <c r="D378" s="43">
        <v>1</v>
      </c>
      <c r="E378" s="43">
        <v>130618</v>
      </c>
      <c r="F378" s="43">
        <v>110700</v>
      </c>
      <c r="G378" s="43" t="s">
        <v>112</v>
      </c>
      <c r="H378">
        <v>8</v>
      </c>
      <c r="I378">
        <v>3</v>
      </c>
      <c r="J378">
        <v>3</v>
      </c>
      <c r="K378" s="7">
        <v>21</v>
      </c>
      <c r="L378" s="22">
        <v>17.899999999999999</v>
      </c>
      <c r="M378" s="43">
        <v>16.399999999999999</v>
      </c>
      <c r="N378" s="40">
        <f t="shared" si="14"/>
        <v>0.85238095238095235</v>
      </c>
      <c r="O378" s="40">
        <f t="shared" si="17"/>
        <v>0.78095238095238084</v>
      </c>
      <c r="P378" s="4">
        <v>3.8</v>
      </c>
      <c r="Q378" s="72">
        <f>VLOOKUP('All inst data'!A378,'all mice (except april 2012)'!$A$2:$G$218,7,FALSE)</f>
        <v>76</v>
      </c>
    </row>
    <row r="379" spans="1:17" x14ac:dyDescent="0.25">
      <c r="A379" s="13">
        <v>132</v>
      </c>
      <c r="B379" s="13">
        <v>21</v>
      </c>
      <c r="C379" s="13">
        <v>4</v>
      </c>
      <c r="D379" s="13">
        <v>1</v>
      </c>
      <c r="E379" s="13">
        <v>130618</v>
      </c>
      <c r="F379" s="13">
        <v>110439</v>
      </c>
      <c r="G379" s="13" t="s">
        <v>113</v>
      </c>
      <c r="H379">
        <v>9</v>
      </c>
      <c r="I379">
        <v>360</v>
      </c>
      <c r="J379">
        <v>140</v>
      </c>
      <c r="K379" s="7">
        <v>15.5</v>
      </c>
      <c r="L379" s="22">
        <v>13.8</v>
      </c>
      <c r="M379" s="43">
        <v>13</v>
      </c>
      <c r="N379" s="40">
        <f t="shared" si="14"/>
        <v>0.89032258064516134</v>
      </c>
      <c r="O379" s="40">
        <f t="shared" si="17"/>
        <v>0.83870967741935487</v>
      </c>
      <c r="P379" s="4">
        <v>4.1500000000000004</v>
      </c>
      <c r="Q379" s="72">
        <f>VLOOKUP('All inst data'!A379,'all mice (except april 2012)'!$A$2:$G$218,7,FALSE)</f>
        <v>76</v>
      </c>
    </row>
    <row r="380" spans="1:17" x14ac:dyDescent="0.25">
      <c r="A380" s="13">
        <v>133</v>
      </c>
      <c r="B380" s="13">
        <v>22</v>
      </c>
      <c r="C380" s="13">
        <v>4</v>
      </c>
      <c r="D380" s="13">
        <v>1</v>
      </c>
      <c r="E380" s="13">
        <v>130618</v>
      </c>
      <c r="F380" s="13">
        <v>110439</v>
      </c>
      <c r="G380" s="13" t="s">
        <v>113</v>
      </c>
      <c r="H380">
        <v>10</v>
      </c>
      <c r="I380">
        <v>482</v>
      </c>
      <c r="J380">
        <v>162</v>
      </c>
      <c r="K380" s="7">
        <v>15.3</v>
      </c>
      <c r="L380" s="22">
        <v>13.2</v>
      </c>
      <c r="M380" s="22">
        <v>12.5</v>
      </c>
      <c r="N380" s="40">
        <f t="shared" si="14"/>
        <v>0.86274509803921562</v>
      </c>
      <c r="O380" s="40">
        <f t="shared" si="17"/>
        <v>0.81699346405228757</v>
      </c>
      <c r="P380" s="4">
        <v>4.1500000000000004</v>
      </c>
      <c r="Q380" s="72">
        <f>VLOOKUP('All inst data'!A380,'all mice (except april 2012)'!$A$2:$G$218,7,FALSE)</f>
        <v>76</v>
      </c>
    </row>
    <row r="381" spans="1:17" x14ac:dyDescent="0.25">
      <c r="A381" s="43">
        <v>134</v>
      </c>
      <c r="B381" s="43">
        <v>23</v>
      </c>
      <c r="C381" s="43">
        <v>4</v>
      </c>
      <c r="D381" s="43">
        <v>1</v>
      </c>
      <c r="E381" s="43">
        <v>130618</v>
      </c>
      <c r="F381" s="43">
        <v>110439</v>
      </c>
      <c r="G381" s="43" t="s">
        <v>114</v>
      </c>
      <c r="H381">
        <v>11</v>
      </c>
      <c r="I381">
        <v>1585</v>
      </c>
      <c r="J381">
        <v>382</v>
      </c>
      <c r="K381" s="7">
        <v>25.7</v>
      </c>
      <c r="L381" s="22">
        <v>22.6</v>
      </c>
      <c r="M381" s="43">
        <v>21.8</v>
      </c>
      <c r="N381" s="40">
        <f t="shared" si="14"/>
        <v>0.87937743190661488</v>
      </c>
      <c r="O381" s="40">
        <f t="shared" si="17"/>
        <v>0.84824902723735418</v>
      </c>
      <c r="P381" s="4">
        <v>3.45</v>
      </c>
      <c r="Q381" s="72">
        <f>VLOOKUP('All inst data'!A381,'all mice (except april 2012)'!$A$2:$G$218,7,FALSE)</f>
        <v>76</v>
      </c>
    </row>
    <row r="382" spans="1:17" x14ac:dyDescent="0.25">
      <c r="A382" s="43">
        <v>135</v>
      </c>
      <c r="B382" s="43">
        <v>24</v>
      </c>
      <c r="C382" s="43">
        <v>4</v>
      </c>
      <c r="D382" s="43">
        <v>1</v>
      </c>
      <c r="E382" s="43">
        <v>130618</v>
      </c>
      <c r="F382" s="43">
        <v>110440</v>
      </c>
      <c r="G382" s="43" t="s">
        <v>114</v>
      </c>
      <c r="H382">
        <v>12</v>
      </c>
      <c r="I382">
        <v>592</v>
      </c>
      <c r="J382">
        <v>185</v>
      </c>
      <c r="K382" s="7">
        <v>25.9</v>
      </c>
      <c r="L382" s="22">
        <v>22.6</v>
      </c>
      <c r="M382" s="43">
        <v>21.3</v>
      </c>
      <c r="N382" s="40">
        <f t="shared" si="14"/>
        <v>0.87258687258687273</v>
      </c>
      <c r="O382" s="40">
        <f t="shared" si="17"/>
        <v>0.82239382239382242</v>
      </c>
      <c r="P382" s="4">
        <v>3.45</v>
      </c>
      <c r="Q382" s="72">
        <f>VLOOKUP('All inst data'!A382,'all mice (except april 2012)'!$A$2:$G$218,7,FALSE)</f>
        <v>76</v>
      </c>
    </row>
    <row r="383" spans="1:17" x14ac:dyDescent="0.25">
      <c r="A383" s="43">
        <v>124</v>
      </c>
      <c r="B383" s="43">
        <v>13</v>
      </c>
      <c r="C383" s="43">
        <v>4</v>
      </c>
      <c r="D383" s="43">
        <v>2</v>
      </c>
      <c r="E383" s="43">
        <v>130619</v>
      </c>
      <c r="F383" s="43">
        <v>112923</v>
      </c>
      <c r="G383" s="43" t="s">
        <v>110</v>
      </c>
      <c r="H383">
        <v>1</v>
      </c>
      <c r="I383">
        <v>366</v>
      </c>
      <c r="J383">
        <v>140</v>
      </c>
      <c r="K383" s="7">
        <v>20.5</v>
      </c>
      <c r="L383" s="22">
        <v>19</v>
      </c>
      <c r="M383" s="43">
        <v>17.2</v>
      </c>
      <c r="N383" s="40">
        <f t="shared" si="14"/>
        <v>0.92682926829268297</v>
      </c>
      <c r="O383" s="40">
        <f t="shared" si="17"/>
        <v>0.83902439024390241</v>
      </c>
      <c r="P383" s="4">
        <v>3.45</v>
      </c>
      <c r="Q383" s="72">
        <f>VLOOKUP('All inst data'!A383,'all mice (except april 2012)'!$A$2:$G$218,7,FALSE)</f>
        <v>69</v>
      </c>
    </row>
    <row r="384" spans="1:17" x14ac:dyDescent="0.25">
      <c r="A384" s="43">
        <v>125</v>
      </c>
      <c r="B384" s="43">
        <v>14</v>
      </c>
      <c r="C384" s="43">
        <v>4</v>
      </c>
      <c r="D384" s="43">
        <v>2</v>
      </c>
      <c r="E384" s="43">
        <v>130619</v>
      </c>
      <c r="F384" s="43">
        <v>105149</v>
      </c>
      <c r="G384" s="43" t="s">
        <v>110</v>
      </c>
      <c r="H384">
        <v>2</v>
      </c>
      <c r="I384">
        <v>2194</v>
      </c>
      <c r="J384">
        <v>499</v>
      </c>
      <c r="K384" s="7">
        <v>20.2</v>
      </c>
      <c r="L384" s="22">
        <v>19.3</v>
      </c>
      <c r="M384" s="22">
        <v>17.8</v>
      </c>
      <c r="N384" s="40">
        <f t="shared" si="14"/>
        <v>0.95544554455445552</v>
      </c>
      <c r="O384" s="40">
        <f t="shared" si="17"/>
        <v>0.8811881188118813</v>
      </c>
      <c r="P384" s="4">
        <v>3.45</v>
      </c>
      <c r="Q384" s="72">
        <f>VLOOKUP('All inst data'!A384,'all mice (except april 2012)'!$A$2:$G$218,7,FALSE)</f>
        <v>69</v>
      </c>
    </row>
    <row r="385" spans="1:17" x14ac:dyDescent="0.25">
      <c r="A385" s="43">
        <v>126</v>
      </c>
      <c r="B385" s="43">
        <v>15</v>
      </c>
      <c r="C385" s="43">
        <v>4</v>
      </c>
      <c r="D385" s="43">
        <v>2</v>
      </c>
      <c r="E385" s="43">
        <v>130619</v>
      </c>
      <c r="F385" s="43">
        <v>104847</v>
      </c>
      <c r="G385" s="43" t="s">
        <v>111</v>
      </c>
      <c r="H385">
        <v>3</v>
      </c>
      <c r="I385">
        <v>1217</v>
      </c>
      <c r="J385">
        <v>310</v>
      </c>
      <c r="K385" s="7">
        <v>31.9</v>
      </c>
      <c r="L385" s="22">
        <v>27.8</v>
      </c>
      <c r="M385" s="22">
        <v>26.3</v>
      </c>
      <c r="N385" s="40">
        <f t="shared" si="14"/>
        <v>0.87147335423197503</v>
      </c>
      <c r="O385" s="40">
        <f t="shared" si="17"/>
        <v>0.82445141065830729</v>
      </c>
      <c r="P385" s="4">
        <v>4.0999999999999996</v>
      </c>
      <c r="Q385" s="72">
        <f>VLOOKUP('All inst data'!A385,'all mice (except april 2012)'!$A$2:$G$218,7,FALSE)</f>
        <v>69</v>
      </c>
    </row>
    <row r="386" spans="1:17" x14ac:dyDescent="0.25">
      <c r="A386" s="43">
        <v>127</v>
      </c>
      <c r="B386" s="43">
        <v>16</v>
      </c>
      <c r="C386" s="43">
        <v>4</v>
      </c>
      <c r="D386" s="43">
        <v>2</v>
      </c>
      <c r="E386" s="43">
        <v>130619</v>
      </c>
      <c r="F386" s="43">
        <v>104847</v>
      </c>
      <c r="G386" s="43" t="s">
        <v>111</v>
      </c>
      <c r="H386">
        <v>4</v>
      </c>
      <c r="I386" s="5">
        <v>338</v>
      </c>
      <c r="J386" s="5">
        <v>135</v>
      </c>
      <c r="K386" s="7">
        <v>27.2</v>
      </c>
      <c r="L386" s="22">
        <v>24.7</v>
      </c>
      <c r="M386" s="22">
        <v>22.8</v>
      </c>
      <c r="N386" s="40">
        <f t="shared" ref="N386:N449" si="18">L386/K386</f>
        <v>0.90808823529411764</v>
      </c>
      <c r="O386" s="40">
        <f t="shared" si="17"/>
        <v>0.83823529411764708</v>
      </c>
      <c r="P386" s="4">
        <v>4.0999999999999996</v>
      </c>
      <c r="Q386" s="72">
        <f>VLOOKUP('All inst data'!A386,'all mice (except april 2012)'!$A$2:$G$218,7,FALSE)</f>
        <v>69</v>
      </c>
    </row>
    <row r="387" spans="1:17" x14ac:dyDescent="0.25">
      <c r="A387" s="43">
        <v>128</v>
      </c>
      <c r="B387" s="43">
        <v>17</v>
      </c>
      <c r="C387" s="43">
        <v>4</v>
      </c>
      <c r="D387" s="43">
        <v>2</v>
      </c>
      <c r="E387" s="43">
        <v>130619</v>
      </c>
      <c r="F387" s="43">
        <v>112923</v>
      </c>
      <c r="G387" s="43" t="s">
        <v>501</v>
      </c>
      <c r="H387">
        <v>5</v>
      </c>
      <c r="I387">
        <v>0</v>
      </c>
      <c r="J387">
        <v>0</v>
      </c>
      <c r="K387" s="7">
        <v>23</v>
      </c>
      <c r="L387" s="22">
        <v>21</v>
      </c>
      <c r="M387" s="43">
        <v>19.100000000000001</v>
      </c>
      <c r="N387" s="40">
        <f t="shared" si="18"/>
        <v>0.91304347826086951</v>
      </c>
      <c r="O387" s="40">
        <f t="shared" si="17"/>
        <v>0.83043478260869574</v>
      </c>
      <c r="P387" s="4">
        <v>2.75</v>
      </c>
      <c r="Q387" s="72">
        <f>VLOOKUP('All inst data'!A387,'all mice (except april 2012)'!$A$2:$G$218,7,FALSE)</f>
        <v>69</v>
      </c>
    </row>
    <row r="388" spans="1:17" x14ac:dyDescent="0.25">
      <c r="A388" s="43">
        <v>129</v>
      </c>
      <c r="B388" s="43">
        <v>18</v>
      </c>
      <c r="C388" s="43">
        <v>4</v>
      </c>
      <c r="D388" s="43">
        <v>2</v>
      </c>
      <c r="E388" s="43">
        <v>130619</v>
      </c>
      <c r="F388" s="43">
        <v>105149</v>
      </c>
      <c r="G388" s="43" t="s">
        <v>501</v>
      </c>
      <c r="H388">
        <v>6</v>
      </c>
      <c r="I388">
        <v>1</v>
      </c>
      <c r="J388">
        <v>1</v>
      </c>
      <c r="K388" s="7">
        <v>22.1</v>
      </c>
      <c r="L388" s="22">
        <v>19.7</v>
      </c>
      <c r="M388" s="43">
        <v>18.5</v>
      </c>
      <c r="N388" s="40">
        <f t="shared" si="18"/>
        <v>0.89140271493212664</v>
      </c>
      <c r="O388" s="40">
        <f t="shared" si="17"/>
        <v>0.83710407239818996</v>
      </c>
      <c r="P388" s="4">
        <v>2.75</v>
      </c>
      <c r="Q388" s="72">
        <f>VLOOKUP('All inst data'!A388,'all mice (except april 2012)'!$A$2:$G$218,7,FALSE)</f>
        <v>69</v>
      </c>
    </row>
    <row r="389" spans="1:17" x14ac:dyDescent="0.25">
      <c r="A389" s="43">
        <v>130</v>
      </c>
      <c r="B389" s="43">
        <v>19</v>
      </c>
      <c r="C389" s="43">
        <v>4</v>
      </c>
      <c r="D389" s="43">
        <v>2</v>
      </c>
      <c r="E389" s="43">
        <v>130619</v>
      </c>
      <c r="F389" s="43">
        <v>104847</v>
      </c>
      <c r="G389" s="43" t="s">
        <v>112</v>
      </c>
      <c r="H389">
        <v>7</v>
      </c>
      <c r="I389">
        <v>0</v>
      </c>
      <c r="J389">
        <v>0</v>
      </c>
      <c r="K389" s="7">
        <v>23.4</v>
      </c>
      <c r="L389" s="22">
        <v>21.4</v>
      </c>
      <c r="M389" s="43">
        <v>19.2</v>
      </c>
      <c r="N389" s="40">
        <f t="shared" si="18"/>
        <v>0.9145299145299145</v>
      </c>
      <c r="O389" s="40">
        <f t="shared" si="17"/>
        <v>0.82051282051282048</v>
      </c>
      <c r="P389" s="4">
        <v>4.0999999999999996</v>
      </c>
      <c r="Q389" s="72">
        <f>VLOOKUP('All inst data'!A389,'all mice (except april 2012)'!$A$2:$G$218,7,FALSE)</f>
        <v>76</v>
      </c>
    </row>
    <row r="390" spans="1:17" x14ac:dyDescent="0.25">
      <c r="A390" s="43">
        <v>131</v>
      </c>
      <c r="B390" s="43">
        <v>20</v>
      </c>
      <c r="C390" s="43">
        <v>4</v>
      </c>
      <c r="D390" s="43">
        <v>2</v>
      </c>
      <c r="E390" s="43">
        <v>130619</v>
      </c>
      <c r="F390" s="43">
        <v>104848</v>
      </c>
      <c r="G390" s="43" t="s">
        <v>112</v>
      </c>
      <c r="H390">
        <v>8</v>
      </c>
      <c r="I390">
        <v>1</v>
      </c>
      <c r="J390">
        <v>1</v>
      </c>
      <c r="K390" s="7">
        <v>21</v>
      </c>
      <c r="L390" s="22">
        <v>18.399999999999999</v>
      </c>
      <c r="M390" s="43">
        <v>16.5</v>
      </c>
      <c r="N390" s="40">
        <f t="shared" si="18"/>
        <v>0.87619047619047608</v>
      </c>
      <c r="O390" s="40">
        <f t="shared" si="17"/>
        <v>0.7857142857142857</v>
      </c>
      <c r="P390" s="4">
        <v>4.0999999999999996</v>
      </c>
      <c r="Q390" s="72">
        <f>VLOOKUP('All inst data'!A390,'all mice (except april 2012)'!$A$2:$G$218,7,FALSE)</f>
        <v>76</v>
      </c>
    </row>
    <row r="391" spans="1:17" x14ac:dyDescent="0.25">
      <c r="A391" s="13">
        <v>132</v>
      </c>
      <c r="B391" s="13">
        <v>21</v>
      </c>
      <c r="C391" s="13">
        <v>4</v>
      </c>
      <c r="D391" s="13">
        <v>2</v>
      </c>
      <c r="E391" s="13">
        <v>130619</v>
      </c>
      <c r="F391" s="13">
        <v>104424</v>
      </c>
      <c r="G391" s="13" t="s">
        <v>113</v>
      </c>
      <c r="H391">
        <v>9</v>
      </c>
      <c r="I391">
        <v>417</v>
      </c>
      <c r="J391">
        <v>152</v>
      </c>
      <c r="K391" s="7">
        <v>15.5</v>
      </c>
      <c r="L391" s="22">
        <v>14.2</v>
      </c>
      <c r="M391" s="43">
        <v>13.2</v>
      </c>
      <c r="N391" s="40">
        <f t="shared" si="18"/>
        <v>0.91612903225806452</v>
      </c>
      <c r="O391" s="40">
        <f t="shared" si="17"/>
        <v>0.85161290322580641</v>
      </c>
      <c r="P391" s="4">
        <v>4.05</v>
      </c>
      <c r="Q391" s="72">
        <f>VLOOKUP('All inst data'!A391,'all mice (except april 2012)'!$A$2:$G$218,7,FALSE)</f>
        <v>76</v>
      </c>
    </row>
    <row r="392" spans="1:17" x14ac:dyDescent="0.25">
      <c r="A392" s="13">
        <v>133</v>
      </c>
      <c r="B392" s="13">
        <v>22</v>
      </c>
      <c r="C392" s="13">
        <v>4</v>
      </c>
      <c r="D392" s="13">
        <v>2</v>
      </c>
      <c r="E392" s="13">
        <v>130619</v>
      </c>
      <c r="F392" s="13">
        <v>104424</v>
      </c>
      <c r="G392" s="13" t="s">
        <v>113</v>
      </c>
      <c r="H392">
        <v>10</v>
      </c>
      <c r="I392">
        <v>145</v>
      </c>
      <c r="J392">
        <v>96</v>
      </c>
      <c r="K392" s="7">
        <v>15.3</v>
      </c>
      <c r="L392" s="22">
        <v>13.8</v>
      </c>
      <c r="M392" s="43">
        <v>13</v>
      </c>
      <c r="N392" s="40">
        <f t="shared" si="18"/>
        <v>0.90196078431372551</v>
      </c>
      <c r="O392" s="40">
        <f t="shared" si="17"/>
        <v>0.84967320261437906</v>
      </c>
      <c r="P392" s="4">
        <v>4.05</v>
      </c>
      <c r="Q392" s="72">
        <f>VLOOKUP('All inst data'!A392,'all mice (except april 2012)'!$A$2:$G$218,7,FALSE)</f>
        <v>76</v>
      </c>
    </row>
    <row r="393" spans="1:17" x14ac:dyDescent="0.25">
      <c r="A393" s="43">
        <v>134</v>
      </c>
      <c r="B393" s="43">
        <v>23</v>
      </c>
      <c r="C393" s="43">
        <v>4</v>
      </c>
      <c r="D393" s="43">
        <v>2</v>
      </c>
      <c r="E393" s="43">
        <v>130619</v>
      </c>
      <c r="F393" s="43">
        <v>104424</v>
      </c>
      <c r="G393" s="43" t="s">
        <v>114</v>
      </c>
      <c r="H393">
        <v>11</v>
      </c>
      <c r="I393">
        <v>1360</v>
      </c>
      <c r="J393">
        <v>334</v>
      </c>
      <c r="K393" s="7">
        <v>25.7</v>
      </c>
      <c r="L393" s="22">
        <v>23.1</v>
      </c>
      <c r="M393" s="43">
        <v>22.2</v>
      </c>
      <c r="N393" s="40">
        <f t="shared" si="18"/>
        <v>0.89883268482490275</v>
      </c>
      <c r="O393" s="40">
        <f t="shared" si="17"/>
        <v>0.86381322957198448</v>
      </c>
      <c r="P393" s="4">
        <v>3.4</v>
      </c>
      <c r="Q393" s="72">
        <f>VLOOKUP('All inst data'!A393,'all mice (except april 2012)'!$A$2:$G$218,7,FALSE)</f>
        <v>76</v>
      </c>
    </row>
    <row r="394" spans="1:17" x14ac:dyDescent="0.25">
      <c r="A394" s="43">
        <v>135</v>
      </c>
      <c r="B394" s="43">
        <v>24</v>
      </c>
      <c r="C394" s="43">
        <v>4</v>
      </c>
      <c r="D394" s="43">
        <v>2</v>
      </c>
      <c r="E394" s="43">
        <v>130619</v>
      </c>
      <c r="F394" s="43">
        <v>104424</v>
      </c>
      <c r="G394" s="43" t="s">
        <v>114</v>
      </c>
      <c r="H394">
        <v>12</v>
      </c>
      <c r="I394">
        <v>860</v>
      </c>
      <c r="J394">
        <v>241</v>
      </c>
      <c r="K394" s="7">
        <v>25.9</v>
      </c>
      <c r="L394" s="22">
        <v>23.1</v>
      </c>
      <c r="M394" s="22">
        <v>21.9</v>
      </c>
      <c r="N394" s="40">
        <f t="shared" si="18"/>
        <v>0.891891891891892</v>
      </c>
      <c r="O394" s="40">
        <f t="shared" si="17"/>
        <v>0.84555984555984554</v>
      </c>
      <c r="P394" s="4">
        <v>3.4</v>
      </c>
      <c r="Q394" s="72">
        <f>VLOOKUP('All inst data'!A394,'all mice (except april 2012)'!$A$2:$G$218,7,FALSE)</f>
        <v>76</v>
      </c>
    </row>
    <row r="395" spans="1:17" x14ac:dyDescent="0.25">
      <c r="A395" s="43">
        <v>124</v>
      </c>
      <c r="B395" s="43">
        <v>13</v>
      </c>
      <c r="C395" s="43">
        <v>4</v>
      </c>
      <c r="D395" s="43">
        <v>3</v>
      </c>
      <c r="E395" s="43">
        <v>130620</v>
      </c>
      <c r="F395" s="43">
        <v>132258</v>
      </c>
      <c r="G395" s="43" t="s">
        <v>110</v>
      </c>
      <c r="H395">
        <v>1</v>
      </c>
      <c r="I395">
        <v>1522</v>
      </c>
      <c r="J395">
        <v>370</v>
      </c>
      <c r="K395" s="7">
        <v>20.5</v>
      </c>
      <c r="L395" s="22">
        <v>19.100000000000001</v>
      </c>
      <c r="M395" s="22">
        <v>17.2</v>
      </c>
      <c r="N395" s="40">
        <f t="shared" si="18"/>
        <v>0.93170731707317078</v>
      </c>
      <c r="O395" s="40">
        <f t="shared" si="17"/>
        <v>0.83902439024390241</v>
      </c>
      <c r="P395" s="4" t="s">
        <v>139</v>
      </c>
      <c r="Q395" s="72">
        <f>VLOOKUP('All inst data'!A395,'all mice (except april 2012)'!$A$2:$G$218,7,FALSE)</f>
        <v>69</v>
      </c>
    </row>
    <row r="396" spans="1:17" x14ac:dyDescent="0.25">
      <c r="A396" s="43">
        <v>125</v>
      </c>
      <c r="B396" s="43">
        <v>14</v>
      </c>
      <c r="C396" s="43">
        <v>4</v>
      </c>
      <c r="D396" s="43">
        <v>3</v>
      </c>
      <c r="E396" s="43">
        <v>130620</v>
      </c>
      <c r="F396" s="43">
        <v>125000</v>
      </c>
      <c r="G396" s="43" t="s">
        <v>110</v>
      </c>
      <c r="H396">
        <v>2</v>
      </c>
      <c r="I396">
        <v>2208</v>
      </c>
      <c r="J396">
        <v>500</v>
      </c>
      <c r="K396" s="7">
        <v>20.2</v>
      </c>
      <c r="L396" s="22">
        <v>18.899999999999999</v>
      </c>
      <c r="M396" s="43">
        <v>17.3</v>
      </c>
      <c r="N396" s="40">
        <f t="shared" si="18"/>
        <v>0.93564356435643559</v>
      </c>
      <c r="O396" s="40">
        <f t="shared" si="17"/>
        <v>0.85643564356435653</v>
      </c>
      <c r="P396" s="4" t="s">
        <v>139</v>
      </c>
      <c r="Q396" s="72">
        <f>VLOOKUP('All inst data'!A396,'all mice (except april 2012)'!$A$2:$G$218,7,FALSE)</f>
        <v>69</v>
      </c>
    </row>
    <row r="397" spans="1:17" x14ac:dyDescent="0.25">
      <c r="A397" s="43">
        <v>126</v>
      </c>
      <c r="B397" s="43">
        <v>15</v>
      </c>
      <c r="C397" s="43">
        <v>4</v>
      </c>
      <c r="D397" s="43">
        <v>3</v>
      </c>
      <c r="E397" s="43">
        <v>130620</v>
      </c>
      <c r="F397" s="43">
        <v>124429</v>
      </c>
      <c r="G397" s="43" t="s">
        <v>111</v>
      </c>
      <c r="H397">
        <v>3</v>
      </c>
      <c r="I397">
        <v>1529</v>
      </c>
      <c r="J397">
        <v>372</v>
      </c>
      <c r="K397" s="7">
        <v>31.9</v>
      </c>
      <c r="L397" s="22">
        <v>28.2</v>
      </c>
      <c r="M397" s="22">
        <v>26.8</v>
      </c>
      <c r="N397" s="40">
        <f t="shared" si="18"/>
        <v>0.88401253918495304</v>
      </c>
      <c r="O397" s="40">
        <f t="shared" si="17"/>
        <v>0.84012539184952983</v>
      </c>
      <c r="P397" s="4" t="s">
        <v>139</v>
      </c>
      <c r="Q397" s="72">
        <f>VLOOKUP('All inst data'!A397,'all mice (except april 2012)'!$A$2:$G$218,7,FALSE)</f>
        <v>69</v>
      </c>
    </row>
    <row r="398" spans="1:17" x14ac:dyDescent="0.25">
      <c r="A398" s="43">
        <v>127</v>
      </c>
      <c r="B398" s="43">
        <v>16</v>
      </c>
      <c r="C398" s="43">
        <v>4</v>
      </c>
      <c r="D398" s="43">
        <v>3</v>
      </c>
      <c r="E398" s="43">
        <v>130620</v>
      </c>
      <c r="F398" s="43">
        <v>124430</v>
      </c>
      <c r="G398" s="43" t="s">
        <v>111</v>
      </c>
      <c r="H398">
        <v>4</v>
      </c>
      <c r="I398">
        <v>490</v>
      </c>
      <c r="J398">
        <v>165</v>
      </c>
      <c r="K398" s="7">
        <v>27.2</v>
      </c>
      <c r="L398" s="22">
        <v>24.9</v>
      </c>
      <c r="M398" s="43">
        <v>22.7</v>
      </c>
      <c r="N398" s="40">
        <f t="shared" si="18"/>
        <v>0.9154411764705882</v>
      </c>
      <c r="O398" s="40">
        <f t="shared" si="17"/>
        <v>0.8345588235294118</v>
      </c>
      <c r="P398" s="4" t="s">
        <v>139</v>
      </c>
      <c r="Q398" s="72">
        <f>VLOOKUP('All inst data'!A398,'all mice (except april 2012)'!$A$2:$G$218,7,FALSE)</f>
        <v>69</v>
      </c>
    </row>
    <row r="399" spans="1:17" x14ac:dyDescent="0.25">
      <c r="A399" s="43">
        <v>128</v>
      </c>
      <c r="B399" s="43">
        <v>17</v>
      </c>
      <c r="C399" s="43">
        <v>4</v>
      </c>
      <c r="D399" s="43">
        <v>3</v>
      </c>
      <c r="E399" s="43">
        <v>130620</v>
      </c>
      <c r="F399" s="43">
        <v>132258</v>
      </c>
      <c r="G399" s="43" t="s">
        <v>501</v>
      </c>
      <c r="H399">
        <v>5</v>
      </c>
      <c r="I399">
        <v>0</v>
      </c>
      <c r="J399">
        <v>0</v>
      </c>
      <c r="K399" s="7">
        <v>23</v>
      </c>
      <c r="L399" s="22">
        <v>20.5</v>
      </c>
      <c r="M399" s="22">
        <v>18.399999999999999</v>
      </c>
      <c r="N399" s="40">
        <f t="shared" si="18"/>
        <v>0.89130434782608692</v>
      </c>
      <c r="O399" s="40">
        <f t="shared" ref="O399:O430" si="19">M399/K399</f>
        <v>0.79999999999999993</v>
      </c>
      <c r="P399" s="4" t="s">
        <v>139</v>
      </c>
      <c r="Q399" s="72">
        <f>VLOOKUP('All inst data'!A399,'all mice (except april 2012)'!$A$2:$G$218,7,FALSE)</f>
        <v>69</v>
      </c>
    </row>
    <row r="400" spans="1:17" x14ac:dyDescent="0.25">
      <c r="A400" s="43">
        <v>129</v>
      </c>
      <c r="B400" s="43">
        <v>18</v>
      </c>
      <c r="C400" s="43">
        <v>4</v>
      </c>
      <c r="D400" s="43">
        <v>3</v>
      </c>
      <c r="E400" s="43">
        <v>130620</v>
      </c>
      <c r="F400" s="43">
        <v>125000</v>
      </c>
      <c r="G400" s="43" t="s">
        <v>501</v>
      </c>
      <c r="H400">
        <v>6</v>
      </c>
      <c r="I400">
        <v>0</v>
      </c>
      <c r="J400">
        <v>0</v>
      </c>
      <c r="K400" s="7">
        <v>22.1</v>
      </c>
      <c r="L400" s="22">
        <v>19.899999999999999</v>
      </c>
      <c r="M400" s="43">
        <v>18.7</v>
      </c>
      <c r="N400" s="40">
        <f t="shared" si="18"/>
        <v>0.90045248868778272</v>
      </c>
      <c r="O400" s="40">
        <f t="shared" si="19"/>
        <v>0.84615384615384603</v>
      </c>
      <c r="P400" s="4" t="s">
        <v>139</v>
      </c>
      <c r="Q400" s="72">
        <f>VLOOKUP('All inst data'!A400,'all mice (except april 2012)'!$A$2:$G$218,7,FALSE)</f>
        <v>69</v>
      </c>
    </row>
    <row r="401" spans="1:17" x14ac:dyDescent="0.25">
      <c r="A401" s="43">
        <v>130</v>
      </c>
      <c r="B401" s="43">
        <v>19</v>
      </c>
      <c r="C401" s="43">
        <v>4</v>
      </c>
      <c r="D401" s="43">
        <v>3</v>
      </c>
      <c r="E401" s="43">
        <v>130620</v>
      </c>
      <c r="F401" s="43">
        <v>124430</v>
      </c>
      <c r="G401" s="43" t="s">
        <v>112</v>
      </c>
      <c r="H401">
        <v>7</v>
      </c>
      <c r="I401">
        <v>175</v>
      </c>
      <c r="J401">
        <v>101</v>
      </c>
      <c r="K401" s="7">
        <v>23.4</v>
      </c>
      <c r="L401" s="22">
        <v>21.5</v>
      </c>
      <c r="M401" s="22">
        <v>20.100000000000001</v>
      </c>
      <c r="N401" s="40">
        <f t="shared" si="18"/>
        <v>0.91880341880341887</v>
      </c>
      <c r="O401" s="40">
        <f t="shared" si="19"/>
        <v>0.85897435897435914</v>
      </c>
      <c r="P401" s="4" t="s">
        <v>139</v>
      </c>
      <c r="Q401" s="72">
        <f>VLOOKUP('All inst data'!A401,'all mice (except april 2012)'!$A$2:$G$218,7,FALSE)</f>
        <v>76</v>
      </c>
    </row>
    <row r="402" spans="1:17" x14ac:dyDescent="0.25">
      <c r="A402" s="43">
        <v>131</v>
      </c>
      <c r="B402" s="43">
        <v>20</v>
      </c>
      <c r="C402" s="43">
        <v>4</v>
      </c>
      <c r="D402" s="43">
        <v>3</v>
      </c>
      <c r="E402" s="43">
        <v>130620</v>
      </c>
      <c r="F402" s="43">
        <v>124430</v>
      </c>
      <c r="G402" s="43" t="s">
        <v>112</v>
      </c>
      <c r="H402">
        <v>8</v>
      </c>
      <c r="I402">
        <v>2</v>
      </c>
      <c r="J402">
        <v>1</v>
      </c>
      <c r="K402" s="7">
        <v>21</v>
      </c>
      <c r="L402" s="22">
        <v>18.2</v>
      </c>
      <c r="M402" s="22">
        <v>16.5</v>
      </c>
      <c r="N402" s="40">
        <f t="shared" si="18"/>
        <v>0.86666666666666659</v>
      </c>
      <c r="O402" s="40">
        <f t="shared" si="19"/>
        <v>0.7857142857142857</v>
      </c>
      <c r="P402" s="4" t="s">
        <v>139</v>
      </c>
      <c r="Q402" s="72">
        <f>VLOOKUP('All inst data'!A402,'all mice (except april 2012)'!$A$2:$G$218,7,FALSE)</f>
        <v>76</v>
      </c>
    </row>
    <row r="403" spans="1:17" x14ac:dyDescent="0.25">
      <c r="A403" s="13">
        <v>132</v>
      </c>
      <c r="B403" s="13">
        <v>21</v>
      </c>
      <c r="C403" s="13">
        <v>4</v>
      </c>
      <c r="D403" s="13">
        <v>3</v>
      </c>
      <c r="E403" s="13">
        <v>130620</v>
      </c>
      <c r="F403" s="13">
        <v>123702</v>
      </c>
      <c r="G403" s="13" t="s">
        <v>113</v>
      </c>
      <c r="H403">
        <v>9</v>
      </c>
      <c r="I403">
        <v>958</v>
      </c>
      <c r="J403">
        <v>260</v>
      </c>
      <c r="K403" s="7">
        <v>15.5</v>
      </c>
      <c r="L403" s="22">
        <v>13.5</v>
      </c>
      <c r="M403" s="43">
        <v>13.1</v>
      </c>
      <c r="N403" s="40">
        <f t="shared" si="18"/>
        <v>0.87096774193548387</v>
      </c>
      <c r="O403" s="40">
        <f t="shared" si="19"/>
        <v>0.84516129032258058</v>
      </c>
      <c r="P403" s="4" t="s">
        <v>139</v>
      </c>
      <c r="Q403" s="72">
        <f>VLOOKUP('All inst data'!A403,'all mice (except april 2012)'!$A$2:$G$218,7,FALSE)</f>
        <v>76</v>
      </c>
    </row>
    <row r="404" spans="1:17" x14ac:dyDescent="0.25">
      <c r="A404" s="13">
        <v>133</v>
      </c>
      <c r="B404" s="13">
        <v>22</v>
      </c>
      <c r="C404" s="13">
        <v>4</v>
      </c>
      <c r="D404" s="13">
        <v>3</v>
      </c>
      <c r="E404" s="13">
        <v>130620</v>
      </c>
      <c r="F404" s="13">
        <v>123703</v>
      </c>
      <c r="G404" s="13" t="s">
        <v>113</v>
      </c>
      <c r="H404">
        <v>10</v>
      </c>
      <c r="I404">
        <v>1154</v>
      </c>
      <c r="J404">
        <v>300</v>
      </c>
      <c r="K404" s="7">
        <v>15.3</v>
      </c>
      <c r="L404" s="22">
        <v>13.1</v>
      </c>
      <c r="M404" s="43">
        <v>12.9</v>
      </c>
      <c r="N404" s="40">
        <f t="shared" si="18"/>
        <v>0.85620915032679734</v>
      </c>
      <c r="O404" s="40">
        <f t="shared" si="19"/>
        <v>0.84313725490196079</v>
      </c>
      <c r="P404" s="4" t="s">
        <v>139</v>
      </c>
      <c r="Q404" s="72">
        <f>VLOOKUP('All inst data'!A404,'all mice (except april 2012)'!$A$2:$G$218,7,FALSE)</f>
        <v>76</v>
      </c>
    </row>
    <row r="405" spans="1:17" x14ac:dyDescent="0.25">
      <c r="A405" s="43">
        <v>134</v>
      </c>
      <c r="B405" s="43">
        <v>23</v>
      </c>
      <c r="C405" s="43">
        <v>4</v>
      </c>
      <c r="D405" s="43">
        <v>3</v>
      </c>
      <c r="E405" s="43">
        <v>130620</v>
      </c>
      <c r="F405" s="43">
        <v>123703</v>
      </c>
      <c r="G405" s="43" t="s">
        <v>114</v>
      </c>
      <c r="H405">
        <v>11</v>
      </c>
      <c r="I405">
        <v>2228</v>
      </c>
      <c r="J405">
        <v>500</v>
      </c>
      <c r="K405" s="7">
        <v>25.7</v>
      </c>
      <c r="L405" s="22">
        <v>23.4</v>
      </c>
      <c r="M405" s="22">
        <v>22.1</v>
      </c>
      <c r="N405" s="40">
        <f t="shared" si="18"/>
        <v>0.91050583657587547</v>
      </c>
      <c r="O405" s="40">
        <f t="shared" si="19"/>
        <v>0.8599221789883269</v>
      </c>
      <c r="P405" s="4" t="s">
        <v>139</v>
      </c>
      <c r="Q405" s="72">
        <f>VLOOKUP('All inst data'!A405,'all mice (except april 2012)'!$A$2:$G$218,7,FALSE)</f>
        <v>76</v>
      </c>
    </row>
    <row r="406" spans="1:17" x14ac:dyDescent="0.25">
      <c r="A406" s="43">
        <v>135</v>
      </c>
      <c r="B406" s="43">
        <v>24</v>
      </c>
      <c r="C406" s="43">
        <v>4</v>
      </c>
      <c r="D406" s="43">
        <v>3</v>
      </c>
      <c r="E406" s="43">
        <v>130620</v>
      </c>
      <c r="F406" s="43">
        <v>123703</v>
      </c>
      <c r="G406" s="43" t="s">
        <v>114</v>
      </c>
      <c r="H406">
        <v>12</v>
      </c>
      <c r="I406">
        <v>719</v>
      </c>
      <c r="J406">
        <v>212</v>
      </c>
      <c r="K406" s="7">
        <v>25.9</v>
      </c>
      <c r="L406" s="22">
        <v>22.9</v>
      </c>
      <c r="M406" s="22">
        <v>21.5</v>
      </c>
      <c r="N406" s="40">
        <f t="shared" si="18"/>
        <v>0.88416988416988418</v>
      </c>
      <c r="O406" s="40">
        <f t="shared" si="19"/>
        <v>0.83011583011583012</v>
      </c>
      <c r="P406" s="4" t="s">
        <v>139</v>
      </c>
      <c r="Q406" s="72">
        <f>VLOOKUP('All inst data'!A406,'all mice (except april 2012)'!$A$2:$G$218,7,FALSE)</f>
        <v>76</v>
      </c>
    </row>
    <row r="407" spans="1:17" x14ac:dyDescent="0.25">
      <c r="A407" s="13">
        <v>136</v>
      </c>
      <c r="B407" s="13">
        <v>1</v>
      </c>
      <c r="C407" s="13">
        <v>5</v>
      </c>
      <c r="D407" s="13">
        <v>1</v>
      </c>
      <c r="E407" s="13">
        <v>130701</v>
      </c>
      <c r="F407" s="13">
        <v>104847</v>
      </c>
      <c r="G407" s="13" t="s">
        <v>117</v>
      </c>
      <c r="H407">
        <v>1</v>
      </c>
      <c r="I407">
        <v>3</v>
      </c>
      <c r="J407">
        <v>3</v>
      </c>
      <c r="K407" s="7">
        <v>15.3</v>
      </c>
      <c r="L407" s="22">
        <v>13.9</v>
      </c>
      <c r="M407" s="22">
        <v>12.7</v>
      </c>
      <c r="N407" s="40">
        <f t="shared" si="18"/>
        <v>0.90849673202614378</v>
      </c>
      <c r="O407" s="40">
        <f t="shared" si="19"/>
        <v>0.83006535947712412</v>
      </c>
      <c r="P407" s="4">
        <v>3.4</v>
      </c>
      <c r="Q407" s="72">
        <f>VLOOKUP('All inst data'!A407,'all mice (except april 2012)'!$A$2:$G$218,7,FALSE)</f>
        <v>85</v>
      </c>
    </row>
    <row r="408" spans="1:17" x14ac:dyDescent="0.25">
      <c r="A408" s="13">
        <v>137</v>
      </c>
      <c r="B408" s="13">
        <v>2</v>
      </c>
      <c r="C408" s="13">
        <v>5</v>
      </c>
      <c r="D408" s="13">
        <v>1</v>
      </c>
      <c r="E408" s="13">
        <v>130701</v>
      </c>
      <c r="F408" s="13">
        <v>104847</v>
      </c>
      <c r="G408" s="13" t="s">
        <v>117</v>
      </c>
      <c r="H408">
        <v>2</v>
      </c>
      <c r="I408">
        <v>21</v>
      </c>
      <c r="J408">
        <v>20</v>
      </c>
      <c r="K408" s="7">
        <v>16.8</v>
      </c>
      <c r="L408" s="22">
        <v>15.4</v>
      </c>
      <c r="M408" s="43">
        <v>14.1</v>
      </c>
      <c r="N408" s="40">
        <f t="shared" si="18"/>
        <v>0.91666666666666663</v>
      </c>
      <c r="O408" s="40">
        <f t="shared" si="19"/>
        <v>0.83928571428571419</v>
      </c>
      <c r="P408" s="4">
        <v>3.6</v>
      </c>
      <c r="Q408" s="72">
        <f>VLOOKUP('All inst data'!A408,'all mice (except april 2012)'!$A$2:$G$218,7,FALSE)</f>
        <v>85</v>
      </c>
    </row>
    <row r="409" spans="1:17" x14ac:dyDescent="0.25">
      <c r="A409" s="13">
        <v>138</v>
      </c>
      <c r="B409" s="13">
        <v>3</v>
      </c>
      <c r="C409" s="13">
        <v>5</v>
      </c>
      <c r="D409" s="13">
        <v>1</v>
      </c>
      <c r="E409" s="13">
        <v>130701</v>
      </c>
      <c r="F409" s="13">
        <v>104847</v>
      </c>
      <c r="G409" s="13" t="s">
        <v>116</v>
      </c>
      <c r="H409">
        <v>3</v>
      </c>
      <c r="I409">
        <v>196</v>
      </c>
      <c r="J409">
        <v>106</v>
      </c>
      <c r="K409" s="7">
        <v>17.2</v>
      </c>
      <c r="L409" s="22">
        <v>16.2</v>
      </c>
      <c r="M409" s="22">
        <v>13.5</v>
      </c>
      <c r="N409" s="40">
        <f t="shared" si="18"/>
        <v>0.94186046511627908</v>
      </c>
      <c r="O409" s="40">
        <f t="shared" si="19"/>
        <v>0.78488372093023262</v>
      </c>
      <c r="P409" s="4">
        <v>4.5</v>
      </c>
      <c r="Q409" s="72">
        <f>VLOOKUP('All inst data'!A409,'all mice (except april 2012)'!$A$2:$G$218,7,FALSE)</f>
        <v>83</v>
      </c>
    </row>
    <row r="410" spans="1:17" x14ac:dyDescent="0.25">
      <c r="A410" s="13">
        <v>140</v>
      </c>
      <c r="B410" s="13">
        <v>5</v>
      </c>
      <c r="C410" s="13">
        <v>5</v>
      </c>
      <c r="D410" s="13">
        <v>1</v>
      </c>
      <c r="E410" s="13">
        <v>130701</v>
      </c>
      <c r="F410" s="13">
        <v>104847</v>
      </c>
      <c r="G410" s="13" t="s">
        <v>135</v>
      </c>
      <c r="H410">
        <v>4</v>
      </c>
      <c r="I410">
        <v>2022</v>
      </c>
      <c r="J410">
        <v>456</v>
      </c>
      <c r="K410" s="7">
        <v>28.3</v>
      </c>
      <c r="L410" s="22">
        <v>25.6</v>
      </c>
      <c r="M410" s="43">
        <v>24.7</v>
      </c>
      <c r="N410" s="40">
        <f t="shared" si="18"/>
        <v>0.90459363957597172</v>
      </c>
      <c r="O410" s="40">
        <f t="shared" si="19"/>
        <v>0.87279151943462896</v>
      </c>
      <c r="P410" s="4">
        <v>3.55</v>
      </c>
      <c r="Q410" s="72">
        <f>VLOOKUP('All inst data'!A410,'all mice (except april 2012)'!$A$2:$G$218,7,FALSE)</f>
        <v>71</v>
      </c>
    </row>
    <row r="411" spans="1:17" x14ac:dyDescent="0.25">
      <c r="A411" s="13">
        <v>141</v>
      </c>
      <c r="B411" s="13">
        <v>6</v>
      </c>
      <c r="C411" s="13">
        <v>5</v>
      </c>
      <c r="D411" s="13">
        <v>1</v>
      </c>
      <c r="E411" s="13">
        <v>130701</v>
      </c>
      <c r="F411" s="13">
        <v>104847</v>
      </c>
      <c r="G411" s="13" t="s">
        <v>135</v>
      </c>
      <c r="H411">
        <v>5</v>
      </c>
      <c r="I411">
        <v>20</v>
      </c>
      <c r="J411">
        <v>20</v>
      </c>
      <c r="K411" s="7">
        <v>31</v>
      </c>
      <c r="L411" s="22">
        <v>26.7</v>
      </c>
      <c r="M411" s="22">
        <v>24</v>
      </c>
      <c r="N411" s="40">
        <f t="shared" si="18"/>
        <v>0.86129032258064508</v>
      </c>
      <c r="O411" s="40">
        <f t="shared" si="19"/>
        <v>0.77419354838709675</v>
      </c>
      <c r="P411" s="4">
        <v>3.55</v>
      </c>
      <c r="Q411" s="72">
        <f>VLOOKUP('All inst data'!A411,'all mice (except april 2012)'!$A$2:$G$218,7,FALSE)</f>
        <v>71</v>
      </c>
    </row>
    <row r="412" spans="1:17" x14ac:dyDescent="0.25">
      <c r="A412" s="13">
        <v>136</v>
      </c>
      <c r="B412" s="13">
        <v>1</v>
      </c>
      <c r="C412" s="13">
        <v>5</v>
      </c>
      <c r="D412" s="13">
        <v>2</v>
      </c>
      <c r="E412" s="13">
        <v>130702</v>
      </c>
      <c r="F412" s="13">
        <v>95358</v>
      </c>
      <c r="G412" s="13" t="s">
        <v>117</v>
      </c>
      <c r="H412">
        <v>1</v>
      </c>
      <c r="I412">
        <v>1</v>
      </c>
      <c r="J412">
        <v>1</v>
      </c>
      <c r="K412" s="7">
        <v>15.3</v>
      </c>
      <c r="L412" s="22">
        <v>14.1</v>
      </c>
      <c r="M412" s="43">
        <v>13</v>
      </c>
      <c r="N412" s="40">
        <f t="shared" si="18"/>
        <v>0.92156862745098034</v>
      </c>
      <c r="O412" s="40">
        <f t="shared" si="19"/>
        <v>0.84967320261437906</v>
      </c>
      <c r="P412" s="4">
        <v>3.4</v>
      </c>
      <c r="Q412" s="72">
        <f>VLOOKUP('All inst data'!A412,'all mice (except april 2012)'!$A$2:$G$218,7,FALSE)</f>
        <v>85</v>
      </c>
    </row>
    <row r="413" spans="1:17" x14ac:dyDescent="0.25">
      <c r="A413" s="13">
        <v>137</v>
      </c>
      <c r="B413" s="13">
        <v>2</v>
      </c>
      <c r="C413" s="13">
        <v>5</v>
      </c>
      <c r="D413" s="13">
        <v>2</v>
      </c>
      <c r="E413" s="13">
        <v>130702</v>
      </c>
      <c r="F413" s="13">
        <v>95358</v>
      </c>
      <c r="G413" s="13" t="s">
        <v>117</v>
      </c>
      <c r="H413">
        <v>2</v>
      </c>
      <c r="I413">
        <v>6</v>
      </c>
      <c r="J413">
        <v>6</v>
      </c>
      <c r="K413" s="7">
        <v>16.8</v>
      </c>
      <c r="L413" s="22">
        <v>15.5</v>
      </c>
      <c r="M413" s="22">
        <v>14.3</v>
      </c>
      <c r="N413" s="40">
        <f t="shared" si="18"/>
        <v>0.92261904761904756</v>
      </c>
      <c r="O413" s="40">
        <f t="shared" si="19"/>
        <v>0.85119047619047616</v>
      </c>
      <c r="P413" s="4">
        <v>3.6</v>
      </c>
      <c r="Q413" s="72">
        <f>VLOOKUP('All inst data'!A413,'all mice (except april 2012)'!$A$2:$G$218,7,FALSE)</f>
        <v>85</v>
      </c>
    </row>
    <row r="414" spans="1:17" x14ac:dyDescent="0.25">
      <c r="A414" s="13">
        <v>138</v>
      </c>
      <c r="B414" s="13">
        <v>3</v>
      </c>
      <c r="C414" s="13">
        <v>5</v>
      </c>
      <c r="D414" s="13">
        <v>2</v>
      </c>
      <c r="E414" s="13">
        <v>130702</v>
      </c>
      <c r="F414" s="13">
        <v>95358</v>
      </c>
      <c r="G414" s="13" t="s">
        <v>116</v>
      </c>
      <c r="H414">
        <v>3</v>
      </c>
      <c r="I414">
        <v>812</v>
      </c>
      <c r="J414">
        <v>229</v>
      </c>
      <c r="K414" s="7">
        <v>17.2</v>
      </c>
      <c r="L414" s="22">
        <v>15.9</v>
      </c>
      <c r="M414" s="43">
        <v>13.8</v>
      </c>
      <c r="N414" s="40">
        <f t="shared" si="18"/>
        <v>0.92441860465116288</v>
      </c>
      <c r="O414" s="40">
        <f t="shared" si="19"/>
        <v>0.80232558139534893</v>
      </c>
      <c r="P414" s="4">
        <v>4.7</v>
      </c>
      <c r="Q414" s="72">
        <f>VLOOKUP('All inst data'!A414,'all mice (except april 2012)'!$A$2:$G$218,7,FALSE)</f>
        <v>83</v>
      </c>
    </row>
    <row r="415" spans="1:17" x14ac:dyDescent="0.25">
      <c r="A415" s="13">
        <v>140</v>
      </c>
      <c r="B415" s="13">
        <v>5</v>
      </c>
      <c r="C415" s="13">
        <v>5</v>
      </c>
      <c r="D415" s="13">
        <v>2</v>
      </c>
      <c r="E415" s="13">
        <v>130702</v>
      </c>
      <c r="F415" s="13">
        <v>95358</v>
      </c>
      <c r="G415" s="13" t="s">
        <v>135</v>
      </c>
      <c r="H415">
        <v>4</v>
      </c>
      <c r="I415">
        <v>2174</v>
      </c>
      <c r="J415">
        <v>486</v>
      </c>
      <c r="K415" s="7">
        <v>28.3</v>
      </c>
      <c r="L415" s="22">
        <v>25.3</v>
      </c>
      <c r="M415" s="22">
        <v>24.5</v>
      </c>
      <c r="N415" s="40">
        <f t="shared" si="18"/>
        <v>0.89399293286219084</v>
      </c>
      <c r="O415" s="40">
        <f t="shared" si="19"/>
        <v>0.86572438162544163</v>
      </c>
      <c r="P415" s="4">
        <v>3.95</v>
      </c>
      <c r="Q415" s="72">
        <f>VLOOKUP('All inst data'!A415,'all mice (except april 2012)'!$A$2:$G$218,7,FALSE)</f>
        <v>71</v>
      </c>
    </row>
    <row r="416" spans="1:17" x14ac:dyDescent="0.25">
      <c r="A416" s="13">
        <v>141</v>
      </c>
      <c r="B416" s="13">
        <v>6</v>
      </c>
      <c r="C416" s="13">
        <v>5</v>
      </c>
      <c r="D416" s="13">
        <v>2</v>
      </c>
      <c r="E416" s="13">
        <v>130702</v>
      </c>
      <c r="F416" s="13">
        <v>95358</v>
      </c>
      <c r="G416" s="13" t="s">
        <v>135</v>
      </c>
      <c r="H416">
        <v>5</v>
      </c>
      <c r="I416">
        <v>28</v>
      </c>
      <c r="J416">
        <v>28</v>
      </c>
      <c r="K416" s="7">
        <v>31</v>
      </c>
      <c r="L416" s="22">
        <v>27.1</v>
      </c>
      <c r="M416" s="43">
        <v>24.8</v>
      </c>
      <c r="N416" s="40">
        <f t="shared" si="18"/>
        <v>0.87419354838709684</v>
      </c>
      <c r="O416" s="40">
        <f t="shared" si="19"/>
        <v>0.8</v>
      </c>
      <c r="P416" s="4">
        <v>3.95</v>
      </c>
      <c r="Q416" s="72">
        <f>VLOOKUP('All inst data'!A416,'all mice (except april 2012)'!$A$2:$G$218,7,FALSE)</f>
        <v>71</v>
      </c>
    </row>
    <row r="417" spans="1:18" x14ac:dyDescent="0.25">
      <c r="A417" s="43">
        <v>142</v>
      </c>
      <c r="B417" s="43">
        <v>7</v>
      </c>
      <c r="C417" s="43">
        <v>5</v>
      </c>
      <c r="D417" s="43">
        <v>1</v>
      </c>
      <c r="E417" s="43">
        <v>130702</v>
      </c>
      <c r="F417" s="43">
        <v>95402</v>
      </c>
      <c r="G417" s="43" t="s">
        <v>173</v>
      </c>
      <c r="H417">
        <v>6</v>
      </c>
      <c r="I417">
        <v>1</v>
      </c>
      <c r="J417">
        <v>1</v>
      </c>
      <c r="K417" s="7">
        <v>23.3</v>
      </c>
      <c r="L417" s="22">
        <v>20.6</v>
      </c>
      <c r="M417" s="22">
        <v>18.600000000000001</v>
      </c>
      <c r="N417" s="40">
        <f t="shared" si="18"/>
        <v>0.88412017167381973</v>
      </c>
      <c r="O417" s="40">
        <f t="shared" si="19"/>
        <v>0.79828326180257514</v>
      </c>
      <c r="P417" s="4">
        <v>2.5</v>
      </c>
      <c r="Q417" s="72">
        <f>VLOOKUP('All inst data'!A417,'all mice (except april 2012)'!$A$2:$G$218,7,FALSE)</f>
        <v>69</v>
      </c>
    </row>
    <row r="418" spans="1:18" x14ac:dyDescent="0.25">
      <c r="A418" s="43">
        <v>143</v>
      </c>
      <c r="B418" s="43">
        <v>8</v>
      </c>
      <c r="C418" s="43">
        <v>5</v>
      </c>
      <c r="D418" s="43">
        <v>1</v>
      </c>
      <c r="E418" s="43">
        <v>130702</v>
      </c>
      <c r="F418" s="43">
        <v>95402</v>
      </c>
      <c r="G418" s="43" t="s">
        <v>173</v>
      </c>
      <c r="H418">
        <v>7</v>
      </c>
      <c r="I418">
        <v>1970</v>
      </c>
      <c r="J418">
        <v>443</v>
      </c>
      <c r="K418" s="7">
        <v>24.5</v>
      </c>
      <c r="L418" s="22">
        <v>21.8</v>
      </c>
      <c r="M418" s="43">
        <v>20.5</v>
      </c>
      <c r="N418" s="40">
        <f t="shared" si="18"/>
        <v>0.88979591836734695</v>
      </c>
      <c r="O418" s="40">
        <f t="shared" si="19"/>
        <v>0.83673469387755106</v>
      </c>
      <c r="P418" s="4">
        <v>2.5</v>
      </c>
      <c r="Q418" s="72">
        <f>VLOOKUP('All inst data'!A418,'all mice (except april 2012)'!$A$2:$G$218,7,FALSE)</f>
        <v>69</v>
      </c>
    </row>
    <row r="419" spans="1:18" x14ac:dyDescent="0.25">
      <c r="A419" s="43">
        <v>144</v>
      </c>
      <c r="B419" s="43">
        <v>9</v>
      </c>
      <c r="C419" s="43">
        <v>5</v>
      </c>
      <c r="D419" s="43">
        <v>1</v>
      </c>
      <c r="E419" s="43">
        <v>130702</v>
      </c>
      <c r="F419" s="43">
        <v>95402</v>
      </c>
      <c r="G419" s="43" t="s">
        <v>188</v>
      </c>
      <c r="H419">
        <v>8</v>
      </c>
      <c r="I419">
        <v>2158</v>
      </c>
      <c r="J419">
        <v>500</v>
      </c>
      <c r="K419" s="7">
        <v>29.8</v>
      </c>
      <c r="L419" s="22">
        <v>26.8</v>
      </c>
      <c r="M419" s="22">
        <v>25.3</v>
      </c>
      <c r="N419" s="40">
        <f t="shared" si="18"/>
        <v>0.89932885906040272</v>
      </c>
      <c r="O419" s="40">
        <f t="shared" si="19"/>
        <v>0.84899328859060408</v>
      </c>
      <c r="P419" s="4">
        <v>2.1</v>
      </c>
      <c r="Q419" s="72">
        <f>VLOOKUP('All inst data'!A419,'all mice (except april 2012)'!$A$2:$G$218,7,FALSE)</f>
        <v>69</v>
      </c>
    </row>
    <row r="420" spans="1:18" x14ac:dyDescent="0.25">
      <c r="A420" s="43">
        <v>145</v>
      </c>
      <c r="B420" s="43">
        <v>10</v>
      </c>
      <c r="C420" s="43">
        <v>5</v>
      </c>
      <c r="D420" s="43">
        <v>1</v>
      </c>
      <c r="E420" s="43">
        <v>130702</v>
      </c>
      <c r="F420" s="43">
        <v>95403</v>
      </c>
      <c r="G420" s="43" t="s">
        <v>188</v>
      </c>
      <c r="H420">
        <v>9</v>
      </c>
      <c r="I420">
        <v>1804</v>
      </c>
      <c r="J420">
        <v>425</v>
      </c>
      <c r="K420" s="7">
        <v>25.1</v>
      </c>
      <c r="L420" s="22">
        <v>22.7</v>
      </c>
      <c r="M420" s="43">
        <v>21.6</v>
      </c>
      <c r="N420" s="40">
        <f t="shared" si="18"/>
        <v>0.90438247011952189</v>
      </c>
      <c r="O420" s="40">
        <f t="shared" si="19"/>
        <v>0.8605577689243028</v>
      </c>
      <c r="P420" s="4">
        <v>2.1</v>
      </c>
      <c r="Q420" s="72">
        <f>VLOOKUP('All inst data'!A420,'all mice (except april 2012)'!$A$2:$G$218,7,FALSE)</f>
        <v>69</v>
      </c>
    </row>
    <row r="421" spans="1:18" x14ac:dyDescent="0.25">
      <c r="A421" s="13">
        <v>136</v>
      </c>
      <c r="B421" s="13">
        <v>1</v>
      </c>
      <c r="C421" s="13">
        <v>5</v>
      </c>
      <c r="D421" s="13">
        <v>3</v>
      </c>
      <c r="E421" s="13">
        <v>130703</v>
      </c>
      <c r="F421" s="13">
        <v>121337</v>
      </c>
      <c r="G421" s="13" t="s">
        <v>117</v>
      </c>
      <c r="H421">
        <v>1</v>
      </c>
      <c r="I421">
        <v>1</v>
      </c>
      <c r="J421">
        <v>1</v>
      </c>
      <c r="K421" s="7">
        <v>15.3</v>
      </c>
      <c r="L421" s="22">
        <v>13.5</v>
      </c>
      <c r="M421" s="43">
        <v>12.2</v>
      </c>
      <c r="N421" s="40">
        <f t="shared" si="18"/>
        <v>0.88235294117647056</v>
      </c>
      <c r="O421" s="40">
        <f t="shared" si="19"/>
        <v>0.79738562091503262</v>
      </c>
      <c r="P421" s="4" t="s">
        <v>139</v>
      </c>
      <c r="Q421" s="72">
        <f>VLOOKUP('All inst data'!A421,'all mice (except april 2012)'!$A$2:$G$218,7,FALSE)</f>
        <v>85</v>
      </c>
    </row>
    <row r="422" spans="1:18" x14ac:dyDescent="0.25">
      <c r="A422" s="13">
        <v>137</v>
      </c>
      <c r="B422" s="13">
        <v>2</v>
      </c>
      <c r="C422" s="13">
        <v>5</v>
      </c>
      <c r="D422" s="13">
        <v>3</v>
      </c>
      <c r="E422" s="13">
        <v>130703</v>
      </c>
      <c r="F422" s="13">
        <v>121337</v>
      </c>
      <c r="G422" s="13" t="s">
        <v>117</v>
      </c>
      <c r="H422" s="43">
        <v>2</v>
      </c>
      <c r="I422" s="43">
        <v>84</v>
      </c>
      <c r="J422" s="43">
        <v>65</v>
      </c>
      <c r="K422" s="7">
        <v>16.8</v>
      </c>
      <c r="L422" s="43">
        <v>14.9</v>
      </c>
      <c r="M422" s="43">
        <v>14.2</v>
      </c>
      <c r="N422" s="40">
        <f t="shared" si="18"/>
        <v>0.88690476190476186</v>
      </c>
      <c r="O422" s="40">
        <f t="shared" si="19"/>
        <v>0.84523809523809512</v>
      </c>
      <c r="P422" s="4" t="s">
        <v>139</v>
      </c>
      <c r="Q422" s="72">
        <f>VLOOKUP('All inst data'!A422,'all mice (except april 2012)'!$A$2:$G$218,7,FALSE)</f>
        <v>85</v>
      </c>
    </row>
    <row r="423" spans="1:18" x14ac:dyDescent="0.25">
      <c r="A423" s="13">
        <v>138</v>
      </c>
      <c r="B423" s="13">
        <v>3</v>
      </c>
      <c r="C423" s="13">
        <v>5</v>
      </c>
      <c r="D423" s="13">
        <v>3</v>
      </c>
      <c r="E423" s="13">
        <v>130703</v>
      </c>
      <c r="F423" s="13">
        <v>121338</v>
      </c>
      <c r="G423" s="13" t="s">
        <v>116</v>
      </c>
      <c r="H423">
        <v>3</v>
      </c>
      <c r="I423">
        <v>636</v>
      </c>
      <c r="J423">
        <v>196</v>
      </c>
      <c r="K423" s="7">
        <v>17.2</v>
      </c>
      <c r="L423" s="22">
        <v>15.1</v>
      </c>
      <c r="M423" s="43">
        <v>13.6</v>
      </c>
      <c r="N423" s="40">
        <f t="shared" si="18"/>
        <v>0.87790697674418605</v>
      </c>
      <c r="O423" s="40">
        <f t="shared" si="19"/>
        <v>0.79069767441860461</v>
      </c>
      <c r="P423" s="4" t="s">
        <v>139</v>
      </c>
      <c r="Q423" s="72">
        <f>VLOOKUP('All inst data'!A423,'all mice (except april 2012)'!$A$2:$G$218,7,FALSE)</f>
        <v>83</v>
      </c>
    </row>
    <row r="424" spans="1:18" x14ac:dyDescent="0.25">
      <c r="A424" s="13">
        <v>140</v>
      </c>
      <c r="B424" s="13">
        <v>5</v>
      </c>
      <c r="C424" s="13">
        <v>5</v>
      </c>
      <c r="D424" s="13">
        <v>3</v>
      </c>
      <c r="E424" s="13">
        <v>130703</v>
      </c>
      <c r="F424" s="13">
        <v>121338</v>
      </c>
      <c r="G424" s="13" t="s">
        <v>135</v>
      </c>
      <c r="H424">
        <v>4</v>
      </c>
      <c r="I424">
        <v>2413</v>
      </c>
      <c r="J424">
        <v>500</v>
      </c>
      <c r="K424" s="7">
        <v>28.3</v>
      </c>
      <c r="L424" s="43">
        <v>25.2</v>
      </c>
      <c r="M424" s="22">
        <v>24.6</v>
      </c>
      <c r="N424" s="40">
        <f t="shared" si="18"/>
        <v>0.89045936395759717</v>
      </c>
      <c r="O424" s="40">
        <f t="shared" si="19"/>
        <v>0.86925795053003541</v>
      </c>
      <c r="P424" s="4" t="s">
        <v>139</v>
      </c>
      <c r="Q424" s="72">
        <f>VLOOKUP('All inst data'!A424,'all mice (except april 2012)'!$A$2:$G$218,7,FALSE)</f>
        <v>71</v>
      </c>
    </row>
    <row r="425" spans="1:18" x14ac:dyDescent="0.25">
      <c r="A425" s="13">
        <v>141</v>
      </c>
      <c r="B425" s="13">
        <v>6</v>
      </c>
      <c r="C425" s="13">
        <v>5</v>
      </c>
      <c r="D425" s="13">
        <v>3</v>
      </c>
      <c r="E425" s="13">
        <v>130703</v>
      </c>
      <c r="F425" s="13">
        <v>111914</v>
      </c>
      <c r="G425" s="13" t="s">
        <v>135</v>
      </c>
      <c r="H425">
        <v>5</v>
      </c>
      <c r="I425">
        <v>231</v>
      </c>
      <c r="J425">
        <v>115</v>
      </c>
      <c r="K425" s="7">
        <v>31</v>
      </c>
      <c r="L425" s="22">
        <v>27.6</v>
      </c>
      <c r="M425" s="43">
        <v>25</v>
      </c>
      <c r="N425" s="40">
        <f t="shared" si="18"/>
        <v>0.89032258064516134</v>
      </c>
      <c r="O425" s="40">
        <f t="shared" si="19"/>
        <v>0.80645161290322576</v>
      </c>
      <c r="P425" s="4" t="s">
        <v>139</v>
      </c>
      <c r="Q425" s="72">
        <f>VLOOKUP('All inst data'!A425,'all mice (except april 2012)'!$A$2:$G$218,7,FALSE)</f>
        <v>71</v>
      </c>
    </row>
    <row r="426" spans="1:18" x14ac:dyDescent="0.25">
      <c r="A426" s="43">
        <v>142</v>
      </c>
      <c r="B426" s="43">
        <v>7</v>
      </c>
      <c r="C426" s="43">
        <v>5</v>
      </c>
      <c r="D426" s="43">
        <v>2</v>
      </c>
      <c r="E426" s="43">
        <v>130703</v>
      </c>
      <c r="F426" s="43">
        <v>111842</v>
      </c>
      <c r="G426" s="43" t="s">
        <v>173</v>
      </c>
      <c r="H426">
        <v>6</v>
      </c>
      <c r="I426">
        <v>2</v>
      </c>
      <c r="J426">
        <v>2</v>
      </c>
      <c r="K426" s="7">
        <v>23.3</v>
      </c>
      <c r="L426" s="22">
        <v>20.6</v>
      </c>
      <c r="M426" s="22">
        <v>18.5</v>
      </c>
      <c r="N426" s="40">
        <f t="shared" si="18"/>
        <v>0.88412017167381973</v>
      </c>
      <c r="O426" s="40">
        <f t="shared" si="19"/>
        <v>0.79399141630901282</v>
      </c>
      <c r="P426" s="4">
        <v>3</v>
      </c>
      <c r="Q426" s="72">
        <f>VLOOKUP('All inst data'!A426,'all mice (except april 2012)'!$A$2:$G$218,7,FALSE)</f>
        <v>69</v>
      </c>
    </row>
    <row r="427" spans="1:18" x14ac:dyDescent="0.25">
      <c r="A427" s="43">
        <v>143</v>
      </c>
      <c r="B427" s="43">
        <v>8</v>
      </c>
      <c r="C427" s="43">
        <v>5</v>
      </c>
      <c r="D427" s="43">
        <v>2</v>
      </c>
      <c r="E427" s="43">
        <v>130703</v>
      </c>
      <c r="F427" s="43">
        <v>112655</v>
      </c>
      <c r="G427" s="43" t="s">
        <v>173</v>
      </c>
      <c r="H427">
        <v>7</v>
      </c>
      <c r="I427">
        <v>2304</v>
      </c>
      <c r="J427">
        <v>500</v>
      </c>
      <c r="K427" s="7">
        <v>24.5</v>
      </c>
      <c r="L427" s="22">
        <v>21.8</v>
      </c>
      <c r="M427" s="22">
        <v>20.6</v>
      </c>
      <c r="N427" s="40">
        <f t="shared" si="18"/>
        <v>0.88979591836734695</v>
      </c>
      <c r="O427" s="40">
        <f t="shared" si="19"/>
        <v>0.84081632653061233</v>
      </c>
      <c r="P427" s="4">
        <v>3</v>
      </c>
      <c r="Q427" s="72">
        <f>VLOOKUP('All inst data'!A427,'all mice (except april 2012)'!$A$2:$G$218,7,FALSE)</f>
        <v>69</v>
      </c>
    </row>
    <row r="428" spans="1:18" x14ac:dyDescent="0.25">
      <c r="A428" s="43">
        <v>144</v>
      </c>
      <c r="B428" s="43">
        <v>9</v>
      </c>
      <c r="C428" s="43">
        <v>5</v>
      </c>
      <c r="D428" s="43">
        <v>2</v>
      </c>
      <c r="E428" s="43">
        <v>130703</v>
      </c>
      <c r="F428" s="43">
        <v>111842</v>
      </c>
      <c r="G428" s="43" t="s">
        <v>188</v>
      </c>
      <c r="H428">
        <v>8</v>
      </c>
      <c r="I428">
        <v>2163</v>
      </c>
      <c r="J428">
        <v>500</v>
      </c>
      <c r="K428" s="7">
        <v>29.8</v>
      </c>
      <c r="L428" s="22">
        <v>26.2</v>
      </c>
      <c r="M428" s="22">
        <v>25.3</v>
      </c>
      <c r="N428" s="40">
        <f t="shared" si="18"/>
        <v>0.87919463087248317</v>
      </c>
      <c r="O428" s="40">
        <f t="shared" si="19"/>
        <v>0.84899328859060408</v>
      </c>
      <c r="P428" s="4">
        <v>2.15</v>
      </c>
      <c r="Q428" s="72">
        <f>VLOOKUP('All inst data'!A428,'all mice (except april 2012)'!$A$2:$G$218,7,FALSE)</f>
        <v>69</v>
      </c>
      <c r="R428" s="43"/>
    </row>
    <row r="429" spans="1:18" x14ac:dyDescent="0.25">
      <c r="A429" s="43">
        <v>145</v>
      </c>
      <c r="B429" s="43">
        <v>10</v>
      </c>
      <c r="C429" s="43">
        <v>5</v>
      </c>
      <c r="D429" s="43">
        <v>2</v>
      </c>
      <c r="E429" s="43">
        <v>130703</v>
      </c>
      <c r="F429" s="43">
        <v>111842</v>
      </c>
      <c r="G429" s="43" t="s">
        <v>188</v>
      </c>
      <c r="H429">
        <v>9</v>
      </c>
      <c r="I429">
        <v>2187</v>
      </c>
      <c r="J429">
        <v>500</v>
      </c>
      <c r="K429" s="7">
        <v>25.1</v>
      </c>
      <c r="L429" s="22">
        <v>22</v>
      </c>
      <c r="M429" s="43">
        <v>21.6</v>
      </c>
      <c r="N429" s="40">
        <f t="shared" si="18"/>
        <v>0.87649402390438247</v>
      </c>
      <c r="O429" s="40">
        <f t="shared" si="19"/>
        <v>0.8605577689243028</v>
      </c>
      <c r="P429" s="4">
        <v>2.1150000000000002</v>
      </c>
      <c r="Q429" s="72">
        <f>VLOOKUP('All inst data'!A429,'all mice (except april 2012)'!$A$2:$G$218,7,FALSE)</f>
        <v>69</v>
      </c>
      <c r="R429" s="43"/>
    </row>
    <row r="430" spans="1:18" x14ac:dyDescent="0.25">
      <c r="A430" s="43">
        <v>142</v>
      </c>
      <c r="B430" s="43">
        <v>7</v>
      </c>
      <c r="C430" s="43">
        <v>5</v>
      </c>
      <c r="D430" s="43">
        <v>3</v>
      </c>
      <c r="E430" s="43">
        <v>130704</v>
      </c>
      <c r="F430" s="43">
        <v>103935</v>
      </c>
      <c r="G430" s="43" t="s">
        <v>173</v>
      </c>
      <c r="H430">
        <v>6</v>
      </c>
      <c r="I430">
        <v>0</v>
      </c>
      <c r="J430">
        <v>0</v>
      </c>
      <c r="K430" s="7">
        <v>23.3</v>
      </c>
      <c r="L430" s="43">
        <v>21.5</v>
      </c>
      <c r="M430" s="43">
        <v>19.399999999999999</v>
      </c>
      <c r="N430" s="40">
        <f t="shared" si="18"/>
        <v>0.92274678111587982</v>
      </c>
      <c r="O430" s="40">
        <f t="shared" si="19"/>
        <v>0.83261802575107291</v>
      </c>
      <c r="P430" s="4" t="s">
        <v>139</v>
      </c>
      <c r="Q430" s="72">
        <f>VLOOKUP('All inst data'!A430,'all mice (except april 2012)'!$A$2:$G$218,7,FALSE)</f>
        <v>69</v>
      </c>
      <c r="R430" s="43"/>
    </row>
    <row r="431" spans="1:18" x14ac:dyDescent="0.25">
      <c r="A431" s="43">
        <v>143</v>
      </c>
      <c r="B431" s="43">
        <v>8</v>
      </c>
      <c r="C431" s="43">
        <v>5</v>
      </c>
      <c r="D431" s="43">
        <v>3</v>
      </c>
      <c r="E431" s="43">
        <v>130704</v>
      </c>
      <c r="F431" s="43">
        <v>103936</v>
      </c>
      <c r="G431" s="43" t="s">
        <v>173</v>
      </c>
      <c r="H431">
        <v>7</v>
      </c>
      <c r="I431">
        <v>2309</v>
      </c>
      <c r="J431">
        <v>500</v>
      </c>
      <c r="K431" s="7">
        <v>24.5</v>
      </c>
      <c r="L431" s="22">
        <v>22.8</v>
      </c>
      <c r="M431" s="43">
        <v>21.3</v>
      </c>
      <c r="N431" s="40">
        <f t="shared" si="18"/>
        <v>0.93061224489795924</v>
      </c>
      <c r="O431" s="40">
        <f t="shared" ref="O431:O462" si="20">M431/K431</f>
        <v>0.8693877551020408</v>
      </c>
      <c r="P431" s="4" t="s">
        <v>139</v>
      </c>
      <c r="Q431" s="72">
        <f>VLOOKUP('All inst data'!A431,'all mice (except april 2012)'!$A$2:$G$218,7,FALSE)</f>
        <v>69</v>
      </c>
      <c r="R431" s="43"/>
    </row>
    <row r="432" spans="1:18" x14ac:dyDescent="0.25">
      <c r="A432" s="43">
        <v>144</v>
      </c>
      <c r="B432" s="43">
        <v>9</v>
      </c>
      <c r="C432" s="43">
        <v>5</v>
      </c>
      <c r="D432" s="43">
        <v>3</v>
      </c>
      <c r="E432" s="43">
        <v>130704</v>
      </c>
      <c r="F432" s="43">
        <v>103936</v>
      </c>
      <c r="G432" s="43" t="s">
        <v>188</v>
      </c>
      <c r="H432">
        <v>8</v>
      </c>
      <c r="I432">
        <v>2160</v>
      </c>
      <c r="J432">
        <v>500</v>
      </c>
      <c r="K432" s="7">
        <v>29.8</v>
      </c>
      <c r="L432" s="22">
        <v>26.5</v>
      </c>
      <c r="M432" s="43">
        <v>26</v>
      </c>
      <c r="N432" s="40">
        <f t="shared" si="18"/>
        <v>0.88926174496644295</v>
      </c>
      <c r="O432" s="40">
        <f t="shared" si="20"/>
        <v>0.87248322147651003</v>
      </c>
      <c r="P432" s="4" t="s">
        <v>139</v>
      </c>
      <c r="Q432" s="72">
        <f>VLOOKUP('All inst data'!A432,'all mice (except april 2012)'!$A$2:$G$218,7,FALSE)</f>
        <v>69</v>
      </c>
    </row>
    <row r="433" spans="1:17" x14ac:dyDescent="0.25">
      <c r="A433" s="43">
        <v>145</v>
      </c>
      <c r="B433" s="43">
        <v>10</v>
      </c>
      <c r="C433" s="43">
        <v>5</v>
      </c>
      <c r="D433" s="43">
        <v>3</v>
      </c>
      <c r="E433" s="43">
        <v>130704</v>
      </c>
      <c r="F433" s="43">
        <v>103936</v>
      </c>
      <c r="G433" s="43" t="s">
        <v>188</v>
      </c>
      <c r="H433">
        <v>9</v>
      </c>
      <c r="I433">
        <v>2176</v>
      </c>
      <c r="J433">
        <v>500</v>
      </c>
      <c r="K433" s="7">
        <v>25.1</v>
      </c>
      <c r="L433" s="22">
        <v>22.9</v>
      </c>
      <c r="M433" s="43">
        <v>21.9</v>
      </c>
      <c r="N433" s="40">
        <f t="shared" si="18"/>
        <v>0.91235059760956161</v>
      </c>
      <c r="O433" s="40">
        <f t="shared" si="20"/>
        <v>0.87250996015936244</v>
      </c>
      <c r="P433" s="4" t="s">
        <v>139</v>
      </c>
      <c r="Q433" s="72">
        <f>VLOOKUP('All inst data'!A433,'all mice (except april 2012)'!$A$2:$G$218,7,FALSE)</f>
        <v>69</v>
      </c>
    </row>
    <row r="434" spans="1:17" x14ac:dyDescent="0.25">
      <c r="A434" s="43">
        <v>146</v>
      </c>
      <c r="B434" s="43">
        <v>11</v>
      </c>
      <c r="C434" s="43">
        <v>5</v>
      </c>
      <c r="D434" s="43">
        <v>1</v>
      </c>
      <c r="E434" s="43">
        <v>130704</v>
      </c>
      <c r="F434" s="43">
        <v>103349</v>
      </c>
      <c r="G434" s="43" t="s">
        <v>122</v>
      </c>
      <c r="H434">
        <v>1</v>
      </c>
      <c r="I434">
        <v>831</v>
      </c>
      <c r="J434">
        <v>231</v>
      </c>
      <c r="K434" s="7">
        <v>20.2</v>
      </c>
      <c r="L434" s="22">
        <v>17.7</v>
      </c>
      <c r="M434" s="43">
        <v>16.600000000000001</v>
      </c>
      <c r="N434" s="40">
        <f t="shared" si="18"/>
        <v>0.87623762376237624</v>
      </c>
      <c r="O434" s="40">
        <f t="shared" si="20"/>
        <v>0.82178217821782185</v>
      </c>
      <c r="P434" s="4">
        <v>2.8</v>
      </c>
      <c r="Q434" s="72">
        <f>VLOOKUP('All inst data'!A434,'all mice (except april 2012)'!$A$2:$G$218,7,FALSE)</f>
        <v>65</v>
      </c>
    </row>
    <row r="435" spans="1:17" x14ac:dyDescent="0.25">
      <c r="A435" s="43">
        <v>147</v>
      </c>
      <c r="B435" s="43">
        <v>12</v>
      </c>
      <c r="C435" s="43">
        <v>5</v>
      </c>
      <c r="D435" s="43">
        <v>1</v>
      </c>
      <c r="E435" s="43">
        <v>130704</v>
      </c>
      <c r="F435" s="43">
        <v>103349</v>
      </c>
      <c r="G435" s="43" t="s">
        <v>122</v>
      </c>
      <c r="H435">
        <v>2</v>
      </c>
      <c r="I435">
        <v>368</v>
      </c>
      <c r="J435">
        <v>141</v>
      </c>
      <c r="K435" s="7">
        <v>20.399999999999999</v>
      </c>
      <c r="L435" s="22">
        <v>18.3</v>
      </c>
      <c r="M435" s="43">
        <v>17.5</v>
      </c>
      <c r="N435" s="40">
        <f t="shared" si="18"/>
        <v>0.89705882352941191</v>
      </c>
      <c r="O435" s="40">
        <f t="shared" si="20"/>
        <v>0.85784313725490202</v>
      </c>
      <c r="P435" s="4">
        <v>2.8</v>
      </c>
      <c r="Q435" s="72">
        <f>VLOOKUP('All inst data'!A435,'all mice (except april 2012)'!$A$2:$G$218,7,FALSE)</f>
        <v>65</v>
      </c>
    </row>
    <row r="436" spans="1:17" x14ac:dyDescent="0.25">
      <c r="A436" s="43">
        <v>148</v>
      </c>
      <c r="B436" s="43">
        <v>13</v>
      </c>
      <c r="C436" s="43">
        <v>5</v>
      </c>
      <c r="D436" s="43">
        <v>1</v>
      </c>
      <c r="E436" s="43">
        <v>130704</v>
      </c>
      <c r="F436" s="43">
        <v>103349</v>
      </c>
      <c r="G436" s="43" t="s">
        <v>123</v>
      </c>
      <c r="H436">
        <v>3</v>
      </c>
      <c r="I436">
        <v>502</v>
      </c>
      <c r="J436">
        <v>166</v>
      </c>
      <c r="K436" s="7">
        <v>21.8</v>
      </c>
      <c r="L436" s="22">
        <v>19.7</v>
      </c>
      <c r="M436" s="43">
        <v>17.2</v>
      </c>
      <c r="N436" s="40">
        <f t="shared" si="18"/>
        <v>0.90366972477064211</v>
      </c>
      <c r="O436" s="40">
        <f t="shared" si="20"/>
        <v>0.78899082568807333</v>
      </c>
      <c r="P436" s="4">
        <v>2.75</v>
      </c>
      <c r="Q436" s="72">
        <f>VLOOKUP('All inst data'!A436,'all mice (except april 2012)'!$A$2:$G$218,7,FALSE)</f>
        <v>57</v>
      </c>
    </row>
    <row r="437" spans="1:17" x14ac:dyDescent="0.25">
      <c r="A437" s="43">
        <v>149</v>
      </c>
      <c r="B437" s="43">
        <v>14</v>
      </c>
      <c r="C437" s="43">
        <v>5</v>
      </c>
      <c r="D437" s="43">
        <v>1</v>
      </c>
      <c r="E437" s="43">
        <v>130704</v>
      </c>
      <c r="F437" s="43">
        <v>103350</v>
      </c>
      <c r="G437" s="43" t="s">
        <v>123</v>
      </c>
      <c r="H437">
        <v>4</v>
      </c>
      <c r="I437">
        <v>64</v>
      </c>
      <c r="J437">
        <v>53</v>
      </c>
      <c r="K437" s="7">
        <v>22.2</v>
      </c>
      <c r="L437" s="22">
        <v>20.6</v>
      </c>
      <c r="M437" s="43">
        <v>18.3</v>
      </c>
      <c r="N437" s="40">
        <f t="shared" si="18"/>
        <v>0.927927927927928</v>
      </c>
      <c r="O437" s="40">
        <f t="shared" si="20"/>
        <v>0.82432432432432434</v>
      </c>
      <c r="P437" s="4">
        <v>2.75</v>
      </c>
      <c r="Q437" s="72">
        <f>VLOOKUP('All inst data'!A437,'all mice (except april 2012)'!$A$2:$G$218,7,FALSE)</f>
        <v>57</v>
      </c>
    </row>
    <row r="438" spans="1:17" x14ac:dyDescent="0.25">
      <c r="A438" s="43">
        <v>146</v>
      </c>
      <c r="B438" s="43">
        <v>11</v>
      </c>
      <c r="C438" s="43">
        <v>5</v>
      </c>
      <c r="D438" s="43">
        <v>2</v>
      </c>
      <c r="E438" s="43">
        <v>130705</v>
      </c>
      <c r="F438" s="43">
        <v>105907</v>
      </c>
      <c r="G438" s="43" t="s">
        <v>122</v>
      </c>
      <c r="H438">
        <v>1</v>
      </c>
      <c r="I438">
        <v>1169</v>
      </c>
      <c r="J438">
        <v>300</v>
      </c>
      <c r="K438" s="7">
        <v>20.2</v>
      </c>
      <c r="L438" s="22">
        <v>18.399999999999999</v>
      </c>
      <c r="M438" s="43">
        <v>16.8</v>
      </c>
      <c r="N438" s="40">
        <f t="shared" si="18"/>
        <v>0.91089108910891081</v>
      </c>
      <c r="O438" s="40">
        <f t="shared" si="20"/>
        <v>0.83168316831683176</v>
      </c>
      <c r="P438" s="4">
        <v>2.7</v>
      </c>
      <c r="Q438" s="72">
        <f>VLOOKUP('All inst data'!A438,'all mice (except april 2012)'!$A$2:$G$218,7,FALSE)</f>
        <v>65</v>
      </c>
    </row>
    <row r="439" spans="1:17" x14ac:dyDescent="0.25">
      <c r="A439" s="43">
        <v>147</v>
      </c>
      <c r="B439" s="43">
        <v>12</v>
      </c>
      <c r="C439" s="43">
        <v>5</v>
      </c>
      <c r="D439" s="43">
        <v>2</v>
      </c>
      <c r="E439" s="43">
        <v>130705</v>
      </c>
      <c r="F439" s="43">
        <v>105907</v>
      </c>
      <c r="G439" s="43" t="s">
        <v>122</v>
      </c>
      <c r="H439">
        <v>2</v>
      </c>
      <c r="I439">
        <v>391</v>
      </c>
      <c r="J439">
        <v>147</v>
      </c>
      <c r="K439" s="7">
        <v>20.399999999999999</v>
      </c>
      <c r="L439" s="22">
        <v>18.7</v>
      </c>
      <c r="M439" s="22">
        <v>17.3</v>
      </c>
      <c r="N439" s="40">
        <f t="shared" si="18"/>
        <v>0.91666666666666674</v>
      </c>
      <c r="O439" s="40">
        <f t="shared" si="20"/>
        <v>0.84803921568627461</v>
      </c>
      <c r="P439" s="4">
        <v>2.7</v>
      </c>
      <c r="Q439" s="72">
        <f>VLOOKUP('All inst data'!A439,'all mice (except april 2012)'!$A$2:$G$218,7,FALSE)</f>
        <v>65</v>
      </c>
    </row>
    <row r="440" spans="1:17" x14ac:dyDescent="0.25">
      <c r="A440" s="43">
        <v>148</v>
      </c>
      <c r="B440" s="43">
        <v>13</v>
      </c>
      <c r="C440" s="43">
        <v>5</v>
      </c>
      <c r="D440" s="43">
        <v>2</v>
      </c>
      <c r="E440" s="43">
        <v>130705</v>
      </c>
      <c r="F440" s="43">
        <v>105907</v>
      </c>
      <c r="G440" s="43" t="s">
        <v>123</v>
      </c>
      <c r="H440">
        <v>3</v>
      </c>
      <c r="I440">
        <v>807</v>
      </c>
      <c r="J440">
        <v>230</v>
      </c>
      <c r="K440" s="7">
        <v>21.8</v>
      </c>
      <c r="L440" s="22">
        <v>19.100000000000001</v>
      </c>
      <c r="M440" s="22">
        <v>17.100000000000001</v>
      </c>
      <c r="N440" s="40">
        <f t="shared" si="18"/>
        <v>0.87614678899082576</v>
      </c>
      <c r="O440" s="40">
        <f t="shared" si="20"/>
        <v>0.78440366972477071</v>
      </c>
      <c r="P440" s="4">
        <v>2.85</v>
      </c>
      <c r="Q440" s="72">
        <f>VLOOKUP('All inst data'!A440,'all mice (except april 2012)'!$A$2:$G$218,7,FALSE)</f>
        <v>57</v>
      </c>
    </row>
    <row r="441" spans="1:17" x14ac:dyDescent="0.25">
      <c r="A441" s="43">
        <v>149</v>
      </c>
      <c r="B441" s="43">
        <v>14</v>
      </c>
      <c r="C441" s="43">
        <v>5</v>
      </c>
      <c r="D441" s="43">
        <v>2</v>
      </c>
      <c r="E441" s="43">
        <v>130705</v>
      </c>
      <c r="F441" s="43">
        <v>105907</v>
      </c>
      <c r="G441" s="43" t="s">
        <v>123</v>
      </c>
      <c r="H441">
        <v>4</v>
      </c>
      <c r="I441">
        <v>1243</v>
      </c>
      <c r="J441">
        <v>298</v>
      </c>
      <c r="K441" s="7">
        <v>22.2</v>
      </c>
      <c r="L441" s="22">
        <v>20.100000000000001</v>
      </c>
      <c r="M441" s="43">
        <v>18</v>
      </c>
      <c r="N441" s="40">
        <f t="shared" si="18"/>
        <v>0.90540540540540548</v>
      </c>
      <c r="O441" s="40">
        <f t="shared" si="20"/>
        <v>0.81081081081081086</v>
      </c>
      <c r="P441" s="4">
        <v>2.85</v>
      </c>
      <c r="Q441" s="72">
        <f>VLOOKUP('All inst data'!A441,'all mice (except april 2012)'!$A$2:$G$218,7,FALSE)</f>
        <v>57</v>
      </c>
    </row>
    <row r="442" spans="1:17" x14ac:dyDescent="0.25">
      <c r="A442" s="43">
        <v>146</v>
      </c>
      <c r="B442" s="43">
        <v>11</v>
      </c>
      <c r="C442" s="43">
        <v>5</v>
      </c>
      <c r="D442" s="43">
        <v>3</v>
      </c>
      <c r="E442" s="43">
        <v>130706</v>
      </c>
      <c r="F442" s="43">
        <v>114934</v>
      </c>
      <c r="G442" s="43" t="s">
        <v>122</v>
      </c>
      <c r="H442">
        <v>1</v>
      </c>
      <c r="I442">
        <v>1372</v>
      </c>
      <c r="J442">
        <v>341</v>
      </c>
      <c r="K442" s="7">
        <v>20.2</v>
      </c>
      <c r="L442" s="22">
        <v>18</v>
      </c>
      <c r="M442" s="43">
        <v>16.899999999999999</v>
      </c>
      <c r="N442" s="40">
        <f t="shared" si="18"/>
        <v>0.8910891089108911</v>
      </c>
      <c r="O442" s="40">
        <f t="shared" si="20"/>
        <v>0.8366336633663366</v>
      </c>
      <c r="P442" s="4" t="s">
        <v>139</v>
      </c>
      <c r="Q442" s="72">
        <f>VLOOKUP('All inst data'!A442,'all mice (except april 2012)'!$A$2:$G$218,7,FALSE)</f>
        <v>65</v>
      </c>
    </row>
    <row r="443" spans="1:17" x14ac:dyDescent="0.25">
      <c r="A443" s="43">
        <v>147</v>
      </c>
      <c r="B443" s="43">
        <v>12</v>
      </c>
      <c r="C443" s="43">
        <v>5</v>
      </c>
      <c r="D443" s="43">
        <v>3</v>
      </c>
      <c r="E443" s="43">
        <v>130706</v>
      </c>
      <c r="F443" s="43">
        <v>114935</v>
      </c>
      <c r="G443" s="43" t="s">
        <v>122</v>
      </c>
      <c r="H443">
        <v>2</v>
      </c>
      <c r="I443">
        <v>883</v>
      </c>
      <c r="J443">
        <v>243</v>
      </c>
      <c r="K443" s="7">
        <v>20.399999999999999</v>
      </c>
      <c r="L443" s="22">
        <v>18.399999999999999</v>
      </c>
      <c r="M443" s="43">
        <v>17.7</v>
      </c>
      <c r="N443" s="40">
        <f t="shared" si="18"/>
        <v>0.90196078431372551</v>
      </c>
      <c r="O443" s="40">
        <f t="shared" si="20"/>
        <v>0.86764705882352944</v>
      </c>
      <c r="P443" s="4" t="s">
        <v>139</v>
      </c>
      <c r="Q443" s="72">
        <f>VLOOKUP('All inst data'!A443,'all mice (except april 2012)'!$A$2:$G$218,7,FALSE)</f>
        <v>65</v>
      </c>
    </row>
    <row r="444" spans="1:17" x14ac:dyDescent="0.25">
      <c r="A444" s="43">
        <v>148</v>
      </c>
      <c r="B444" s="43">
        <v>13</v>
      </c>
      <c r="C444" s="43">
        <v>5</v>
      </c>
      <c r="D444" s="43">
        <v>3</v>
      </c>
      <c r="E444" s="43">
        <v>130706</v>
      </c>
      <c r="F444" s="43">
        <v>114935</v>
      </c>
      <c r="G444" s="43" t="s">
        <v>123</v>
      </c>
      <c r="H444">
        <v>3</v>
      </c>
      <c r="I444">
        <v>1574</v>
      </c>
      <c r="J444">
        <v>381</v>
      </c>
      <c r="K444" s="7">
        <v>21.8</v>
      </c>
      <c r="L444" s="22">
        <v>19.399999999999999</v>
      </c>
      <c r="M444" s="43">
        <v>17.7</v>
      </c>
      <c r="N444" s="40">
        <f t="shared" si="18"/>
        <v>0.88990825688073383</v>
      </c>
      <c r="O444" s="40">
        <f t="shared" si="20"/>
        <v>0.81192660550458706</v>
      </c>
      <c r="P444" s="4" t="s">
        <v>139</v>
      </c>
      <c r="Q444" s="72">
        <f>VLOOKUP('All inst data'!A444,'all mice (except april 2012)'!$A$2:$G$218,7,FALSE)</f>
        <v>57</v>
      </c>
    </row>
    <row r="445" spans="1:17" x14ac:dyDescent="0.25">
      <c r="A445" s="43">
        <v>149</v>
      </c>
      <c r="B445" s="43">
        <v>14</v>
      </c>
      <c r="C445" s="43">
        <v>5</v>
      </c>
      <c r="D445" s="43">
        <v>3</v>
      </c>
      <c r="E445" s="43">
        <v>130706</v>
      </c>
      <c r="F445" s="43">
        <v>114935</v>
      </c>
      <c r="G445" s="43" t="s">
        <v>123</v>
      </c>
      <c r="H445">
        <v>4</v>
      </c>
      <c r="I445">
        <v>2196</v>
      </c>
      <c r="J445">
        <v>465</v>
      </c>
      <c r="K445" s="7">
        <v>22.2</v>
      </c>
      <c r="L445" s="22">
        <v>19.7</v>
      </c>
      <c r="M445" s="22">
        <v>18.3</v>
      </c>
      <c r="N445" s="40">
        <f t="shared" si="18"/>
        <v>0.88738738738738743</v>
      </c>
      <c r="O445" s="40">
        <f t="shared" si="20"/>
        <v>0.82432432432432434</v>
      </c>
      <c r="P445" s="4" t="s">
        <v>139</v>
      </c>
      <c r="Q445" s="72">
        <f>VLOOKUP('All inst data'!A445,'all mice (except april 2012)'!$A$2:$G$218,7,FALSE)</f>
        <v>57</v>
      </c>
    </row>
    <row r="446" spans="1:17" x14ac:dyDescent="0.25">
      <c r="A446" s="43">
        <v>150</v>
      </c>
      <c r="B446" s="43">
        <v>1</v>
      </c>
      <c r="C446" s="43">
        <v>6</v>
      </c>
      <c r="D446" s="43">
        <v>1</v>
      </c>
      <c r="E446" s="43">
        <v>130709</v>
      </c>
      <c r="F446" s="43">
        <v>93339</v>
      </c>
      <c r="G446" s="43" t="s">
        <v>136</v>
      </c>
      <c r="H446" s="22">
        <v>1</v>
      </c>
      <c r="I446" s="22">
        <v>1084</v>
      </c>
      <c r="J446" s="22">
        <v>284</v>
      </c>
      <c r="K446" s="7">
        <v>23.5</v>
      </c>
      <c r="L446" s="22">
        <v>21.2</v>
      </c>
      <c r="M446" s="43">
        <v>19.5</v>
      </c>
      <c r="N446" s="40">
        <f t="shared" si="18"/>
        <v>0.90212765957446805</v>
      </c>
      <c r="O446" s="40">
        <f t="shared" si="20"/>
        <v>0.82978723404255317</v>
      </c>
      <c r="P446">
        <v>3.4</v>
      </c>
      <c r="Q446" s="72">
        <f>VLOOKUP('All inst data'!A446,'all mice (except april 2012)'!$A$2:$G$218,7,FALSE)</f>
        <v>75</v>
      </c>
    </row>
    <row r="447" spans="1:17" x14ac:dyDescent="0.25">
      <c r="A447" s="43">
        <v>151</v>
      </c>
      <c r="B447" s="43">
        <v>2</v>
      </c>
      <c r="C447" s="43">
        <v>6</v>
      </c>
      <c r="D447" s="43">
        <v>1</v>
      </c>
      <c r="E447" s="43">
        <v>130709</v>
      </c>
      <c r="F447" s="43">
        <v>93340</v>
      </c>
      <c r="G447" s="43" t="s">
        <v>136</v>
      </c>
      <c r="H447" s="22">
        <v>2</v>
      </c>
      <c r="I447" s="22">
        <v>965</v>
      </c>
      <c r="J447" s="22">
        <v>255</v>
      </c>
      <c r="K447" s="7">
        <v>25</v>
      </c>
      <c r="L447" s="43">
        <v>23.8</v>
      </c>
      <c r="M447" s="43">
        <v>21.5</v>
      </c>
      <c r="N447" s="40">
        <f t="shared" si="18"/>
        <v>0.95200000000000007</v>
      </c>
      <c r="O447" s="40">
        <f t="shared" si="20"/>
        <v>0.86</v>
      </c>
      <c r="P447">
        <v>3.4</v>
      </c>
      <c r="Q447" s="72">
        <f>VLOOKUP('All inst data'!A447,'all mice (except april 2012)'!$A$2:$G$218,7,FALSE)</f>
        <v>75</v>
      </c>
    </row>
    <row r="448" spans="1:17" x14ac:dyDescent="0.25">
      <c r="A448" s="43">
        <v>152</v>
      </c>
      <c r="B448" s="43">
        <v>3</v>
      </c>
      <c r="C448" s="43">
        <v>6</v>
      </c>
      <c r="D448" s="43">
        <v>1</v>
      </c>
      <c r="E448" s="43">
        <v>130709</v>
      </c>
      <c r="F448" s="43">
        <v>93340</v>
      </c>
      <c r="G448" s="43" t="s">
        <v>125</v>
      </c>
      <c r="H448" s="22">
        <v>3</v>
      </c>
      <c r="I448" s="22">
        <v>21</v>
      </c>
      <c r="J448" s="22">
        <v>20</v>
      </c>
      <c r="K448" s="7">
        <v>23.6</v>
      </c>
      <c r="L448" s="22">
        <v>21.3</v>
      </c>
      <c r="M448" s="43">
        <v>19.5</v>
      </c>
      <c r="N448" s="40">
        <f t="shared" si="18"/>
        <v>0.90254237288135586</v>
      </c>
      <c r="O448" s="40">
        <f t="shared" si="20"/>
        <v>0.82627118644067787</v>
      </c>
      <c r="P448">
        <v>3.5</v>
      </c>
      <c r="Q448" s="72">
        <f>VLOOKUP('All inst data'!A448,'all mice (except april 2012)'!$A$2:$G$218,7,FALSE)</f>
        <v>71</v>
      </c>
    </row>
    <row r="449" spans="1:20" x14ac:dyDescent="0.25">
      <c r="A449" s="43">
        <v>153</v>
      </c>
      <c r="B449" s="43">
        <v>4</v>
      </c>
      <c r="C449" s="43">
        <v>6</v>
      </c>
      <c r="D449" s="43">
        <v>1</v>
      </c>
      <c r="E449" s="43">
        <v>130709</v>
      </c>
      <c r="F449" s="43">
        <v>93340</v>
      </c>
      <c r="G449" s="43" t="s">
        <v>125</v>
      </c>
      <c r="H449" s="22">
        <v>4</v>
      </c>
      <c r="I449" s="22">
        <v>303</v>
      </c>
      <c r="J449" s="22">
        <v>129</v>
      </c>
      <c r="K449" s="7">
        <v>20.2</v>
      </c>
      <c r="L449" s="22">
        <v>18.600000000000001</v>
      </c>
      <c r="M449" s="43">
        <v>17</v>
      </c>
      <c r="N449" s="40">
        <f t="shared" si="18"/>
        <v>0.92079207920792094</v>
      </c>
      <c r="O449" s="40">
        <f t="shared" si="20"/>
        <v>0.84158415841584167</v>
      </c>
      <c r="P449">
        <v>3.4</v>
      </c>
      <c r="Q449" s="72">
        <f>VLOOKUP('All inst data'!A449,'all mice (except april 2012)'!$A$2:$G$218,7,FALSE)</f>
        <v>73</v>
      </c>
    </row>
    <row r="450" spans="1:20" x14ac:dyDescent="0.25">
      <c r="A450" s="43">
        <v>150</v>
      </c>
      <c r="B450" s="43">
        <v>1</v>
      </c>
      <c r="C450" s="43">
        <v>6</v>
      </c>
      <c r="D450" s="43">
        <v>2</v>
      </c>
      <c r="E450" s="43">
        <v>130710</v>
      </c>
      <c r="F450" s="43">
        <v>94657</v>
      </c>
      <c r="G450" s="43" t="s">
        <v>136</v>
      </c>
      <c r="H450" s="22">
        <v>1</v>
      </c>
      <c r="I450" s="22">
        <v>1892</v>
      </c>
      <c r="J450" s="22">
        <v>442</v>
      </c>
      <c r="K450" s="7">
        <v>23.5</v>
      </c>
      <c r="L450" s="22">
        <v>21.1</v>
      </c>
      <c r="M450" s="43">
        <v>19.600000000000001</v>
      </c>
      <c r="N450" s="40">
        <f t="shared" ref="N450:N513" si="21">L450/K450</f>
        <v>0.89787234042553199</v>
      </c>
      <c r="O450" s="40">
        <f t="shared" si="20"/>
        <v>0.83404255319148946</v>
      </c>
      <c r="P450">
        <v>3.5</v>
      </c>
      <c r="Q450" s="72">
        <f>VLOOKUP('All inst data'!A450,'all mice (except april 2012)'!$A$2:$G$218,7,FALSE)</f>
        <v>75</v>
      </c>
    </row>
    <row r="451" spans="1:20" x14ac:dyDescent="0.25">
      <c r="A451" s="43">
        <v>151</v>
      </c>
      <c r="B451" s="43">
        <v>2</v>
      </c>
      <c r="C451" s="43">
        <v>6</v>
      </c>
      <c r="D451" s="43">
        <v>2</v>
      </c>
      <c r="E451" s="43">
        <v>130710</v>
      </c>
      <c r="F451" s="43">
        <v>94657</v>
      </c>
      <c r="G451" s="43" t="s">
        <v>136</v>
      </c>
      <c r="H451" s="22">
        <v>2</v>
      </c>
      <c r="I451" s="22">
        <v>1489</v>
      </c>
      <c r="J451" s="22">
        <v>356</v>
      </c>
      <c r="K451" s="7">
        <v>25</v>
      </c>
      <c r="L451" s="22">
        <v>23.9</v>
      </c>
      <c r="M451" s="22">
        <v>21.7</v>
      </c>
      <c r="N451" s="40">
        <f t="shared" si="21"/>
        <v>0.95599999999999996</v>
      </c>
      <c r="O451" s="40">
        <f t="shared" si="20"/>
        <v>0.86799999999999999</v>
      </c>
      <c r="P451">
        <v>3.5</v>
      </c>
      <c r="Q451" s="72">
        <f>VLOOKUP('All inst data'!A451,'all mice (except april 2012)'!$A$2:$G$218,7,FALSE)</f>
        <v>75</v>
      </c>
    </row>
    <row r="452" spans="1:20" x14ac:dyDescent="0.25">
      <c r="A452" s="43">
        <v>152</v>
      </c>
      <c r="B452" s="43">
        <v>3</v>
      </c>
      <c r="C452" s="43">
        <v>6</v>
      </c>
      <c r="D452" s="43">
        <v>2</v>
      </c>
      <c r="E452" s="43">
        <v>130710</v>
      </c>
      <c r="F452" s="43">
        <v>94658</v>
      </c>
      <c r="G452" s="43" t="s">
        <v>125</v>
      </c>
      <c r="H452" s="22">
        <v>3</v>
      </c>
      <c r="I452" s="22">
        <v>204</v>
      </c>
      <c r="J452" s="22">
        <v>110</v>
      </c>
      <c r="K452" s="7">
        <v>23.6</v>
      </c>
      <c r="L452" s="22">
        <v>21.2</v>
      </c>
      <c r="M452" s="22">
        <v>19.899999999999999</v>
      </c>
      <c r="N452" s="40">
        <f t="shared" si="21"/>
        <v>0.89830508474576265</v>
      </c>
      <c r="O452" s="40">
        <f t="shared" si="20"/>
        <v>0.84322033898305071</v>
      </c>
      <c r="P452">
        <v>3.6</v>
      </c>
      <c r="Q452" s="72">
        <f>VLOOKUP('All inst data'!A452,'all mice (except april 2012)'!$A$2:$G$218,7,FALSE)</f>
        <v>71</v>
      </c>
    </row>
    <row r="453" spans="1:20" x14ac:dyDescent="0.25">
      <c r="A453" s="43">
        <v>153</v>
      </c>
      <c r="B453" s="43">
        <v>4</v>
      </c>
      <c r="C453" s="43">
        <v>6</v>
      </c>
      <c r="D453" s="43">
        <v>2</v>
      </c>
      <c r="E453" s="43">
        <v>130710</v>
      </c>
      <c r="F453" s="43">
        <v>94658</v>
      </c>
      <c r="G453" s="43" t="s">
        <v>125</v>
      </c>
      <c r="H453" s="22">
        <v>4</v>
      </c>
      <c r="I453" s="22">
        <v>369</v>
      </c>
      <c r="J453" s="22">
        <v>143</v>
      </c>
      <c r="K453" s="7">
        <v>20.2</v>
      </c>
      <c r="L453" s="22">
        <v>18.8</v>
      </c>
      <c r="M453" s="43">
        <v>17.3</v>
      </c>
      <c r="N453" s="40">
        <f t="shared" si="21"/>
        <v>0.93069306930693074</v>
      </c>
      <c r="O453" s="40">
        <f t="shared" si="20"/>
        <v>0.85643564356435653</v>
      </c>
      <c r="P453">
        <v>3.3</v>
      </c>
      <c r="Q453" s="72">
        <f>VLOOKUP('All inst data'!A453,'all mice (except april 2012)'!$A$2:$G$218,7,FALSE)</f>
        <v>73</v>
      </c>
    </row>
    <row r="454" spans="1:20" x14ac:dyDescent="0.25">
      <c r="A454" s="43">
        <v>150</v>
      </c>
      <c r="B454" s="43">
        <v>1</v>
      </c>
      <c r="C454" s="43">
        <v>6</v>
      </c>
      <c r="D454" s="43">
        <v>3</v>
      </c>
      <c r="E454" s="43">
        <v>130711</v>
      </c>
      <c r="F454" s="43">
        <v>105433</v>
      </c>
      <c r="G454" s="43" t="s">
        <v>136</v>
      </c>
      <c r="H454" s="22">
        <v>1</v>
      </c>
      <c r="I454" s="22">
        <v>1672</v>
      </c>
      <c r="J454" s="22">
        <v>400</v>
      </c>
      <c r="K454" s="7">
        <v>23.5</v>
      </c>
      <c r="L454" s="22">
        <v>21.3</v>
      </c>
      <c r="M454" s="43">
        <v>19.100000000000001</v>
      </c>
      <c r="N454" s="40">
        <f t="shared" si="21"/>
        <v>0.90638297872340423</v>
      </c>
      <c r="O454" s="40">
        <f t="shared" si="20"/>
        <v>0.81276595744680857</v>
      </c>
      <c r="P454" s="22" t="s">
        <v>139</v>
      </c>
      <c r="Q454" s="72">
        <f>VLOOKUP('All inst data'!A454,'all mice (except april 2012)'!$A$2:$G$218,7,FALSE)</f>
        <v>75</v>
      </c>
    </row>
    <row r="455" spans="1:20" x14ac:dyDescent="0.25">
      <c r="A455" s="43">
        <v>151</v>
      </c>
      <c r="B455" s="43">
        <v>2</v>
      </c>
      <c r="C455" s="43">
        <v>6</v>
      </c>
      <c r="D455" s="43">
        <v>3</v>
      </c>
      <c r="E455" s="43">
        <v>130711</v>
      </c>
      <c r="F455" s="43">
        <v>105433</v>
      </c>
      <c r="G455" s="43" t="s">
        <v>136</v>
      </c>
      <c r="H455" s="22">
        <v>2</v>
      </c>
      <c r="I455" s="22">
        <v>1671</v>
      </c>
      <c r="J455" s="22">
        <v>389</v>
      </c>
      <c r="K455" s="7">
        <v>25</v>
      </c>
      <c r="L455" s="22">
        <v>23.5</v>
      </c>
      <c r="M455" s="43">
        <v>21.3</v>
      </c>
      <c r="N455" s="40">
        <f t="shared" si="21"/>
        <v>0.94</v>
      </c>
      <c r="O455" s="40">
        <f t="shared" si="20"/>
        <v>0.85199999999999998</v>
      </c>
      <c r="P455" s="22" t="s">
        <v>139</v>
      </c>
      <c r="Q455" s="72">
        <f>VLOOKUP('All inst data'!A455,'all mice (except april 2012)'!$A$2:$G$218,7,FALSE)</f>
        <v>75</v>
      </c>
    </row>
    <row r="456" spans="1:20" x14ac:dyDescent="0.25">
      <c r="A456" s="43">
        <v>152</v>
      </c>
      <c r="B456" s="43">
        <v>3</v>
      </c>
      <c r="C456" s="43">
        <v>6</v>
      </c>
      <c r="D456" s="43">
        <v>3</v>
      </c>
      <c r="E456" s="43">
        <v>130711</v>
      </c>
      <c r="F456" s="43">
        <v>105433</v>
      </c>
      <c r="G456" s="43" t="s">
        <v>125</v>
      </c>
      <c r="H456" s="22">
        <v>3</v>
      </c>
      <c r="I456" s="22">
        <v>272</v>
      </c>
      <c r="J456" s="22">
        <v>122</v>
      </c>
      <c r="K456" s="7">
        <v>23.6</v>
      </c>
      <c r="L456" s="22">
        <v>21.4</v>
      </c>
      <c r="M456" s="22">
        <v>19.7</v>
      </c>
      <c r="N456" s="40">
        <f t="shared" si="21"/>
        <v>0.90677966101694907</v>
      </c>
      <c r="O456" s="40">
        <f t="shared" si="20"/>
        <v>0.83474576271186429</v>
      </c>
      <c r="P456" s="22" t="s">
        <v>139</v>
      </c>
      <c r="Q456" s="72">
        <f>VLOOKUP('All inst data'!A456,'all mice (except april 2012)'!$A$2:$G$218,7,FALSE)</f>
        <v>71</v>
      </c>
    </row>
    <row r="457" spans="1:20" x14ac:dyDescent="0.25">
      <c r="A457" s="43">
        <v>153</v>
      </c>
      <c r="B457" s="43">
        <v>4</v>
      </c>
      <c r="C457" s="43">
        <v>6</v>
      </c>
      <c r="D457" s="43">
        <v>3</v>
      </c>
      <c r="E457" s="43">
        <v>130711</v>
      </c>
      <c r="F457" s="43">
        <v>105433</v>
      </c>
      <c r="G457" s="43" t="s">
        <v>125</v>
      </c>
      <c r="H457" s="22">
        <v>4</v>
      </c>
      <c r="I457" s="22">
        <v>275</v>
      </c>
      <c r="J457" s="22">
        <v>124</v>
      </c>
      <c r="K457" s="7">
        <v>20.2</v>
      </c>
      <c r="L457" s="22">
        <v>18.3</v>
      </c>
      <c r="M457" s="22">
        <v>17</v>
      </c>
      <c r="N457" s="40">
        <f t="shared" si="21"/>
        <v>0.90594059405940597</v>
      </c>
      <c r="O457" s="40">
        <f t="shared" si="20"/>
        <v>0.84158415841584167</v>
      </c>
      <c r="P457" s="22" t="s">
        <v>139</v>
      </c>
      <c r="Q457" s="72">
        <f>VLOOKUP('All inst data'!A457,'all mice (except april 2012)'!$A$2:$G$218,7,FALSE)</f>
        <v>73</v>
      </c>
    </row>
    <row r="458" spans="1:20" x14ac:dyDescent="0.25">
      <c r="A458" s="43">
        <v>154</v>
      </c>
      <c r="B458" s="43">
        <v>5</v>
      </c>
      <c r="C458" s="43">
        <v>6</v>
      </c>
      <c r="D458" s="43">
        <v>1</v>
      </c>
      <c r="E458" s="43">
        <v>130723</v>
      </c>
      <c r="F458" s="43">
        <v>95042</v>
      </c>
      <c r="G458" s="43" t="s">
        <v>141</v>
      </c>
      <c r="H458" s="22">
        <v>1</v>
      </c>
      <c r="I458" s="22">
        <v>1083</v>
      </c>
      <c r="J458" s="22">
        <v>279</v>
      </c>
      <c r="K458" s="7">
        <v>32.9</v>
      </c>
      <c r="L458" s="22">
        <v>29</v>
      </c>
      <c r="M458" s="22">
        <v>27.1</v>
      </c>
      <c r="N458" s="40">
        <f t="shared" si="21"/>
        <v>0.88145896656534961</v>
      </c>
      <c r="O458" s="40">
        <f t="shared" si="20"/>
        <v>0.82370820668693012</v>
      </c>
      <c r="P458">
        <v>3.1</v>
      </c>
      <c r="Q458" s="72">
        <f>VLOOKUP('All inst data'!A458,'all mice (except april 2012)'!$A$2:$G$218,7,FALSE)</f>
        <v>78</v>
      </c>
      <c r="T458" s="7"/>
    </row>
    <row r="459" spans="1:20" x14ac:dyDescent="0.25">
      <c r="A459" s="43">
        <v>155</v>
      </c>
      <c r="B459" s="43">
        <v>6</v>
      </c>
      <c r="C459" s="43">
        <v>6</v>
      </c>
      <c r="D459" s="43">
        <v>1</v>
      </c>
      <c r="E459" s="43">
        <v>130723</v>
      </c>
      <c r="F459" s="43">
        <v>95042</v>
      </c>
      <c r="G459" s="43" t="s">
        <v>141</v>
      </c>
      <c r="H459" s="22">
        <v>2</v>
      </c>
      <c r="I459" s="22">
        <v>326</v>
      </c>
      <c r="J459" s="22">
        <v>130</v>
      </c>
      <c r="K459" s="7">
        <v>29.8</v>
      </c>
      <c r="L459" s="22">
        <v>26.4</v>
      </c>
      <c r="M459" s="43">
        <v>24.7</v>
      </c>
      <c r="N459" s="40">
        <f t="shared" si="21"/>
        <v>0.88590604026845632</v>
      </c>
      <c r="O459" s="40">
        <f t="shared" si="20"/>
        <v>0.82885906040268453</v>
      </c>
      <c r="P459">
        <v>3.1</v>
      </c>
      <c r="Q459" s="72">
        <f>VLOOKUP('All inst data'!A459,'all mice (except april 2012)'!$A$2:$G$218,7,FALSE)</f>
        <v>78</v>
      </c>
      <c r="T459" s="7"/>
    </row>
    <row r="460" spans="1:20" x14ac:dyDescent="0.25">
      <c r="A460" s="13">
        <v>156</v>
      </c>
      <c r="B460" s="13">
        <v>7</v>
      </c>
      <c r="C460" s="13">
        <v>6</v>
      </c>
      <c r="D460" s="13">
        <v>1</v>
      </c>
      <c r="E460" s="13">
        <v>130723</v>
      </c>
      <c r="F460" s="13">
        <v>95042</v>
      </c>
      <c r="G460" s="13" t="s">
        <v>140</v>
      </c>
      <c r="H460" s="22">
        <v>3</v>
      </c>
      <c r="I460" s="22">
        <v>100</v>
      </c>
      <c r="J460" s="22">
        <v>70</v>
      </c>
      <c r="K460" s="7">
        <v>18</v>
      </c>
      <c r="L460" s="22">
        <v>15</v>
      </c>
      <c r="M460" s="22">
        <v>13.9</v>
      </c>
      <c r="N460" s="40">
        <f t="shared" si="21"/>
        <v>0.83333333333333337</v>
      </c>
      <c r="O460" s="40">
        <f t="shared" si="20"/>
        <v>0.77222222222222225</v>
      </c>
      <c r="P460">
        <v>3.9</v>
      </c>
      <c r="Q460" s="72">
        <f>VLOOKUP('All inst data'!A460,'all mice (except april 2012)'!$A$2:$G$218,7,FALSE)</f>
        <v>72</v>
      </c>
      <c r="T460" s="7"/>
    </row>
    <row r="461" spans="1:20" x14ac:dyDescent="0.25">
      <c r="A461" s="43">
        <v>158</v>
      </c>
      <c r="B461" s="43">
        <v>9</v>
      </c>
      <c r="C461" s="43">
        <v>6</v>
      </c>
      <c r="D461" s="43">
        <v>1</v>
      </c>
      <c r="E461" s="43">
        <v>130723</v>
      </c>
      <c r="F461" s="43">
        <v>95042</v>
      </c>
      <c r="G461" s="43" t="s">
        <v>171</v>
      </c>
      <c r="H461" s="22">
        <v>4</v>
      </c>
      <c r="I461" s="22">
        <v>1655</v>
      </c>
      <c r="J461" s="22">
        <v>393</v>
      </c>
      <c r="K461" s="28">
        <v>24.3</v>
      </c>
      <c r="L461" s="22">
        <v>22.1</v>
      </c>
      <c r="M461" s="22">
        <v>20.5</v>
      </c>
      <c r="N461" s="40">
        <f t="shared" si="21"/>
        <v>0.90946502057613177</v>
      </c>
      <c r="O461" s="40">
        <f t="shared" si="20"/>
        <v>0.84362139917695467</v>
      </c>
      <c r="P461">
        <v>3.2</v>
      </c>
      <c r="Q461" s="72">
        <f>VLOOKUP('All inst data'!A461,'all mice (except april 2012)'!$A$2:$G$218,7,FALSE)</f>
        <v>82</v>
      </c>
      <c r="T461" s="7"/>
    </row>
    <row r="462" spans="1:20" x14ac:dyDescent="0.25">
      <c r="A462" s="43">
        <v>159</v>
      </c>
      <c r="B462" s="43">
        <v>10</v>
      </c>
      <c r="C462" s="43">
        <v>6</v>
      </c>
      <c r="D462" s="43">
        <v>1</v>
      </c>
      <c r="E462" s="43">
        <v>130723</v>
      </c>
      <c r="F462" s="43">
        <v>95042</v>
      </c>
      <c r="G462" s="43" t="s">
        <v>171</v>
      </c>
      <c r="H462" s="22">
        <v>5</v>
      </c>
      <c r="I462" s="22">
        <v>8</v>
      </c>
      <c r="J462" s="22">
        <v>8</v>
      </c>
      <c r="K462" s="33">
        <v>24.2</v>
      </c>
      <c r="L462" s="22">
        <v>22.1</v>
      </c>
      <c r="M462" s="43">
        <v>20.5</v>
      </c>
      <c r="N462" s="40">
        <f t="shared" si="21"/>
        <v>0.91322314049586784</v>
      </c>
      <c r="O462" s="40">
        <f t="shared" si="20"/>
        <v>0.84710743801652899</v>
      </c>
      <c r="P462">
        <v>3.2</v>
      </c>
      <c r="Q462" s="72">
        <f>VLOOKUP('All inst data'!A462,'all mice (except april 2012)'!$A$2:$G$218,7,FALSE)</f>
        <v>82</v>
      </c>
    </row>
    <row r="463" spans="1:20" x14ac:dyDescent="0.25">
      <c r="A463" s="43">
        <v>160</v>
      </c>
      <c r="B463" s="43">
        <v>11</v>
      </c>
      <c r="C463" s="43">
        <v>6</v>
      </c>
      <c r="D463" s="43">
        <v>1</v>
      </c>
      <c r="E463" s="43">
        <v>130723</v>
      </c>
      <c r="F463" s="43">
        <v>95042</v>
      </c>
      <c r="G463" s="43" t="s">
        <v>171</v>
      </c>
      <c r="H463" s="43">
        <v>6</v>
      </c>
      <c r="I463" s="43">
        <v>1994</v>
      </c>
      <c r="J463" s="43">
        <v>453</v>
      </c>
      <c r="K463" s="28">
        <v>24.4</v>
      </c>
      <c r="L463" s="43">
        <v>22.7</v>
      </c>
      <c r="M463" s="43">
        <v>20.9</v>
      </c>
      <c r="N463" s="40">
        <f t="shared" si="21"/>
        <v>0.93032786885245899</v>
      </c>
      <c r="O463" s="40">
        <f t="shared" ref="O463:O494" si="22">M463/K463</f>
        <v>0.85655737704918034</v>
      </c>
      <c r="P463">
        <v>3.2</v>
      </c>
      <c r="Q463" s="72">
        <f>VLOOKUP('All inst data'!A463,'all mice (except april 2012)'!$A$2:$G$218,7,FALSE)</f>
        <v>82</v>
      </c>
    </row>
    <row r="464" spans="1:20" x14ac:dyDescent="0.25">
      <c r="A464" s="43">
        <v>154</v>
      </c>
      <c r="B464" s="43">
        <v>5</v>
      </c>
      <c r="C464" s="43">
        <v>6</v>
      </c>
      <c r="D464" s="43">
        <v>2</v>
      </c>
      <c r="E464" s="43">
        <v>130724</v>
      </c>
      <c r="F464" s="43">
        <v>92550</v>
      </c>
      <c r="G464" s="43" t="s">
        <v>141</v>
      </c>
      <c r="H464" s="22">
        <v>1</v>
      </c>
      <c r="I464" s="22">
        <v>1030</v>
      </c>
      <c r="J464" s="22">
        <v>263</v>
      </c>
      <c r="K464" s="7">
        <v>32.9</v>
      </c>
      <c r="L464" s="22">
        <v>29.4</v>
      </c>
      <c r="M464" s="43">
        <v>27.7</v>
      </c>
      <c r="N464" s="40">
        <f t="shared" si="21"/>
        <v>0.8936170212765957</v>
      </c>
      <c r="O464" s="40">
        <f t="shared" si="22"/>
        <v>0.84194528875379937</v>
      </c>
      <c r="P464">
        <v>3</v>
      </c>
      <c r="Q464" s="72">
        <f>VLOOKUP('All inst data'!A464,'all mice (except april 2012)'!$A$2:$G$218,7,FALSE)</f>
        <v>78</v>
      </c>
    </row>
    <row r="465" spans="1:17" x14ac:dyDescent="0.25">
      <c r="A465" s="43">
        <v>155</v>
      </c>
      <c r="B465" s="43">
        <v>6</v>
      </c>
      <c r="C465" s="43">
        <v>6</v>
      </c>
      <c r="D465" s="43">
        <v>2</v>
      </c>
      <c r="E465" s="43">
        <v>130724</v>
      </c>
      <c r="F465" s="43">
        <v>92550</v>
      </c>
      <c r="G465" s="43" t="s">
        <v>141</v>
      </c>
      <c r="H465" s="22">
        <v>2</v>
      </c>
      <c r="I465" s="22">
        <v>403</v>
      </c>
      <c r="J465" s="22">
        <v>147</v>
      </c>
      <c r="K465" s="7">
        <v>29.8</v>
      </c>
      <c r="L465" s="22">
        <v>27.2</v>
      </c>
      <c r="M465" s="22">
        <v>25.6</v>
      </c>
      <c r="N465" s="40">
        <f t="shared" si="21"/>
        <v>0.9127516778523489</v>
      </c>
      <c r="O465" s="40">
        <f t="shared" si="22"/>
        <v>0.85906040268456374</v>
      </c>
      <c r="P465">
        <v>3</v>
      </c>
      <c r="Q465" s="72">
        <f>VLOOKUP('All inst data'!A465,'all mice (except april 2012)'!$A$2:$G$218,7,FALSE)</f>
        <v>78</v>
      </c>
    </row>
    <row r="466" spans="1:17" x14ac:dyDescent="0.25">
      <c r="A466" s="13">
        <v>156</v>
      </c>
      <c r="B466" s="13">
        <v>7</v>
      </c>
      <c r="C466" s="13">
        <v>6</v>
      </c>
      <c r="D466" s="13">
        <v>2</v>
      </c>
      <c r="E466" s="13">
        <v>130724</v>
      </c>
      <c r="F466" s="13">
        <v>92550</v>
      </c>
      <c r="G466" s="13" t="s">
        <v>140</v>
      </c>
      <c r="H466" s="22">
        <v>3</v>
      </c>
      <c r="I466" s="22">
        <v>8</v>
      </c>
      <c r="J466" s="22">
        <v>7</v>
      </c>
      <c r="K466" s="7">
        <v>18</v>
      </c>
      <c r="L466" s="22">
        <v>14.8</v>
      </c>
      <c r="M466" s="22">
        <v>14</v>
      </c>
      <c r="N466" s="40">
        <f t="shared" si="21"/>
        <v>0.8222222222222223</v>
      </c>
      <c r="O466" s="40">
        <f t="shared" si="22"/>
        <v>0.77777777777777779</v>
      </c>
      <c r="P466">
        <v>4.4000000000000004</v>
      </c>
      <c r="Q466" s="72">
        <f>VLOOKUP('All inst data'!A466,'all mice (except april 2012)'!$A$2:$G$218,7,FALSE)</f>
        <v>72</v>
      </c>
    </row>
    <row r="467" spans="1:17" x14ac:dyDescent="0.25">
      <c r="A467" s="43">
        <v>158</v>
      </c>
      <c r="B467" s="43">
        <v>9</v>
      </c>
      <c r="C467" s="43">
        <v>6</v>
      </c>
      <c r="D467" s="43">
        <v>2</v>
      </c>
      <c r="E467" s="43">
        <v>130724</v>
      </c>
      <c r="F467" s="43">
        <v>92550</v>
      </c>
      <c r="G467" s="43" t="s">
        <v>171</v>
      </c>
      <c r="H467" s="22">
        <v>4</v>
      </c>
      <c r="I467" s="22">
        <v>1767</v>
      </c>
      <c r="J467" s="22">
        <v>415</v>
      </c>
      <c r="K467" s="28">
        <v>24.3</v>
      </c>
      <c r="L467" s="22">
        <v>22.2</v>
      </c>
      <c r="M467" s="22">
        <v>21.4</v>
      </c>
      <c r="N467" s="40">
        <f t="shared" si="21"/>
        <v>0.9135802469135802</v>
      </c>
      <c r="O467" s="40">
        <f t="shared" si="22"/>
        <v>0.88065843621399165</v>
      </c>
      <c r="P467">
        <v>3</v>
      </c>
      <c r="Q467" s="72">
        <f>VLOOKUP('All inst data'!A467,'all mice (except april 2012)'!$A$2:$G$218,7,FALSE)</f>
        <v>82</v>
      </c>
    </row>
    <row r="468" spans="1:17" x14ac:dyDescent="0.25">
      <c r="A468" s="43">
        <v>159</v>
      </c>
      <c r="B468" s="43">
        <v>10</v>
      </c>
      <c r="C468" s="43">
        <v>6</v>
      </c>
      <c r="D468" s="43">
        <v>2</v>
      </c>
      <c r="E468" s="43">
        <v>130724</v>
      </c>
      <c r="F468" s="43">
        <v>92550</v>
      </c>
      <c r="G468" s="43" t="s">
        <v>171</v>
      </c>
      <c r="H468" s="22">
        <v>5</v>
      </c>
      <c r="I468" s="22">
        <v>2</v>
      </c>
      <c r="J468" s="22">
        <v>2</v>
      </c>
      <c r="K468" s="33">
        <v>24.2</v>
      </c>
      <c r="L468" s="22">
        <v>21.3</v>
      </c>
      <c r="M468" s="22">
        <v>20.3</v>
      </c>
      <c r="N468" s="40">
        <f t="shared" si="21"/>
        <v>0.88016528925619841</v>
      </c>
      <c r="O468" s="40">
        <f t="shared" si="22"/>
        <v>0.83884297520661166</v>
      </c>
      <c r="P468">
        <v>3</v>
      </c>
      <c r="Q468" s="72">
        <f>VLOOKUP('All inst data'!A468,'all mice (except april 2012)'!$A$2:$G$218,7,FALSE)</f>
        <v>82</v>
      </c>
    </row>
    <row r="469" spans="1:17" x14ac:dyDescent="0.25">
      <c r="A469" s="43">
        <v>160</v>
      </c>
      <c r="B469" s="43">
        <v>11</v>
      </c>
      <c r="C469" s="43">
        <v>6</v>
      </c>
      <c r="D469" s="43">
        <v>2</v>
      </c>
      <c r="E469" s="43">
        <v>130724</v>
      </c>
      <c r="F469" s="43">
        <v>92550</v>
      </c>
      <c r="G469" s="43" t="s">
        <v>171</v>
      </c>
      <c r="H469" s="22">
        <v>6</v>
      </c>
      <c r="I469" s="22">
        <v>1705</v>
      </c>
      <c r="J469" s="22">
        <v>396</v>
      </c>
      <c r="K469" s="28">
        <v>24.4</v>
      </c>
      <c r="L469" s="22">
        <v>22.8</v>
      </c>
      <c r="M469" s="43">
        <v>21.6</v>
      </c>
      <c r="N469" s="40">
        <f t="shared" si="21"/>
        <v>0.93442622950819676</v>
      </c>
      <c r="O469" s="40">
        <f t="shared" si="22"/>
        <v>0.88524590163934436</v>
      </c>
      <c r="P469">
        <v>3</v>
      </c>
      <c r="Q469" s="72">
        <f>VLOOKUP('All inst data'!A469,'all mice (except april 2012)'!$A$2:$G$218,7,FALSE)</f>
        <v>82</v>
      </c>
    </row>
    <row r="470" spans="1:17" x14ac:dyDescent="0.25">
      <c r="A470" s="43">
        <v>154</v>
      </c>
      <c r="B470" s="43">
        <v>5</v>
      </c>
      <c r="C470" s="43">
        <v>6</v>
      </c>
      <c r="D470" s="43">
        <v>3</v>
      </c>
      <c r="E470" s="43">
        <v>130725</v>
      </c>
      <c r="F470" s="43">
        <v>85611</v>
      </c>
      <c r="G470" s="43" t="s">
        <v>141</v>
      </c>
      <c r="H470" s="22">
        <v>1</v>
      </c>
      <c r="I470" s="22">
        <v>1441</v>
      </c>
      <c r="J470" s="22">
        <v>345</v>
      </c>
      <c r="K470" s="7">
        <v>32.9</v>
      </c>
      <c r="L470" s="22">
        <v>29.4</v>
      </c>
      <c r="M470" s="22">
        <v>28.3</v>
      </c>
      <c r="N470" s="40">
        <f t="shared" si="21"/>
        <v>0.8936170212765957</v>
      </c>
      <c r="O470" s="40">
        <f t="shared" si="22"/>
        <v>0.86018237082066873</v>
      </c>
      <c r="P470" s="22" t="s">
        <v>139</v>
      </c>
      <c r="Q470" s="72">
        <f>VLOOKUP('All inst data'!A470,'all mice (except april 2012)'!$A$2:$G$218,7,FALSE)</f>
        <v>78</v>
      </c>
    </row>
    <row r="471" spans="1:17" x14ac:dyDescent="0.25">
      <c r="A471" s="43">
        <v>155</v>
      </c>
      <c r="B471" s="43">
        <v>6</v>
      </c>
      <c r="C471" s="43">
        <v>6</v>
      </c>
      <c r="D471" s="43">
        <v>3</v>
      </c>
      <c r="E471" s="43">
        <v>130725</v>
      </c>
      <c r="F471" s="43">
        <v>85612</v>
      </c>
      <c r="G471" s="43" t="s">
        <v>141</v>
      </c>
      <c r="H471" s="22">
        <v>2</v>
      </c>
      <c r="I471" s="22">
        <v>493</v>
      </c>
      <c r="J471" s="22">
        <v>164</v>
      </c>
      <c r="K471" s="7">
        <v>29.8</v>
      </c>
      <c r="L471" s="22">
        <v>26.6</v>
      </c>
      <c r="M471" s="22">
        <v>25.7</v>
      </c>
      <c r="N471" s="40">
        <f t="shared" si="21"/>
        <v>0.89261744966442957</v>
      </c>
      <c r="O471" s="40">
        <f t="shared" si="22"/>
        <v>0.86241610738255026</v>
      </c>
      <c r="P471" s="22" t="s">
        <v>139</v>
      </c>
      <c r="Q471" s="72">
        <f>VLOOKUP('All inst data'!A471,'all mice (except april 2012)'!$A$2:$G$218,7,FALSE)</f>
        <v>78</v>
      </c>
    </row>
    <row r="472" spans="1:17" x14ac:dyDescent="0.25">
      <c r="A472" s="13">
        <v>156</v>
      </c>
      <c r="B472" s="13">
        <v>7</v>
      </c>
      <c r="C472" s="13">
        <v>6</v>
      </c>
      <c r="D472" s="13">
        <v>3</v>
      </c>
      <c r="E472" s="13">
        <v>130725</v>
      </c>
      <c r="F472" s="13">
        <v>85612</v>
      </c>
      <c r="G472" s="13" t="s">
        <v>140</v>
      </c>
      <c r="H472" s="22">
        <v>3</v>
      </c>
      <c r="I472" s="22">
        <v>34</v>
      </c>
      <c r="J472" s="22">
        <v>25</v>
      </c>
      <c r="K472" s="7">
        <v>18</v>
      </c>
      <c r="L472" s="22">
        <v>14.5</v>
      </c>
      <c r="M472" s="22">
        <v>13.9</v>
      </c>
      <c r="N472" s="40">
        <f t="shared" si="21"/>
        <v>0.80555555555555558</v>
      </c>
      <c r="O472" s="40">
        <f t="shared" si="22"/>
        <v>0.77222222222222225</v>
      </c>
      <c r="P472" s="22" t="s">
        <v>139</v>
      </c>
      <c r="Q472" s="72">
        <f>VLOOKUP('All inst data'!A472,'all mice (except april 2012)'!$A$2:$G$218,7,FALSE)</f>
        <v>72</v>
      </c>
    </row>
    <row r="473" spans="1:17" x14ac:dyDescent="0.25">
      <c r="A473" s="43">
        <v>158</v>
      </c>
      <c r="B473" s="43">
        <v>9</v>
      </c>
      <c r="C473" s="43">
        <v>6</v>
      </c>
      <c r="D473" s="43">
        <v>3</v>
      </c>
      <c r="E473" s="43">
        <v>130725</v>
      </c>
      <c r="F473" s="43">
        <v>85612</v>
      </c>
      <c r="G473" s="43" t="s">
        <v>171</v>
      </c>
      <c r="H473" s="22">
        <v>4</v>
      </c>
      <c r="I473" s="22">
        <v>1887</v>
      </c>
      <c r="J473" s="22">
        <v>438</v>
      </c>
      <c r="K473" s="28">
        <v>24.3</v>
      </c>
      <c r="L473" s="22">
        <v>22.3</v>
      </c>
      <c r="M473" s="22">
        <v>21.6</v>
      </c>
      <c r="N473" s="40">
        <f t="shared" si="21"/>
        <v>0.91769547325102885</v>
      </c>
      <c r="O473" s="40">
        <f t="shared" si="22"/>
        <v>0.88888888888888895</v>
      </c>
      <c r="P473" s="22" t="s">
        <v>139</v>
      </c>
      <c r="Q473" s="72">
        <f>VLOOKUP('All inst data'!A473,'all mice (except april 2012)'!$A$2:$G$218,7,FALSE)</f>
        <v>82</v>
      </c>
    </row>
    <row r="474" spans="1:17" x14ac:dyDescent="0.25">
      <c r="A474" s="43">
        <v>159</v>
      </c>
      <c r="B474" s="43">
        <v>10</v>
      </c>
      <c r="C474" s="43">
        <v>6</v>
      </c>
      <c r="D474" s="43">
        <v>3</v>
      </c>
      <c r="E474" s="43">
        <v>130725</v>
      </c>
      <c r="F474" s="43">
        <v>85612</v>
      </c>
      <c r="G474" s="43" t="s">
        <v>171</v>
      </c>
      <c r="H474" s="22">
        <v>5</v>
      </c>
      <c r="I474" s="22">
        <v>180</v>
      </c>
      <c r="J474" s="22">
        <v>106</v>
      </c>
      <c r="K474" s="33">
        <v>24.2</v>
      </c>
      <c r="L474" s="22">
        <v>21</v>
      </c>
      <c r="M474" s="22">
        <v>20.399999999999999</v>
      </c>
      <c r="N474" s="40">
        <f t="shared" si="21"/>
        <v>0.86776859504132231</v>
      </c>
      <c r="O474" s="40">
        <f t="shared" si="22"/>
        <v>0.84297520661157022</v>
      </c>
      <c r="P474" s="22" t="s">
        <v>139</v>
      </c>
      <c r="Q474" s="72">
        <f>VLOOKUP('All inst data'!A474,'all mice (except april 2012)'!$A$2:$G$218,7,FALSE)</f>
        <v>82</v>
      </c>
    </row>
    <row r="475" spans="1:17" x14ac:dyDescent="0.25">
      <c r="A475" s="43">
        <v>160</v>
      </c>
      <c r="B475" s="43">
        <v>11</v>
      </c>
      <c r="C475" s="43">
        <v>6</v>
      </c>
      <c r="D475" s="43">
        <v>3</v>
      </c>
      <c r="E475" s="43">
        <v>130725</v>
      </c>
      <c r="F475" s="43">
        <v>85612</v>
      </c>
      <c r="G475" s="43" t="s">
        <v>171</v>
      </c>
      <c r="H475" s="22">
        <v>6</v>
      </c>
      <c r="I475" s="22">
        <v>1328</v>
      </c>
      <c r="J475" s="22">
        <v>331</v>
      </c>
      <c r="K475" s="28">
        <v>24.4</v>
      </c>
      <c r="L475" s="22">
        <v>22.6</v>
      </c>
      <c r="M475" s="22">
        <v>21.5</v>
      </c>
      <c r="N475" s="40">
        <f t="shared" si="21"/>
        <v>0.92622950819672145</v>
      </c>
      <c r="O475" s="40">
        <f t="shared" si="22"/>
        <v>0.88114754098360659</v>
      </c>
      <c r="P475" s="22" t="s">
        <v>139</v>
      </c>
      <c r="Q475" s="72">
        <f>VLOOKUP('All inst data'!A475,'all mice (except april 2012)'!$A$2:$G$218,7,FALSE)</f>
        <v>82</v>
      </c>
    </row>
    <row r="476" spans="1:17" x14ac:dyDescent="0.25">
      <c r="A476" s="43">
        <v>161</v>
      </c>
      <c r="B476" s="43">
        <v>12</v>
      </c>
      <c r="C476" s="43">
        <v>6</v>
      </c>
      <c r="D476" s="43">
        <v>1</v>
      </c>
      <c r="E476" s="43">
        <v>130730</v>
      </c>
      <c r="F476" s="43">
        <v>74617</v>
      </c>
      <c r="G476" s="43" t="s">
        <v>145</v>
      </c>
      <c r="H476" s="22">
        <v>1</v>
      </c>
      <c r="I476" s="22">
        <v>2180</v>
      </c>
      <c r="J476" s="22">
        <v>500</v>
      </c>
      <c r="K476" s="28">
        <v>25.9</v>
      </c>
      <c r="L476" s="22">
        <v>23.9</v>
      </c>
      <c r="M476" s="43">
        <v>21.6</v>
      </c>
      <c r="N476" s="40">
        <f t="shared" si="21"/>
        <v>0.92277992277992282</v>
      </c>
      <c r="O476" s="40">
        <f t="shared" si="22"/>
        <v>0.83397683397683409</v>
      </c>
      <c r="P476">
        <v>4.0999999999999996</v>
      </c>
      <c r="Q476" s="72">
        <f>VLOOKUP('All inst data'!A476,'all mice (except april 2012)'!$A$2:$G$218,7,FALSE)</f>
        <v>76</v>
      </c>
    </row>
    <row r="477" spans="1:17" x14ac:dyDescent="0.25">
      <c r="A477" s="43">
        <v>162</v>
      </c>
      <c r="B477" s="43">
        <v>13</v>
      </c>
      <c r="C477" s="43">
        <v>6</v>
      </c>
      <c r="D477" s="43">
        <v>1</v>
      </c>
      <c r="E477" s="43">
        <v>130730</v>
      </c>
      <c r="F477" s="43">
        <v>74617</v>
      </c>
      <c r="G477" s="43" t="s">
        <v>146</v>
      </c>
      <c r="H477" s="22">
        <v>2</v>
      </c>
      <c r="I477" s="22">
        <v>1910</v>
      </c>
      <c r="J477" s="22">
        <v>441</v>
      </c>
      <c r="K477" s="28">
        <v>25.5</v>
      </c>
      <c r="L477" s="22">
        <v>22.4</v>
      </c>
      <c r="M477" s="43">
        <v>22.1</v>
      </c>
      <c r="N477" s="40">
        <f t="shared" si="21"/>
        <v>0.8784313725490196</v>
      </c>
      <c r="O477" s="40">
        <f t="shared" si="22"/>
        <v>0.8666666666666667</v>
      </c>
      <c r="P477">
        <v>3.1</v>
      </c>
      <c r="Q477" s="72">
        <f>VLOOKUP('All inst data'!A477,'all mice (except april 2012)'!$A$2:$G$218,7,FALSE)</f>
        <v>69</v>
      </c>
    </row>
    <row r="478" spans="1:17" x14ac:dyDescent="0.25">
      <c r="A478" s="43">
        <v>163</v>
      </c>
      <c r="B478" s="43">
        <v>14</v>
      </c>
      <c r="C478" s="43">
        <v>6</v>
      </c>
      <c r="D478" s="43">
        <v>1</v>
      </c>
      <c r="E478" s="43">
        <v>130730</v>
      </c>
      <c r="F478" s="43">
        <v>74618</v>
      </c>
      <c r="G478" s="43" t="s">
        <v>146</v>
      </c>
      <c r="H478" s="22">
        <v>3</v>
      </c>
      <c r="I478" s="22">
        <v>1586</v>
      </c>
      <c r="J478" s="22">
        <v>385</v>
      </c>
      <c r="K478" s="28">
        <v>24.9</v>
      </c>
      <c r="L478" s="22">
        <v>22.4</v>
      </c>
      <c r="M478" s="22">
        <v>21.7</v>
      </c>
      <c r="N478" s="40">
        <f t="shared" si="21"/>
        <v>0.89959839357429716</v>
      </c>
      <c r="O478" s="40">
        <f t="shared" si="22"/>
        <v>0.87148594377510047</v>
      </c>
      <c r="P478">
        <v>3.1</v>
      </c>
      <c r="Q478" s="72">
        <f>VLOOKUP('All inst data'!A478,'all mice (except april 2012)'!$A$2:$G$218,7,FALSE)</f>
        <v>69</v>
      </c>
    </row>
    <row r="479" spans="1:17" x14ac:dyDescent="0.25">
      <c r="A479" s="43">
        <v>161</v>
      </c>
      <c r="B479" s="43">
        <v>12</v>
      </c>
      <c r="C479" s="43">
        <v>6</v>
      </c>
      <c r="D479" s="43">
        <v>2</v>
      </c>
      <c r="E479" s="43">
        <v>130731</v>
      </c>
      <c r="F479" s="43">
        <v>75330</v>
      </c>
      <c r="G479" s="43" t="s">
        <v>145</v>
      </c>
      <c r="H479" s="43">
        <v>1</v>
      </c>
      <c r="I479" s="43">
        <v>2164</v>
      </c>
      <c r="J479" s="43">
        <v>500</v>
      </c>
      <c r="K479" s="28">
        <v>25.9</v>
      </c>
      <c r="L479" s="22">
        <v>24.2</v>
      </c>
      <c r="M479" s="22">
        <v>21.9</v>
      </c>
      <c r="N479" s="40">
        <f t="shared" si="21"/>
        <v>0.93436293436293438</v>
      </c>
      <c r="O479" s="40">
        <f t="shared" si="22"/>
        <v>0.84555984555984554</v>
      </c>
      <c r="P479">
        <v>4</v>
      </c>
      <c r="Q479" s="72">
        <f>VLOOKUP('All inst data'!A479,'all mice (except april 2012)'!$A$2:$G$218,7,FALSE)</f>
        <v>76</v>
      </c>
    </row>
    <row r="480" spans="1:17" x14ac:dyDescent="0.25">
      <c r="A480" s="43">
        <v>162</v>
      </c>
      <c r="B480" s="43">
        <v>13</v>
      </c>
      <c r="C480" s="43">
        <v>6</v>
      </c>
      <c r="D480" s="43">
        <v>2</v>
      </c>
      <c r="E480" s="43">
        <v>130731</v>
      </c>
      <c r="F480" s="43">
        <v>75330</v>
      </c>
      <c r="G480" s="43" t="s">
        <v>146</v>
      </c>
      <c r="H480" s="43">
        <v>2</v>
      </c>
      <c r="I480" s="43">
        <v>2208</v>
      </c>
      <c r="J480" s="43">
        <v>500</v>
      </c>
      <c r="K480" s="28">
        <v>25.5</v>
      </c>
      <c r="L480" s="22">
        <v>22.4</v>
      </c>
      <c r="M480" s="43">
        <v>22.1</v>
      </c>
      <c r="N480" s="40">
        <f t="shared" si="21"/>
        <v>0.8784313725490196</v>
      </c>
      <c r="O480" s="40">
        <f t="shared" si="22"/>
        <v>0.8666666666666667</v>
      </c>
      <c r="P480">
        <v>3.05</v>
      </c>
      <c r="Q480" s="72">
        <f>VLOOKUP('All inst data'!A480,'all mice (except april 2012)'!$A$2:$G$218,7,FALSE)</f>
        <v>69</v>
      </c>
    </row>
    <row r="481" spans="1:21" x14ac:dyDescent="0.25">
      <c r="A481" s="43">
        <v>163</v>
      </c>
      <c r="B481" s="43">
        <v>14</v>
      </c>
      <c r="C481" s="43">
        <v>6</v>
      </c>
      <c r="D481" s="43">
        <v>2</v>
      </c>
      <c r="E481" s="43">
        <v>130731</v>
      </c>
      <c r="F481" s="43">
        <v>75330</v>
      </c>
      <c r="G481" s="43" t="s">
        <v>146</v>
      </c>
      <c r="H481" s="43">
        <v>3</v>
      </c>
      <c r="I481" s="43">
        <v>1179</v>
      </c>
      <c r="J481" s="43">
        <v>302</v>
      </c>
      <c r="K481" s="28">
        <v>24.9</v>
      </c>
      <c r="L481" s="22">
        <v>22.4</v>
      </c>
      <c r="M481" s="43">
        <v>21.6</v>
      </c>
      <c r="N481" s="40">
        <f t="shared" si="21"/>
        <v>0.89959839357429716</v>
      </c>
      <c r="O481" s="40">
        <f t="shared" si="22"/>
        <v>0.86746987951807242</v>
      </c>
      <c r="P481">
        <v>3.05</v>
      </c>
      <c r="Q481" s="72">
        <f>VLOOKUP('All inst data'!A481,'all mice (except april 2012)'!$A$2:$G$218,7,FALSE)</f>
        <v>69</v>
      </c>
    </row>
    <row r="482" spans="1:21" x14ac:dyDescent="0.25">
      <c r="A482" s="43">
        <v>161</v>
      </c>
      <c r="B482" s="43">
        <v>12</v>
      </c>
      <c r="C482" s="43">
        <v>6</v>
      </c>
      <c r="D482" s="43">
        <v>3</v>
      </c>
      <c r="E482" s="43">
        <v>130801</v>
      </c>
      <c r="F482" s="43">
        <v>75558</v>
      </c>
      <c r="G482" s="43" t="s">
        <v>145</v>
      </c>
      <c r="H482" s="43">
        <v>1</v>
      </c>
      <c r="I482" s="43">
        <v>2164</v>
      </c>
      <c r="J482" s="43">
        <v>500</v>
      </c>
      <c r="K482" s="28">
        <v>25.9</v>
      </c>
      <c r="L482" s="22">
        <v>24.7</v>
      </c>
      <c r="M482" s="22">
        <v>22.4</v>
      </c>
      <c r="N482" s="40">
        <f t="shared" si="21"/>
        <v>0.95366795366795365</v>
      </c>
      <c r="O482" s="40">
        <f t="shared" si="22"/>
        <v>0.86486486486486491</v>
      </c>
      <c r="P482" s="43" t="s">
        <v>139</v>
      </c>
      <c r="Q482" s="72">
        <f>VLOOKUP('All inst data'!A482,'all mice (except april 2012)'!$A$2:$G$218,7,FALSE)</f>
        <v>76</v>
      </c>
    </row>
    <row r="483" spans="1:21" x14ac:dyDescent="0.25">
      <c r="A483" s="43">
        <v>162</v>
      </c>
      <c r="B483" s="43">
        <v>13</v>
      </c>
      <c r="C483" s="43">
        <v>6</v>
      </c>
      <c r="D483" s="43">
        <v>3</v>
      </c>
      <c r="E483" s="43">
        <v>130801</v>
      </c>
      <c r="F483" s="43">
        <v>75558</v>
      </c>
      <c r="G483" s="43" t="s">
        <v>146</v>
      </c>
      <c r="H483" s="43">
        <v>2</v>
      </c>
      <c r="I483" s="43">
        <v>1425</v>
      </c>
      <c r="J483" s="43">
        <v>350</v>
      </c>
      <c r="K483" s="28">
        <v>25.5</v>
      </c>
      <c r="L483" s="22">
        <v>22.5</v>
      </c>
      <c r="M483" s="22">
        <v>22.8</v>
      </c>
      <c r="N483" s="40">
        <f t="shared" si="21"/>
        <v>0.88235294117647056</v>
      </c>
      <c r="O483" s="40">
        <f t="shared" si="22"/>
        <v>0.89411764705882357</v>
      </c>
      <c r="P483" s="43" t="s">
        <v>139</v>
      </c>
      <c r="Q483" s="72">
        <f>VLOOKUP('All inst data'!A483,'all mice (except april 2012)'!$A$2:$G$218,7,FALSE)</f>
        <v>69</v>
      </c>
    </row>
    <row r="484" spans="1:21" x14ac:dyDescent="0.25">
      <c r="A484" s="43">
        <v>163</v>
      </c>
      <c r="B484" s="43">
        <v>14</v>
      </c>
      <c r="C484" s="43">
        <v>6</v>
      </c>
      <c r="D484" s="43">
        <v>3</v>
      </c>
      <c r="E484" s="43">
        <v>130801</v>
      </c>
      <c r="F484" s="43">
        <v>75559</v>
      </c>
      <c r="G484" s="43" t="s">
        <v>146</v>
      </c>
      <c r="H484" s="43">
        <v>3</v>
      </c>
      <c r="I484" s="43">
        <v>723</v>
      </c>
      <c r="J484" s="43">
        <v>212</v>
      </c>
      <c r="K484" s="28">
        <v>24.9</v>
      </c>
      <c r="L484" s="22">
        <v>22.7</v>
      </c>
      <c r="M484" s="22">
        <v>22.3</v>
      </c>
      <c r="N484" s="40">
        <f t="shared" si="21"/>
        <v>0.91164658634538154</v>
      </c>
      <c r="O484" s="40">
        <f t="shared" si="22"/>
        <v>0.89558232931726911</v>
      </c>
      <c r="P484" s="43" t="s">
        <v>139</v>
      </c>
      <c r="Q484" s="72">
        <f>VLOOKUP('All inst data'!A484,'all mice (except april 2012)'!$A$2:$G$218,7,FALSE)</f>
        <v>69</v>
      </c>
    </row>
    <row r="485" spans="1:21" x14ac:dyDescent="0.25">
      <c r="A485" s="43">
        <v>164</v>
      </c>
      <c r="B485" s="43">
        <v>1</v>
      </c>
      <c r="C485" s="43">
        <v>7</v>
      </c>
      <c r="D485" s="43">
        <v>1</v>
      </c>
      <c r="E485" s="43">
        <v>130903</v>
      </c>
      <c r="F485" s="43">
        <v>100910</v>
      </c>
      <c r="G485" s="43" t="s">
        <v>173</v>
      </c>
      <c r="H485">
        <v>1</v>
      </c>
      <c r="I485">
        <v>2181</v>
      </c>
      <c r="J485">
        <v>500</v>
      </c>
      <c r="K485" s="28">
        <v>24.5</v>
      </c>
      <c r="L485" s="22">
        <v>21.2</v>
      </c>
      <c r="M485" s="22">
        <v>20.9</v>
      </c>
      <c r="N485" s="40">
        <f t="shared" si="21"/>
        <v>0.86530612244897953</v>
      </c>
      <c r="O485" s="40">
        <f t="shared" si="22"/>
        <v>0.85306122448979582</v>
      </c>
      <c r="P485">
        <v>2.5</v>
      </c>
      <c r="Q485" s="72">
        <f>VLOOKUP('All inst data'!A485,'all mice (except april 2012)'!$A$2:$G$218,7,FALSE)</f>
        <v>121</v>
      </c>
      <c r="U485" s="43"/>
    </row>
    <row r="486" spans="1:21" x14ac:dyDescent="0.25">
      <c r="A486" s="43">
        <v>165</v>
      </c>
      <c r="B486" s="43">
        <v>2</v>
      </c>
      <c r="C486" s="43">
        <v>7</v>
      </c>
      <c r="D486" s="43">
        <v>1</v>
      </c>
      <c r="E486" s="43">
        <v>130903</v>
      </c>
      <c r="F486" s="43">
        <v>100910</v>
      </c>
      <c r="G486" s="43" t="s">
        <v>6</v>
      </c>
      <c r="H486">
        <v>2</v>
      </c>
      <c r="I486">
        <v>2448</v>
      </c>
      <c r="J486">
        <v>500</v>
      </c>
      <c r="K486" s="28">
        <v>27.4</v>
      </c>
      <c r="L486" s="22">
        <v>24.1</v>
      </c>
      <c r="M486" s="22">
        <v>23</v>
      </c>
      <c r="N486" s="40">
        <f t="shared" si="21"/>
        <v>0.87956204379562053</v>
      </c>
      <c r="O486" s="40">
        <f t="shared" si="22"/>
        <v>0.83941605839416067</v>
      </c>
      <c r="P486">
        <v>2.5</v>
      </c>
      <c r="Q486" s="72">
        <f>VLOOKUP('All inst data'!A486,'all mice (except april 2012)'!$A$2:$G$218,7,FALSE)</f>
        <v>90</v>
      </c>
      <c r="U486" s="43"/>
    </row>
    <row r="487" spans="1:21" x14ac:dyDescent="0.25">
      <c r="A487" s="62">
        <v>166</v>
      </c>
      <c r="B487" s="62">
        <v>3</v>
      </c>
      <c r="C487" s="62">
        <v>7</v>
      </c>
      <c r="D487" s="62">
        <v>1</v>
      </c>
      <c r="E487" s="62">
        <v>130903</v>
      </c>
      <c r="F487" s="62">
        <v>100910</v>
      </c>
      <c r="G487" s="62" t="s">
        <v>6</v>
      </c>
      <c r="H487" s="62">
        <v>3</v>
      </c>
      <c r="I487" s="62">
        <v>11</v>
      </c>
      <c r="J487" s="62">
        <v>10</v>
      </c>
      <c r="K487" s="64">
        <v>27</v>
      </c>
      <c r="L487" s="62">
        <v>23.6</v>
      </c>
      <c r="M487" s="62">
        <v>21.4</v>
      </c>
      <c r="N487" s="63">
        <f t="shared" si="21"/>
        <v>0.87407407407407411</v>
      </c>
      <c r="O487" s="63">
        <f t="shared" si="22"/>
        <v>0.79259259259259252</v>
      </c>
      <c r="P487" s="62">
        <v>2.5</v>
      </c>
      <c r="Q487" s="72">
        <f>VLOOKUP('All inst data'!A487,'all mice (except april 2012)'!$A$2:$G$218,7,FALSE)</f>
        <v>90</v>
      </c>
      <c r="U487" s="43"/>
    </row>
    <row r="488" spans="1:21" x14ac:dyDescent="0.25">
      <c r="A488" s="43">
        <v>167</v>
      </c>
      <c r="B488" s="43">
        <v>4</v>
      </c>
      <c r="C488" s="43">
        <v>7</v>
      </c>
      <c r="D488" s="43">
        <v>1</v>
      </c>
      <c r="E488" s="43">
        <v>130903</v>
      </c>
      <c r="F488" s="43">
        <v>100910</v>
      </c>
      <c r="G488" s="43" t="s">
        <v>3</v>
      </c>
      <c r="H488">
        <v>4</v>
      </c>
      <c r="I488">
        <v>823</v>
      </c>
      <c r="J488">
        <v>222</v>
      </c>
      <c r="K488" s="43">
        <v>27.1</v>
      </c>
      <c r="L488" s="22">
        <v>24.4</v>
      </c>
      <c r="M488" s="22">
        <v>22.9</v>
      </c>
      <c r="N488" s="40">
        <f t="shared" si="21"/>
        <v>0.90036900369003681</v>
      </c>
      <c r="O488" s="40">
        <f t="shared" si="22"/>
        <v>0.84501845018450172</v>
      </c>
      <c r="P488">
        <v>3.2</v>
      </c>
      <c r="Q488" s="72">
        <f>VLOOKUP('All inst data'!A488,'all mice (except april 2012)'!$A$2:$G$218,7,FALSE)</f>
        <v>83</v>
      </c>
      <c r="U488" s="43"/>
    </row>
    <row r="489" spans="1:21" x14ac:dyDescent="0.25">
      <c r="A489" s="43">
        <v>168</v>
      </c>
      <c r="B489" s="43">
        <v>5</v>
      </c>
      <c r="C489" s="43">
        <v>7</v>
      </c>
      <c r="D489" s="43">
        <v>1</v>
      </c>
      <c r="E489" s="43">
        <v>130903</v>
      </c>
      <c r="F489" s="43">
        <v>100910</v>
      </c>
      <c r="G489" s="43" t="s">
        <v>3</v>
      </c>
      <c r="H489">
        <v>5</v>
      </c>
      <c r="I489">
        <v>2165</v>
      </c>
      <c r="J489">
        <v>500</v>
      </c>
      <c r="K489" s="43">
        <v>23.4</v>
      </c>
      <c r="L489" s="22">
        <v>21.7</v>
      </c>
      <c r="M489" s="43">
        <v>20.2</v>
      </c>
      <c r="N489" s="40">
        <f t="shared" si="21"/>
        <v>0.92735042735042739</v>
      </c>
      <c r="O489" s="40">
        <f t="shared" si="22"/>
        <v>0.86324786324786329</v>
      </c>
      <c r="P489">
        <v>3.2</v>
      </c>
      <c r="Q489" s="72">
        <f>VLOOKUP('All inst data'!A489,'all mice (except april 2012)'!$A$2:$G$218,7,FALSE)</f>
        <v>83</v>
      </c>
      <c r="U489" s="43"/>
    </row>
    <row r="490" spans="1:21" x14ac:dyDescent="0.25">
      <c r="A490" s="43">
        <v>169</v>
      </c>
      <c r="B490" s="43">
        <v>6</v>
      </c>
      <c r="C490" s="43">
        <v>7</v>
      </c>
      <c r="D490" s="43">
        <v>1</v>
      </c>
      <c r="E490" s="43">
        <v>130903</v>
      </c>
      <c r="F490" s="43">
        <v>100911</v>
      </c>
      <c r="G490" s="43" t="s">
        <v>5</v>
      </c>
      <c r="H490">
        <v>7</v>
      </c>
      <c r="I490">
        <v>4</v>
      </c>
      <c r="J490">
        <v>4</v>
      </c>
      <c r="K490" s="28">
        <v>26.6</v>
      </c>
      <c r="L490" s="22">
        <v>23.9</v>
      </c>
      <c r="M490" s="43">
        <v>21.4</v>
      </c>
      <c r="N490" s="40">
        <f t="shared" si="21"/>
        <v>0.89849624060150368</v>
      </c>
      <c r="O490" s="40">
        <f t="shared" si="22"/>
        <v>0.80451127819548862</v>
      </c>
      <c r="P490">
        <v>3.5</v>
      </c>
      <c r="Q490" s="72">
        <f>VLOOKUP('All inst data'!A490,'all mice (except april 2012)'!$A$2:$G$218,7,FALSE)</f>
        <v>83</v>
      </c>
      <c r="U490" s="43"/>
    </row>
    <row r="491" spans="1:21" x14ac:dyDescent="0.25">
      <c r="A491" s="43">
        <v>170</v>
      </c>
      <c r="B491" s="43">
        <v>7</v>
      </c>
      <c r="C491" s="43">
        <v>7</v>
      </c>
      <c r="D491" s="43">
        <v>1</v>
      </c>
      <c r="E491" s="43">
        <v>130903</v>
      </c>
      <c r="F491" s="43">
        <v>100911</v>
      </c>
      <c r="G491" s="43" t="s">
        <v>5</v>
      </c>
      <c r="H491">
        <v>8</v>
      </c>
      <c r="I491">
        <v>24</v>
      </c>
      <c r="J491">
        <v>23</v>
      </c>
      <c r="K491" s="28">
        <v>29.3</v>
      </c>
      <c r="L491" s="22">
        <v>25.7</v>
      </c>
      <c r="M491" s="43">
        <v>23.2</v>
      </c>
      <c r="N491" s="40">
        <f t="shared" si="21"/>
        <v>0.87713310580204773</v>
      </c>
      <c r="O491" s="40">
        <f t="shared" si="22"/>
        <v>0.79180887372013653</v>
      </c>
      <c r="P491">
        <v>3.5</v>
      </c>
      <c r="Q491" s="72">
        <f>VLOOKUP('All inst data'!A491,'all mice (except april 2012)'!$A$2:$G$218,7,FALSE)</f>
        <v>83</v>
      </c>
      <c r="U491" s="43"/>
    </row>
    <row r="492" spans="1:21" x14ac:dyDescent="0.25">
      <c r="A492" s="43">
        <v>164</v>
      </c>
      <c r="B492" s="43">
        <v>1</v>
      </c>
      <c r="C492" s="43">
        <v>7</v>
      </c>
      <c r="D492" s="43">
        <v>2</v>
      </c>
      <c r="E492" s="43">
        <v>130904</v>
      </c>
      <c r="F492" s="43">
        <v>94402</v>
      </c>
      <c r="G492" s="43" t="s">
        <v>173</v>
      </c>
      <c r="H492">
        <v>1</v>
      </c>
      <c r="I492">
        <v>2231</v>
      </c>
      <c r="J492">
        <v>500</v>
      </c>
      <c r="K492" s="28">
        <v>24.5</v>
      </c>
      <c r="L492" s="22">
        <v>21.8</v>
      </c>
      <c r="M492" s="22">
        <v>21.4</v>
      </c>
      <c r="N492" s="40">
        <f t="shared" si="21"/>
        <v>0.88979591836734695</v>
      </c>
      <c r="O492" s="40">
        <f t="shared" si="22"/>
        <v>0.87346938775510197</v>
      </c>
      <c r="P492">
        <v>2.4</v>
      </c>
      <c r="Q492" s="72">
        <f>VLOOKUP('All inst data'!A492,'all mice (except april 2012)'!$A$2:$G$218,7,FALSE)</f>
        <v>121</v>
      </c>
    </row>
    <row r="493" spans="1:21" x14ac:dyDescent="0.25">
      <c r="A493" s="43">
        <v>165</v>
      </c>
      <c r="B493" s="43">
        <v>2</v>
      </c>
      <c r="C493" s="43">
        <v>7</v>
      </c>
      <c r="D493" s="43">
        <v>2</v>
      </c>
      <c r="E493" s="43">
        <v>130904</v>
      </c>
      <c r="F493" s="43">
        <v>94402</v>
      </c>
      <c r="G493" s="43" t="s">
        <v>6</v>
      </c>
      <c r="H493">
        <v>2</v>
      </c>
      <c r="I493">
        <v>2472</v>
      </c>
      <c r="J493">
        <v>500</v>
      </c>
      <c r="K493" s="28">
        <v>27.4</v>
      </c>
      <c r="L493" s="22">
        <v>24.7</v>
      </c>
      <c r="M493" s="22">
        <v>24</v>
      </c>
      <c r="N493" s="40">
        <f t="shared" si="21"/>
        <v>0.9014598540145986</v>
      </c>
      <c r="O493" s="40">
        <f t="shared" si="22"/>
        <v>0.87591240875912413</v>
      </c>
      <c r="P493">
        <v>2.75</v>
      </c>
      <c r="Q493" s="72">
        <f>VLOOKUP('All inst data'!A493,'all mice (except april 2012)'!$A$2:$G$218,7,FALSE)</f>
        <v>90</v>
      </c>
      <c r="U493" s="43"/>
    </row>
    <row r="494" spans="1:21" x14ac:dyDescent="0.25">
      <c r="A494" s="62">
        <v>166</v>
      </c>
      <c r="B494" s="62">
        <v>3</v>
      </c>
      <c r="C494" s="62">
        <v>7</v>
      </c>
      <c r="D494" s="62">
        <v>2</v>
      </c>
      <c r="E494" s="62">
        <v>130904</v>
      </c>
      <c r="F494" s="62">
        <v>94402</v>
      </c>
      <c r="G494" s="62" t="s">
        <v>6</v>
      </c>
      <c r="H494" s="62">
        <v>3</v>
      </c>
      <c r="I494" s="62">
        <v>1</v>
      </c>
      <c r="J494" s="62">
        <v>1</v>
      </c>
      <c r="K494" s="64">
        <v>27</v>
      </c>
      <c r="L494" s="62">
        <v>23.7</v>
      </c>
      <c r="M494" s="62">
        <v>22.2</v>
      </c>
      <c r="N494" s="63">
        <f t="shared" si="21"/>
        <v>0.87777777777777777</v>
      </c>
      <c r="O494" s="63">
        <f t="shared" si="22"/>
        <v>0.82222222222222219</v>
      </c>
      <c r="P494" s="62">
        <v>2.75</v>
      </c>
      <c r="Q494" s="72">
        <f>VLOOKUP('All inst data'!A494,'all mice (except april 2012)'!$A$2:$G$218,7,FALSE)</f>
        <v>90</v>
      </c>
      <c r="U494" s="43"/>
    </row>
    <row r="495" spans="1:21" x14ac:dyDescent="0.25">
      <c r="A495" s="43">
        <v>167</v>
      </c>
      <c r="B495" s="43">
        <v>4</v>
      </c>
      <c r="C495" s="43">
        <v>7</v>
      </c>
      <c r="D495" s="43">
        <v>2</v>
      </c>
      <c r="E495" s="43">
        <v>130904</v>
      </c>
      <c r="F495" s="43">
        <v>94403</v>
      </c>
      <c r="G495" s="43" t="s">
        <v>3</v>
      </c>
      <c r="H495">
        <v>4</v>
      </c>
      <c r="I495">
        <v>2183</v>
      </c>
      <c r="J495">
        <v>500</v>
      </c>
      <c r="K495" s="43">
        <v>27.1</v>
      </c>
      <c r="L495" s="22">
        <v>24.4</v>
      </c>
      <c r="M495" s="43">
        <v>23.8</v>
      </c>
      <c r="N495" s="40">
        <f t="shared" si="21"/>
        <v>0.90036900369003681</v>
      </c>
      <c r="O495" s="40">
        <f t="shared" ref="O495:O587" si="23">M495/K495</f>
        <v>0.87822878228782286</v>
      </c>
      <c r="P495" s="43">
        <v>3</v>
      </c>
      <c r="Q495" s="72">
        <f>VLOOKUP('All inst data'!A495,'all mice (except april 2012)'!$A$2:$G$218,7,FALSE)</f>
        <v>83</v>
      </c>
      <c r="U495" s="43"/>
    </row>
    <row r="496" spans="1:21" x14ac:dyDescent="0.25">
      <c r="A496" s="43">
        <v>168</v>
      </c>
      <c r="B496" s="43">
        <v>5</v>
      </c>
      <c r="C496" s="43">
        <v>7</v>
      </c>
      <c r="D496" s="43">
        <v>2</v>
      </c>
      <c r="E496" s="43">
        <v>130904</v>
      </c>
      <c r="F496" s="43">
        <v>94403</v>
      </c>
      <c r="G496" s="43" t="s">
        <v>3</v>
      </c>
      <c r="H496">
        <v>5</v>
      </c>
      <c r="I496">
        <v>2162</v>
      </c>
      <c r="J496" s="22">
        <v>500</v>
      </c>
      <c r="K496" s="43">
        <v>23.4</v>
      </c>
      <c r="L496" s="22">
        <v>22</v>
      </c>
      <c r="M496" s="22">
        <v>21.1</v>
      </c>
      <c r="N496" s="40">
        <f t="shared" si="21"/>
        <v>0.94017094017094027</v>
      </c>
      <c r="O496" s="40">
        <f t="shared" si="23"/>
        <v>0.90170940170940184</v>
      </c>
      <c r="P496">
        <v>3</v>
      </c>
      <c r="Q496" s="72">
        <f>VLOOKUP('All inst data'!A496,'all mice (except april 2012)'!$A$2:$G$218,7,FALSE)</f>
        <v>83</v>
      </c>
      <c r="U496" s="43"/>
    </row>
    <row r="497" spans="1:21" x14ac:dyDescent="0.25">
      <c r="A497" s="43">
        <v>169</v>
      </c>
      <c r="B497" s="43">
        <v>6</v>
      </c>
      <c r="C497" s="43">
        <v>7</v>
      </c>
      <c r="D497" s="43">
        <v>2</v>
      </c>
      <c r="E497" s="43">
        <v>130904</v>
      </c>
      <c r="F497" s="43">
        <v>94403</v>
      </c>
      <c r="G497" s="43" t="s">
        <v>5</v>
      </c>
      <c r="H497">
        <v>7</v>
      </c>
      <c r="I497">
        <v>7</v>
      </c>
      <c r="J497">
        <v>7</v>
      </c>
      <c r="K497" s="28">
        <v>26.6</v>
      </c>
      <c r="L497" s="22">
        <v>23.9</v>
      </c>
      <c r="M497" s="43">
        <v>21.2</v>
      </c>
      <c r="N497" s="40">
        <f t="shared" si="21"/>
        <v>0.89849624060150368</v>
      </c>
      <c r="O497" s="40">
        <f t="shared" si="23"/>
        <v>0.79699248120300747</v>
      </c>
      <c r="P497">
        <v>3.65</v>
      </c>
      <c r="Q497" s="72">
        <f>VLOOKUP('All inst data'!A497,'all mice (except april 2012)'!$A$2:$G$218,7,FALSE)</f>
        <v>83</v>
      </c>
      <c r="U497" s="43"/>
    </row>
    <row r="498" spans="1:21" x14ac:dyDescent="0.25">
      <c r="A498" s="43">
        <v>170</v>
      </c>
      <c r="B498" s="43">
        <v>7</v>
      </c>
      <c r="C498" s="43">
        <v>7</v>
      </c>
      <c r="D498" s="43">
        <v>2</v>
      </c>
      <c r="E498" s="43">
        <v>130904</v>
      </c>
      <c r="F498" s="43">
        <v>94403</v>
      </c>
      <c r="G498" s="43" t="s">
        <v>5</v>
      </c>
      <c r="H498">
        <v>8</v>
      </c>
      <c r="I498">
        <v>1756</v>
      </c>
      <c r="J498">
        <v>411</v>
      </c>
      <c r="K498" s="28">
        <v>29.3</v>
      </c>
      <c r="L498" s="22">
        <v>26</v>
      </c>
      <c r="M498" s="22">
        <v>24.6</v>
      </c>
      <c r="N498" s="40">
        <f t="shared" si="21"/>
        <v>0.88737201365187712</v>
      </c>
      <c r="O498" s="40">
        <f t="shared" si="23"/>
        <v>0.83959044368600688</v>
      </c>
      <c r="P498">
        <v>3.65</v>
      </c>
      <c r="Q498" s="72">
        <f>VLOOKUP('All inst data'!A498,'all mice (except april 2012)'!$A$2:$G$218,7,FALSE)</f>
        <v>83</v>
      </c>
    </row>
    <row r="499" spans="1:21" x14ac:dyDescent="0.25">
      <c r="A499" s="43">
        <v>164</v>
      </c>
      <c r="B499" s="43">
        <v>1</v>
      </c>
      <c r="C499" s="43">
        <v>7</v>
      </c>
      <c r="D499" s="43">
        <v>3</v>
      </c>
      <c r="E499" s="43">
        <v>130905</v>
      </c>
      <c r="F499" s="43">
        <v>94500</v>
      </c>
      <c r="G499" s="43" t="s">
        <v>173</v>
      </c>
      <c r="H499">
        <v>1</v>
      </c>
      <c r="I499">
        <v>2282</v>
      </c>
      <c r="J499">
        <v>500</v>
      </c>
      <c r="K499" s="28">
        <v>24.5</v>
      </c>
      <c r="L499" s="22">
        <v>21.1</v>
      </c>
      <c r="M499" s="22">
        <v>21.1</v>
      </c>
      <c r="N499" s="40">
        <f t="shared" si="21"/>
        <v>0.86122448979591848</v>
      </c>
      <c r="O499" s="40">
        <f t="shared" si="23"/>
        <v>0.86122448979591848</v>
      </c>
      <c r="P499" s="43" t="s">
        <v>139</v>
      </c>
      <c r="Q499" s="72">
        <f>VLOOKUP('All inst data'!A499,'all mice (except april 2012)'!$A$2:$G$218,7,FALSE)</f>
        <v>121</v>
      </c>
    </row>
    <row r="500" spans="1:21" x14ac:dyDescent="0.25">
      <c r="A500" s="43">
        <v>165</v>
      </c>
      <c r="B500" s="43">
        <v>2</v>
      </c>
      <c r="C500" s="43">
        <v>7</v>
      </c>
      <c r="D500" s="43">
        <v>3</v>
      </c>
      <c r="E500" s="43">
        <v>130905</v>
      </c>
      <c r="F500" s="43">
        <v>94501</v>
      </c>
      <c r="G500" s="43" t="s">
        <v>6</v>
      </c>
      <c r="H500">
        <v>2</v>
      </c>
      <c r="I500">
        <v>2624</v>
      </c>
      <c r="J500">
        <v>500</v>
      </c>
      <c r="K500" s="28">
        <v>27.4</v>
      </c>
      <c r="L500" s="22">
        <v>24.7</v>
      </c>
      <c r="M500" s="22">
        <v>25</v>
      </c>
      <c r="N500" s="40">
        <f t="shared" si="21"/>
        <v>0.9014598540145986</v>
      </c>
      <c r="O500" s="40">
        <f t="shared" si="23"/>
        <v>0.91240875912408759</v>
      </c>
      <c r="P500" s="43" t="s">
        <v>139</v>
      </c>
      <c r="Q500" s="72">
        <f>VLOOKUP('All inst data'!A500,'all mice (except april 2012)'!$A$2:$G$218,7,FALSE)</f>
        <v>90</v>
      </c>
    </row>
    <row r="501" spans="1:21" x14ac:dyDescent="0.25">
      <c r="A501" s="62">
        <v>166</v>
      </c>
      <c r="B501" s="62">
        <v>3</v>
      </c>
      <c r="C501" s="62">
        <v>7</v>
      </c>
      <c r="D501" s="62">
        <v>3</v>
      </c>
      <c r="E501" s="62">
        <v>130905</v>
      </c>
      <c r="F501" s="62">
        <v>94501</v>
      </c>
      <c r="G501" s="62" t="s">
        <v>6</v>
      </c>
      <c r="H501" s="62">
        <v>3</v>
      </c>
      <c r="I501" s="62">
        <v>4</v>
      </c>
      <c r="J501" s="62">
        <v>4</v>
      </c>
      <c r="K501" s="64">
        <v>27</v>
      </c>
      <c r="L501" s="62">
        <v>23.5</v>
      </c>
      <c r="M501" s="62">
        <v>22.1</v>
      </c>
      <c r="N501" s="63">
        <f t="shared" si="21"/>
        <v>0.87037037037037035</v>
      </c>
      <c r="O501" s="63">
        <f t="shared" si="23"/>
        <v>0.81851851851851853</v>
      </c>
      <c r="P501" s="62" t="s">
        <v>139</v>
      </c>
      <c r="Q501" s="72">
        <f>VLOOKUP('All inst data'!A501,'all mice (except april 2012)'!$A$2:$G$218,7,FALSE)</f>
        <v>90</v>
      </c>
    </row>
    <row r="502" spans="1:21" x14ac:dyDescent="0.25">
      <c r="A502" s="43">
        <v>167</v>
      </c>
      <c r="B502" s="43">
        <v>4</v>
      </c>
      <c r="C502" s="43">
        <v>7</v>
      </c>
      <c r="D502" s="43">
        <v>3</v>
      </c>
      <c r="E502" s="43">
        <v>130905</v>
      </c>
      <c r="F502" s="43">
        <v>94501</v>
      </c>
      <c r="G502" s="43" t="s">
        <v>3</v>
      </c>
      <c r="H502">
        <v>4</v>
      </c>
      <c r="I502">
        <v>2177</v>
      </c>
      <c r="J502">
        <v>500</v>
      </c>
      <c r="K502" s="43">
        <v>27.1</v>
      </c>
      <c r="L502" s="22">
        <v>24.5</v>
      </c>
      <c r="M502" s="22">
        <v>23.9</v>
      </c>
      <c r="N502" s="40">
        <f t="shared" si="21"/>
        <v>0.90405904059040587</v>
      </c>
      <c r="O502" s="40">
        <f t="shared" si="23"/>
        <v>0.88191881918819182</v>
      </c>
      <c r="P502" s="43" t="s">
        <v>139</v>
      </c>
      <c r="Q502" s="72">
        <f>VLOOKUP('All inst data'!A502,'all mice (except april 2012)'!$A$2:$G$218,7,FALSE)</f>
        <v>83</v>
      </c>
    </row>
    <row r="503" spans="1:21" x14ac:dyDescent="0.25">
      <c r="A503" s="43">
        <v>168</v>
      </c>
      <c r="B503" s="43">
        <v>5</v>
      </c>
      <c r="C503" s="43">
        <v>7</v>
      </c>
      <c r="D503" s="43">
        <v>3</v>
      </c>
      <c r="E503" s="43">
        <v>130905</v>
      </c>
      <c r="F503" s="43">
        <v>94501</v>
      </c>
      <c r="G503" s="43" t="s">
        <v>3</v>
      </c>
      <c r="H503">
        <v>5</v>
      </c>
      <c r="I503">
        <v>2159</v>
      </c>
      <c r="J503">
        <v>500</v>
      </c>
      <c r="K503" s="43">
        <v>23.4</v>
      </c>
      <c r="L503" s="22">
        <v>21.9</v>
      </c>
      <c r="M503" s="43">
        <v>21.4</v>
      </c>
      <c r="N503" s="40">
        <f t="shared" si="21"/>
        <v>0.9358974358974359</v>
      </c>
      <c r="O503" s="40">
        <f t="shared" si="23"/>
        <v>0.9145299145299145</v>
      </c>
      <c r="P503" s="43" t="s">
        <v>139</v>
      </c>
      <c r="Q503" s="72">
        <f>VLOOKUP('All inst data'!A503,'all mice (except april 2012)'!$A$2:$G$218,7,FALSE)</f>
        <v>83</v>
      </c>
    </row>
    <row r="504" spans="1:21" x14ac:dyDescent="0.25">
      <c r="A504" s="43">
        <v>169</v>
      </c>
      <c r="B504" s="43">
        <v>6</v>
      </c>
      <c r="C504" s="43">
        <v>7</v>
      </c>
      <c r="D504" s="43">
        <v>3</v>
      </c>
      <c r="E504" s="43">
        <v>130905</v>
      </c>
      <c r="F504" s="43">
        <v>94501</v>
      </c>
      <c r="G504" s="43" t="s">
        <v>5</v>
      </c>
      <c r="H504">
        <v>7</v>
      </c>
      <c r="I504">
        <v>1224</v>
      </c>
      <c r="J504">
        <v>312</v>
      </c>
      <c r="K504" s="28">
        <v>26.6</v>
      </c>
      <c r="L504" s="22">
        <v>23.8</v>
      </c>
      <c r="M504" s="43">
        <v>21.8</v>
      </c>
      <c r="N504" s="40">
        <f t="shared" si="21"/>
        <v>0.89473684210526316</v>
      </c>
      <c r="O504" s="40">
        <f t="shared" si="23"/>
        <v>0.81954887218045114</v>
      </c>
      <c r="P504" s="43" t="s">
        <v>139</v>
      </c>
      <c r="Q504" s="72">
        <f>VLOOKUP('All inst data'!A504,'all mice (except april 2012)'!$A$2:$G$218,7,FALSE)</f>
        <v>83</v>
      </c>
    </row>
    <row r="505" spans="1:21" x14ac:dyDescent="0.25">
      <c r="A505" s="43">
        <v>170</v>
      </c>
      <c r="B505" s="43">
        <v>7</v>
      </c>
      <c r="C505" s="43">
        <v>7</v>
      </c>
      <c r="D505" s="43">
        <v>3</v>
      </c>
      <c r="E505" s="43">
        <v>130905</v>
      </c>
      <c r="F505" s="43">
        <v>94501</v>
      </c>
      <c r="G505" s="43" t="s">
        <v>5</v>
      </c>
      <c r="H505">
        <v>8</v>
      </c>
      <c r="I505">
        <v>2184</v>
      </c>
      <c r="J505">
        <v>500</v>
      </c>
      <c r="K505" s="28">
        <v>29.3</v>
      </c>
      <c r="L505" s="22">
        <v>26</v>
      </c>
      <c r="M505" s="22">
        <v>24.8</v>
      </c>
      <c r="N505" s="40">
        <f t="shared" si="21"/>
        <v>0.88737201365187712</v>
      </c>
      <c r="O505" s="40">
        <f t="shared" si="23"/>
        <v>0.84641638225255977</v>
      </c>
      <c r="P505" s="43" t="s">
        <v>139</v>
      </c>
      <c r="Q505" s="72">
        <f>VLOOKUP('All inst data'!A505,'all mice (except april 2012)'!$A$2:$G$218,7,FALSE)</f>
        <v>83</v>
      </c>
    </row>
    <row r="506" spans="1:21" x14ac:dyDescent="0.25">
      <c r="A506" s="43">
        <v>171</v>
      </c>
      <c r="B506" s="43">
        <v>8</v>
      </c>
      <c r="C506" s="43">
        <v>7</v>
      </c>
      <c r="D506" s="43">
        <v>1</v>
      </c>
      <c r="E506" s="43">
        <v>130910</v>
      </c>
      <c r="F506" s="43">
        <v>101043</v>
      </c>
      <c r="G506" s="43" t="s">
        <v>147</v>
      </c>
      <c r="H506">
        <v>1</v>
      </c>
      <c r="I506">
        <v>1875</v>
      </c>
      <c r="J506">
        <v>435</v>
      </c>
      <c r="K506" s="43">
        <v>23.2</v>
      </c>
      <c r="L506" s="22">
        <v>21.3</v>
      </c>
      <c r="M506" s="43">
        <v>19.399999999999999</v>
      </c>
      <c r="N506" s="40">
        <f t="shared" si="21"/>
        <v>0.9181034482758621</v>
      </c>
      <c r="O506" s="40">
        <f t="shared" si="23"/>
        <v>0.83620689655172409</v>
      </c>
      <c r="P506">
        <v>2.2999999999999998</v>
      </c>
      <c r="Q506" s="72">
        <f>VLOOKUP('All inst data'!A506,'all mice (except april 2012)'!$A$2:$G$218,7,FALSE)</f>
        <v>79</v>
      </c>
    </row>
    <row r="507" spans="1:21" x14ac:dyDescent="0.25">
      <c r="A507" s="43">
        <v>172</v>
      </c>
      <c r="B507" s="43">
        <v>9</v>
      </c>
      <c r="C507" s="43">
        <v>7</v>
      </c>
      <c r="D507" s="43">
        <v>1</v>
      </c>
      <c r="E507" s="43">
        <v>130910</v>
      </c>
      <c r="F507" s="43">
        <v>101044</v>
      </c>
      <c r="G507" s="43" t="s">
        <v>147</v>
      </c>
      <c r="H507">
        <v>2</v>
      </c>
      <c r="I507">
        <v>2214</v>
      </c>
      <c r="J507">
        <v>500</v>
      </c>
      <c r="K507" s="43">
        <v>23.1</v>
      </c>
      <c r="L507" s="22">
        <v>21.5</v>
      </c>
      <c r="M507" s="43">
        <v>20</v>
      </c>
      <c r="N507" s="40">
        <f t="shared" si="21"/>
        <v>0.93073593073593064</v>
      </c>
      <c r="O507" s="40">
        <f t="shared" si="23"/>
        <v>0.86580086580086579</v>
      </c>
      <c r="P507">
        <v>2.2999999999999998</v>
      </c>
      <c r="Q507" s="72">
        <f>VLOOKUP('All inst data'!A507,'all mice (except april 2012)'!$A$2:$G$218,7,FALSE)</f>
        <v>79</v>
      </c>
    </row>
    <row r="508" spans="1:21" x14ac:dyDescent="0.25">
      <c r="A508" s="62">
        <v>173</v>
      </c>
      <c r="B508" s="62">
        <v>10</v>
      </c>
      <c r="C508" s="62">
        <v>7</v>
      </c>
      <c r="D508" s="62">
        <v>1</v>
      </c>
      <c r="E508" s="62">
        <v>130910</v>
      </c>
      <c r="F508" s="62">
        <v>101044</v>
      </c>
      <c r="G508" s="62" t="s">
        <v>9</v>
      </c>
      <c r="H508" s="62">
        <v>3</v>
      </c>
      <c r="I508" s="62">
        <v>11</v>
      </c>
      <c r="J508" s="62">
        <v>11</v>
      </c>
      <c r="K508" s="62">
        <v>27.4</v>
      </c>
      <c r="L508" s="62">
        <v>24</v>
      </c>
      <c r="M508" s="62">
        <v>21.8</v>
      </c>
      <c r="N508" s="63">
        <f t="shared" si="21"/>
        <v>0.87591240875912413</v>
      </c>
      <c r="O508" s="63">
        <f t="shared" si="23"/>
        <v>0.79562043795620441</v>
      </c>
      <c r="P508" s="62">
        <v>3.2</v>
      </c>
      <c r="Q508" s="72">
        <f>VLOOKUP('All inst data'!A508,'all mice (except april 2012)'!$A$2:$G$218,7,FALSE)</f>
        <v>76</v>
      </c>
    </row>
    <row r="509" spans="1:21" x14ac:dyDescent="0.25">
      <c r="A509" s="13">
        <v>174</v>
      </c>
      <c r="B509" s="13">
        <v>11</v>
      </c>
      <c r="C509" s="13">
        <v>7</v>
      </c>
      <c r="D509" s="13">
        <v>1</v>
      </c>
      <c r="E509" s="13">
        <v>130910</v>
      </c>
      <c r="F509" s="13">
        <v>101044</v>
      </c>
      <c r="G509" s="13" t="s">
        <v>113</v>
      </c>
      <c r="H509">
        <v>4</v>
      </c>
      <c r="I509">
        <v>138</v>
      </c>
      <c r="J509">
        <v>92</v>
      </c>
      <c r="K509" s="43">
        <v>14.1</v>
      </c>
      <c r="L509" s="22">
        <v>12.7</v>
      </c>
      <c r="M509" s="22">
        <v>12.3</v>
      </c>
      <c r="N509" s="40">
        <f t="shared" si="21"/>
        <v>0.900709219858156</v>
      </c>
      <c r="O509" s="40">
        <f t="shared" si="23"/>
        <v>0.87234042553191493</v>
      </c>
      <c r="P509">
        <v>3.7</v>
      </c>
      <c r="Q509" s="72">
        <f>VLOOKUP('All inst data'!A509,'all mice (except april 2012)'!$A$2:$G$218,7,FALSE)</f>
        <v>76</v>
      </c>
    </row>
    <row r="510" spans="1:21" x14ac:dyDescent="0.25">
      <c r="A510" s="43">
        <v>175</v>
      </c>
      <c r="B510" s="43">
        <v>12</v>
      </c>
      <c r="C510" s="43">
        <v>7</v>
      </c>
      <c r="D510" s="43">
        <v>1</v>
      </c>
      <c r="E510" s="43">
        <v>130910</v>
      </c>
      <c r="F510" s="43">
        <v>101044</v>
      </c>
      <c r="G510" s="43" t="s">
        <v>112</v>
      </c>
      <c r="H510">
        <v>5</v>
      </c>
      <c r="I510">
        <v>712</v>
      </c>
      <c r="J510">
        <v>208</v>
      </c>
      <c r="K510" s="43">
        <v>23.5</v>
      </c>
      <c r="L510" s="22">
        <v>21.4</v>
      </c>
      <c r="M510" s="22">
        <v>19.8</v>
      </c>
      <c r="N510" s="40">
        <f t="shared" si="21"/>
        <v>0.91063829787234041</v>
      </c>
      <c r="O510" s="40">
        <f t="shared" si="23"/>
        <v>0.8425531914893617</v>
      </c>
      <c r="P510">
        <v>3.7</v>
      </c>
      <c r="Q510" s="72">
        <f>VLOOKUP('All inst data'!A510,'all mice (except april 2012)'!$A$2:$G$218,7,FALSE)</f>
        <v>76</v>
      </c>
    </row>
    <row r="511" spans="1:21" x14ac:dyDescent="0.25">
      <c r="A511" s="43">
        <v>176</v>
      </c>
      <c r="B511" s="43">
        <v>13</v>
      </c>
      <c r="C511" s="43">
        <v>7</v>
      </c>
      <c r="D511" s="43">
        <v>1</v>
      </c>
      <c r="E511" s="43">
        <v>130910</v>
      </c>
      <c r="F511" s="43">
        <v>101045</v>
      </c>
      <c r="G511" s="43" t="s">
        <v>110</v>
      </c>
      <c r="H511">
        <v>7</v>
      </c>
      <c r="I511">
        <v>843</v>
      </c>
      <c r="J511">
        <v>232</v>
      </c>
      <c r="K511" s="43">
        <v>21.7</v>
      </c>
      <c r="L511" s="22">
        <v>19.8</v>
      </c>
      <c r="M511" s="43">
        <v>17.5</v>
      </c>
      <c r="N511" s="40">
        <f t="shared" si="21"/>
        <v>0.9124423963133641</v>
      </c>
      <c r="O511" s="40">
        <f t="shared" si="23"/>
        <v>0.80645161290322587</v>
      </c>
      <c r="P511">
        <v>3.9</v>
      </c>
      <c r="Q511" s="72">
        <f>VLOOKUP('All inst data'!A511,'all mice (except april 2012)'!$A$2:$G$218,7,FALSE)</f>
        <v>69</v>
      </c>
    </row>
    <row r="512" spans="1:21" x14ac:dyDescent="0.25">
      <c r="A512" s="43">
        <v>171</v>
      </c>
      <c r="B512" s="43">
        <v>8</v>
      </c>
      <c r="C512" s="43">
        <v>7</v>
      </c>
      <c r="D512" s="43">
        <v>2</v>
      </c>
      <c r="E512" s="43">
        <v>130911</v>
      </c>
      <c r="F512" s="43">
        <v>92048</v>
      </c>
      <c r="G512" s="43" t="s">
        <v>147</v>
      </c>
      <c r="H512">
        <v>1</v>
      </c>
      <c r="I512">
        <v>2077</v>
      </c>
      <c r="J512">
        <v>480</v>
      </c>
      <c r="K512" s="43">
        <v>23.2</v>
      </c>
      <c r="L512" s="22">
        <v>21.6</v>
      </c>
      <c r="M512" s="43">
        <v>20.6</v>
      </c>
      <c r="N512" s="40">
        <f t="shared" si="21"/>
        <v>0.93103448275862077</v>
      </c>
      <c r="O512" s="40">
        <f t="shared" si="23"/>
        <v>0.88793103448275867</v>
      </c>
      <c r="P512">
        <v>2.1</v>
      </c>
      <c r="Q512" s="72">
        <f>VLOOKUP('All inst data'!A512,'all mice (except april 2012)'!$A$2:$G$218,7,FALSE)</f>
        <v>79</v>
      </c>
    </row>
    <row r="513" spans="1:17" x14ac:dyDescent="0.25">
      <c r="A513" s="43">
        <v>172</v>
      </c>
      <c r="B513" s="43">
        <v>9</v>
      </c>
      <c r="C513" s="43">
        <v>7</v>
      </c>
      <c r="D513" s="43">
        <v>2</v>
      </c>
      <c r="E513" s="43">
        <v>130911</v>
      </c>
      <c r="F513" s="43">
        <v>92049</v>
      </c>
      <c r="G513" s="43" t="s">
        <v>147</v>
      </c>
      <c r="H513">
        <v>2</v>
      </c>
      <c r="I513">
        <v>1985</v>
      </c>
      <c r="J513">
        <v>454</v>
      </c>
      <c r="K513" s="43">
        <v>23.1</v>
      </c>
      <c r="L513" s="22">
        <v>21.5</v>
      </c>
      <c r="M513" s="43">
        <v>20.8</v>
      </c>
      <c r="N513" s="40">
        <f t="shared" si="21"/>
        <v>0.93073593073593064</v>
      </c>
      <c r="O513" s="40">
        <f t="shared" si="23"/>
        <v>0.90043290043290036</v>
      </c>
      <c r="P513" s="43">
        <v>2.1</v>
      </c>
      <c r="Q513" s="72">
        <f>VLOOKUP('All inst data'!A513,'all mice (except april 2012)'!$A$2:$G$218,7,FALSE)</f>
        <v>79</v>
      </c>
    </row>
    <row r="514" spans="1:17" x14ac:dyDescent="0.25">
      <c r="A514" s="62">
        <v>173</v>
      </c>
      <c r="B514" s="62">
        <v>10</v>
      </c>
      <c r="C514" s="62">
        <v>7</v>
      </c>
      <c r="D514" s="62">
        <v>2</v>
      </c>
      <c r="E514" s="62">
        <v>130911</v>
      </c>
      <c r="F514" s="62">
        <v>92049</v>
      </c>
      <c r="G514" s="62" t="s">
        <v>9</v>
      </c>
      <c r="H514" s="62">
        <v>3</v>
      </c>
      <c r="I514" s="62">
        <v>1</v>
      </c>
      <c r="J514" s="62">
        <v>1</v>
      </c>
      <c r="K514" s="62">
        <v>27.4</v>
      </c>
      <c r="L514" s="62">
        <v>24.4</v>
      </c>
      <c r="M514" s="62">
        <v>22.5</v>
      </c>
      <c r="N514" s="63">
        <f t="shared" ref="N514:N522" si="24">L514/K514</f>
        <v>0.89051094890510951</v>
      </c>
      <c r="O514" s="63">
        <f t="shared" si="23"/>
        <v>0.82116788321167888</v>
      </c>
      <c r="P514" s="62">
        <v>3.5</v>
      </c>
      <c r="Q514" s="72">
        <f>VLOOKUP('All inst data'!A514,'all mice (except april 2012)'!$A$2:$G$218,7,FALSE)</f>
        <v>76</v>
      </c>
    </row>
    <row r="515" spans="1:17" x14ac:dyDescent="0.25">
      <c r="A515" s="13">
        <v>174</v>
      </c>
      <c r="B515" s="13">
        <v>11</v>
      </c>
      <c r="C515" s="13">
        <v>7</v>
      </c>
      <c r="D515" s="13">
        <v>2</v>
      </c>
      <c r="E515" s="13">
        <v>130911</v>
      </c>
      <c r="F515" s="13">
        <v>92049</v>
      </c>
      <c r="G515" s="13" t="s">
        <v>113</v>
      </c>
      <c r="H515">
        <v>4</v>
      </c>
      <c r="I515">
        <v>412</v>
      </c>
      <c r="J515">
        <v>151</v>
      </c>
      <c r="K515" s="43">
        <v>14.1</v>
      </c>
      <c r="L515" s="22">
        <v>12.9</v>
      </c>
      <c r="M515" s="22">
        <v>12.5</v>
      </c>
      <c r="N515" s="40">
        <f t="shared" si="24"/>
        <v>0.91489361702127669</v>
      </c>
      <c r="O515" s="40">
        <f t="shared" si="23"/>
        <v>0.88652482269503552</v>
      </c>
      <c r="P515">
        <v>3.6</v>
      </c>
      <c r="Q515" s="72">
        <f>VLOOKUP('All inst data'!A515,'all mice (except april 2012)'!$A$2:$G$218,7,FALSE)</f>
        <v>76</v>
      </c>
    </row>
    <row r="516" spans="1:17" x14ac:dyDescent="0.25">
      <c r="A516" s="43">
        <v>175</v>
      </c>
      <c r="B516" s="43">
        <v>12</v>
      </c>
      <c r="C516" s="43">
        <v>7</v>
      </c>
      <c r="D516" s="43">
        <v>2</v>
      </c>
      <c r="E516" s="43">
        <v>130911</v>
      </c>
      <c r="F516" s="43">
        <v>92049</v>
      </c>
      <c r="G516" s="43" t="s">
        <v>110</v>
      </c>
      <c r="H516">
        <v>5</v>
      </c>
      <c r="I516">
        <v>883</v>
      </c>
      <c r="J516">
        <v>242</v>
      </c>
      <c r="K516" s="43">
        <v>23.5</v>
      </c>
      <c r="L516" s="22">
        <v>22.3</v>
      </c>
      <c r="M516" s="22">
        <v>20.3</v>
      </c>
      <c r="N516" s="40">
        <f t="shared" si="24"/>
        <v>0.94893617021276599</v>
      </c>
      <c r="O516" s="40">
        <f t="shared" si="23"/>
        <v>0.86382978723404258</v>
      </c>
      <c r="P516">
        <v>3.6</v>
      </c>
      <c r="Q516" s="72">
        <f>VLOOKUP('All inst data'!A516,'all mice (except april 2012)'!$A$2:$G$218,7,FALSE)</f>
        <v>76</v>
      </c>
    </row>
    <row r="517" spans="1:17" x14ac:dyDescent="0.25">
      <c r="A517" s="43">
        <v>176</v>
      </c>
      <c r="B517" s="43">
        <v>13</v>
      </c>
      <c r="C517" s="43">
        <v>7</v>
      </c>
      <c r="D517" s="43">
        <v>2</v>
      </c>
      <c r="E517" s="43">
        <v>130911</v>
      </c>
      <c r="F517" s="43">
        <v>93151</v>
      </c>
      <c r="G517" s="43" t="s">
        <v>112</v>
      </c>
      <c r="H517">
        <v>7</v>
      </c>
      <c r="I517">
        <v>951</v>
      </c>
      <c r="J517">
        <v>255</v>
      </c>
      <c r="K517" s="43">
        <v>21.7</v>
      </c>
      <c r="L517" s="22">
        <v>20.399999999999999</v>
      </c>
      <c r="M517" s="43">
        <v>19.100000000000001</v>
      </c>
      <c r="N517" s="40">
        <f t="shared" si="24"/>
        <v>0.94009216589861744</v>
      </c>
      <c r="O517" s="40">
        <f t="shared" si="23"/>
        <v>0.8801843317972351</v>
      </c>
      <c r="P517">
        <v>3.6</v>
      </c>
      <c r="Q517" s="72">
        <f>VLOOKUP('All inst data'!A517,'all mice (except april 2012)'!$A$2:$G$218,7,FALSE)</f>
        <v>69</v>
      </c>
    </row>
    <row r="518" spans="1:17" x14ac:dyDescent="0.25">
      <c r="A518" s="43">
        <v>171</v>
      </c>
      <c r="B518" s="43">
        <v>8</v>
      </c>
      <c r="C518" s="43">
        <v>7</v>
      </c>
      <c r="D518" s="43">
        <v>3</v>
      </c>
      <c r="E518" s="43">
        <v>130912</v>
      </c>
      <c r="F518" s="43">
        <v>94649</v>
      </c>
      <c r="G518" s="43" t="s">
        <v>147</v>
      </c>
      <c r="H518">
        <v>1</v>
      </c>
      <c r="I518">
        <v>2173</v>
      </c>
      <c r="J518">
        <v>500</v>
      </c>
      <c r="K518" s="43">
        <v>23.2</v>
      </c>
      <c r="L518" s="22">
        <v>21.2</v>
      </c>
      <c r="M518" s="22">
        <v>20.3</v>
      </c>
      <c r="N518" s="40">
        <f t="shared" si="24"/>
        <v>0.91379310344827591</v>
      </c>
      <c r="O518" s="40">
        <f t="shared" si="23"/>
        <v>0.87500000000000011</v>
      </c>
      <c r="P518" s="43" t="s">
        <v>139</v>
      </c>
      <c r="Q518" s="72">
        <f>VLOOKUP('All inst data'!A518,'all mice (except april 2012)'!$A$2:$G$218,7,FALSE)</f>
        <v>79</v>
      </c>
    </row>
    <row r="519" spans="1:17" x14ac:dyDescent="0.25">
      <c r="A519" s="43">
        <v>172</v>
      </c>
      <c r="B519" s="43">
        <v>9</v>
      </c>
      <c r="C519" s="43">
        <v>7</v>
      </c>
      <c r="D519" s="43">
        <v>3</v>
      </c>
      <c r="E519" s="43">
        <v>130912</v>
      </c>
      <c r="F519" s="43">
        <v>94650</v>
      </c>
      <c r="G519" s="43" t="s">
        <v>147</v>
      </c>
      <c r="H519">
        <v>2</v>
      </c>
      <c r="I519">
        <v>2226</v>
      </c>
      <c r="J519">
        <v>497</v>
      </c>
      <c r="K519" s="43">
        <v>23.1</v>
      </c>
      <c r="L519" s="22">
        <v>21.2</v>
      </c>
      <c r="M519" s="43">
        <v>20.5</v>
      </c>
      <c r="N519" s="40">
        <f t="shared" si="24"/>
        <v>0.91774891774891765</v>
      </c>
      <c r="O519" s="40">
        <f t="shared" si="23"/>
        <v>0.88744588744588737</v>
      </c>
      <c r="P519" s="43" t="s">
        <v>139</v>
      </c>
      <c r="Q519" s="72">
        <f>VLOOKUP('All inst data'!A519,'all mice (except april 2012)'!$A$2:$G$218,7,FALSE)</f>
        <v>79</v>
      </c>
    </row>
    <row r="520" spans="1:17" x14ac:dyDescent="0.25">
      <c r="A520" s="62">
        <v>173</v>
      </c>
      <c r="B520" s="62">
        <v>10</v>
      </c>
      <c r="C520" s="62">
        <v>7</v>
      </c>
      <c r="D520" s="62">
        <v>3</v>
      </c>
      <c r="E520" s="62">
        <v>130912</v>
      </c>
      <c r="F520" s="62">
        <v>94650</v>
      </c>
      <c r="G520" s="62" t="s">
        <v>9</v>
      </c>
      <c r="H520" s="62">
        <v>3</v>
      </c>
      <c r="I520" s="62">
        <v>1</v>
      </c>
      <c r="J520" s="62">
        <v>1</v>
      </c>
      <c r="K520" s="62">
        <v>27.4</v>
      </c>
      <c r="L520" s="62">
        <v>24.4</v>
      </c>
      <c r="M520" s="62">
        <v>22.9</v>
      </c>
      <c r="N520" s="63">
        <f t="shared" si="24"/>
        <v>0.89051094890510951</v>
      </c>
      <c r="O520" s="63">
        <f t="shared" si="23"/>
        <v>0.83576642335766427</v>
      </c>
      <c r="P520" s="62" t="s">
        <v>139</v>
      </c>
      <c r="Q520" s="72">
        <f>VLOOKUP('All inst data'!A520,'all mice (except april 2012)'!$A$2:$G$218,7,FALSE)</f>
        <v>76</v>
      </c>
    </row>
    <row r="521" spans="1:17" x14ac:dyDescent="0.25">
      <c r="A521" s="13">
        <v>174</v>
      </c>
      <c r="B521" s="13">
        <v>11</v>
      </c>
      <c r="C521" s="13">
        <v>7</v>
      </c>
      <c r="D521" s="13">
        <v>3</v>
      </c>
      <c r="E521" s="13">
        <v>130912</v>
      </c>
      <c r="F521" s="13">
        <v>94650</v>
      </c>
      <c r="G521" s="13" t="s">
        <v>113</v>
      </c>
      <c r="H521">
        <v>4</v>
      </c>
      <c r="I521">
        <v>500</v>
      </c>
      <c r="J521">
        <v>170</v>
      </c>
      <c r="K521" s="43">
        <v>14.1</v>
      </c>
      <c r="L521" s="22">
        <v>13.1</v>
      </c>
      <c r="M521" s="43">
        <v>12.3</v>
      </c>
      <c r="N521" s="40">
        <f t="shared" si="24"/>
        <v>0.92907801418439717</v>
      </c>
      <c r="O521" s="40">
        <f t="shared" si="23"/>
        <v>0.87234042553191493</v>
      </c>
      <c r="P521" s="43" t="s">
        <v>139</v>
      </c>
      <c r="Q521" s="72">
        <f>VLOOKUP('All inst data'!A521,'all mice (except april 2012)'!$A$2:$G$218,7,FALSE)</f>
        <v>76</v>
      </c>
    </row>
    <row r="522" spans="1:17" x14ac:dyDescent="0.25">
      <c r="A522" s="43">
        <v>175</v>
      </c>
      <c r="B522" s="43">
        <v>12</v>
      </c>
      <c r="C522" s="43">
        <v>7</v>
      </c>
      <c r="D522" s="43">
        <v>3</v>
      </c>
      <c r="E522" s="43">
        <v>130912</v>
      </c>
      <c r="F522" s="43">
        <v>94650</v>
      </c>
      <c r="G522" s="43" t="s">
        <v>112</v>
      </c>
      <c r="H522">
        <v>5</v>
      </c>
      <c r="I522">
        <v>656</v>
      </c>
      <c r="J522">
        <v>199</v>
      </c>
      <c r="K522" s="43">
        <v>23.5</v>
      </c>
      <c r="L522" s="22">
        <v>21.3</v>
      </c>
      <c r="M522" s="43">
        <v>20</v>
      </c>
      <c r="N522" s="40">
        <f t="shared" si="24"/>
        <v>0.90638297872340423</v>
      </c>
      <c r="O522" s="40">
        <f t="shared" si="23"/>
        <v>0.85106382978723405</v>
      </c>
      <c r="P522" s="43" t="s">
        <v>139</v>
      </c>
      <c r="Q522" s="72">
        <f>VLOOKUP('All inst data'!A522,'all mice (except april 2012)'!$A$2:$G$218,7,FALSE)</f>
        <v>76</v>
      </c>
    </row>
    <row r="523" spans="1:17" x14ac:dyDescent="0.25">
      <c r="A523" s="43">
        <v>176</v>
      </c>
      <c r="B523" s="43">
        <v>13</v>
      </c>
      <c r="C523" s="43">
        <v>7</v>
      </c>
      <c r="D523" s="43">
        <v>3</v>
      </c>
      <c r="E523" s="43">
        <v>130912</v>
      </c>
      <c r="F523" s="43">
        <v>94650</v>
      </c>
      <c r="G523" s="43" t="s">
        <v>110</v>
      </c>
      <c r="H523">
        <v>7</v>
      </c>
      <c r="I523">
        <v>1588</v>
      </c>
      <c r="J523">
        <v>379</v>
      </c>
      <c r="K523" s="43">
        <v>21.7</v>
      </c>
      <c r="L523" s="22">
        <v>20.399999999999999</v>
      </c>
      <c r="M523" s="43">
        <v>19.100000000000001</v>
      </c>
      <c r="N523" s="40">
        <f t="shared" ref="N523:N554" si="25">L523/K523</f>
        <v>0.94009216589861744</v>
      </c>
      <c r="O523" s="40">
        <f t="shared" si="23"/>
        <v>0.8801843317972351</v>
      </c>
      <c r="P523" s="43" t="s">
        <v>139</v>
      </c>
      <c r="Q523" s="72">
        <f>VLOOKUP('All inst data'!A523,'all mice (except april 2012)'!$A$2:$G$218,7,FALSE)</f>
        <v>69</v>
      </c>
    </row>
    <row r="524" spans="1:17" x14ac:dyDescent="0.25">
      <c r="A524" s="58">
        <v>177</v>
      </c>
      <c r="B524" s="58">
        <v>1</v>
      </c>
      <c r="C524" s="22">
        <v>8</v>
      </c>
      <c r="D524" s="22">
        <v>1</v>
      </c>
      <c r="E524" s="58">
        <v>131216</v>
      </c>
      <c r="F524" s="58">
        <v>105011</v>
      </c>
      <c r="G524" s="58" t="s">
        <v>366</v>
      </c>
      <c r="H524" s="58">
        <v>1</v>
      </c>
      <c r="I524" s="58">
        <v>142</v>
      </c>
      <c r="J524" s="58">
        <v>92</v>
      </c>
      <c r="K524" s="58">
        <v>21</v>
      </c>
      <c r="L524" s="22">
        <v>18.2</v>
      </c>
      <c r="M524" s="22">
        <v>16.7</v>
      </c>
      <c r="N524" s="40">
        <f t="shared" si="25"/>
        <v>0.86666666666666659</v>
      </c>
      <c r="O524" s="40">
        <f t="shared" si="23"/>
        <v>0.79523809523809519</v>
      </c>
      <c r="P524">
        <v>3.5</v>
      </c>
      <c r="Q524" s="72">
        <f>VLOOKUP('All inst data'!A524,'all mice (except april 2012)'!$A$2:$G$218,7,FALSE)</f>
        <v>72</v>
      </c>
    </row>
    <row r="525" spans="1:17" x14ac:dyDescent="0.25">
      <c r="A525" s="58">
        <v>178</v>
      </c>
      <c r="B525" s="58">
        <v>2</v>
      </c>
      <c r="C525" s="58">
        <v>8</v>
      </c>
      <c r="D525" s="58">
        <v>1</v>
      </c>
      <c r="E525" s="58">
        <v>131216</v>
      </c>
      <c r="F525" s="58">
        <v>105012</v>
      </c>
      <c r="G525" s="58" t="s">
        <v>366</v>
      </c>
      <c r="H525" s="58">
        <v>2</v>
      </c>
      <c r="I525" s="58">
        <v>6</v>
      </c>
      <c r="J525" s="58">
        <v>6</v>
      </c>
      <c r="K525" s="58">
        <v>20.7</v>
      </c>
      <c r="L525" s="22">
        <v>19.3</v>
      </c>
      <c r="M525" s="22">
        <v>16.8</v>
      </c>
      <c r="N525" s="40">
        <f t="shared" si="25"/>
        <v>0.93236714975845414</v>
      </c>
      <c r="O525" s="40">
        <f t="shared" si="23"/>
        <v>0.81159420289855078</v>
      </c>
      <c r="P525">
        <v>3.5</v>
      </c>
      <c r="Q525" s="72">
        <f>VLOOKUP('All inst data'!A525,'all mice (except april 2012)'!$A$2:$G$218,7,FALSE)</f>
        <v>72</v>
      </c>
    </row>
    <row r="526" spans="1:17" x14ac:dyDescent="0.25">
      <c r="A526" s="58">
        <v>179</v>
      </c>
      <c r="B526" s="58">
        <v>3</v>
      </c>
      <c r="C526" s="58">
        <v>8</v>
      </c>
      <c r="D526" s="58">
        <v>1</v>
      </c>
      <c r="E526" s="58">
        <v>131216</v>
      </c>
      <c r="F526" s="58">
        <v>105012</v>
      </c>
      <c r="G526" s="58" t="s">
        <v>366</v>
      </c>
      <c r="H526" s="58">
        <v>3</v>
      </c>
      <c r="I526" s="58">
        <v>7</v>
      </c>
      <c r="J526" s="58">
        <v>7</v>
      </c>
      <c r="K526" s="58">
        <v>21.3</v>
      </c>
      <c r="L526" s="22">
        <v>19</v>
      </c>
      <c r="M526" s="22">
        <v>16.8</v>
      </c>
      <c r="N526" s="40">
        <f t="shared" si="25"/>
        <v>0.892018779342723</v>
      </c>
      <c r="O526" s="40">
        <f t="shared" si="23"/>
        <v>0.78873239436619724</v>
      </c>
      <c r="P526">
        <v>2.8</v>
      </c>
      <c r="Q526" s="72">
        <f>VLOOKUP('All inst data'!A526,'all mice (except april 2012)'!$A$2:$G$218,7,FALSE)</f>
        <v>72</v>
      </c>
    </row>
    <row r="527" spans="1:17" x14ac:dyDescent="0.25">
      <c r="A527" s="58">
        <v>180</v>
      </c>
      <c r="B527" s="58">
        <v>4</v>
      </c>
      <c r="C527" s="58">
        <v>8</v>
      </c>
      <c r="D527" s="58">
        <v>1</v>
      </c>
      <c r="E527" s="58">
        <v>131216</v>
      </c>
      <c r="F527" s="58">
        <v>105012</v>
      </c>
      <c r="G527" s="58" t="s">
        <v>366</v>
      </c>
      <c r="H527" s="58">
        <v>4</v>
      </c>
      <c r="I527" s="58">
        <v>1068</v>
      </c>
      <c r="J527" s="58">
        <v>281</v>
      </c>
      <c r="K527" s="58">
        <v>20.6</v>
      </c>
      <c r="L527" s="22">
        <v>18.5</v>
      </c>
      <c r="M527" s="22">
        <v>17.600000000000001</v>
      </c>
      <c r="N527" s="40">
        <f t="shared" si="25"/>
        <v>0.8980582524271844</v>
      </c>
      <c r="O527" s="40">
        <f t="shared" si="23"/>
        <v>0.85436893203883502</v>
      </c>
      <c r="P527">
        <v>2.8</v>
      </c>
      <c r="Q527" s="72">
        <f>VLOOKUP('All inst data'!A527,'all mice (except april 2012)'!$A$2:$G$218,7,FALSE)</f>
        <v>72</v>
      </c>
    </row>
    <row r="528" spans="1:17" x14ac:dyDescent="0.25">
      <c r="A528" s="58">
        <v>181</v>
      </c>
      <c r="B528" s="58">
        <v>5</v>
      </c>
      <c r="C528" s="58">
        <v>8</v>
      </c>
      <c r="D528" s="58">
        <v>1</v>
      </c>
      <c r="E528" s="58">
        <v>131216</v>
      </c>
      <c r="F528" s="58">
        <v>105012</v>
      </c>
      <c r="G528" s="58" t="s">
        <v>122</v>
      </c>
      <c r="H528" s="58">
        <v>5</v>
      </c>
      <c r="I528" s="58">
        <v>454</v>
      </c>
      <c r="J528" s="58">
        <v>158</v>
      </c>
      <c r="K528" s="58">
        <v>20.3</v>
      </c>
      <c r="L528" s="22">
        <v>18.100000000000001</v>
      </c>
      <c r="M528" s="22">
        <v>16.899999999999999</v>
      </c>
      <c r="N528" s="40">
        <f t="shared" si="25"/>
        <v>0.89162561576354682</v>
      </c>
      <c r="O528" s="40">
        <f t="shared" si="23"/>
        <v>0.83251231527093583</v>
      </c>
      <c r="P528">
        <v>2.6</v>
      </c>
      <c r="Q528" s="72">
        <f>VLOOKUP('All inst data'!A528,'all mice (except april 2012)'!$A$2:$G$218,7,FALSE)</f>
        <v>79</v>
      </c>
    </row>
    <row r="529" spans="1:28" x14ac:dyDescent="0.25">
      <c r="A529" s="58">
        <v>182</v>
      </c>
      <c r="B529" s="58">
        <v>6</v>
      </c>
      <c r="C529" s="58">
        <v>8</v>
      </c>
      <c r="D529" s="58">
        <v>1</v>
      </c>
      <c r="E529" s="58">
        <v>131216</v>
      </c>
      <c r="F529" s="58">
        <v>105012</v>
      </c>
      <c r="G529" s="58" t="s">
        <v>122</v>
      </c>
      <c r="H529" s="58">
        <v>6</v>
      </c>
      <c r="I529" s="58">
        <v>139</v>
      </c>
      <c r="J529" s="58">
        <v>91</v>
      </c>
      <c r="K529" s="58">
        <v>20.3</v>
      </c>
      <c r="L529" s="22">
        <v>17.899999999999999</v>
      </c>
      <c r="M529" s="22">
        <v>16.899999999999999</v>
      </c>
      <c r="N529" s="40">
        <f t="shared" si="25"/>
        <v>0.88177339901477825</v>
      </c>
      <c r="O529" s="40">
        <f t="shared" si="23"/>
        <v>0.83251231527093583</v>
      </c>
      <c r="P529">
        <v>2.6</v>
      </c>
      <c r="Q529" s="72">
        <f>VLOOKUP('All inst data'!A529,'all mice (except april 2012)'!$A$2:$G$218,7,FALSE)</f>
        <v>79</v>
      </c>
    </row>
    <row r="530" spans="1:28" x14ac:dyDescent="0.25">
      <c r="A530" s="58">
        <v>183</v>
      </c>
      <c r="B530" s="58">
        <v>7</v>
      </c>
      <c r="C530" s="58">
        <v>8</v>
      </c>
      <c r="D530" s="58">
        <v>1</v>
      </c>
      <c r="E530" s="58">
        <v>131216</v>
      </c>
      <c r="F530" s="58">
        <v>105012</v>
      </c>
      <c r="G530" s="58" t="s">
        <v>122</v>
      </c>
      <c r="H530" s="58">
        <v>7</v>
      </c>
      <c r="I530" s="58">
        <v>246</v>
      </c>
      <c r="J530" s="58">
        <v>120</v>
      </c>
      <c r="K530" s="58">
        <v>20.2</v>
      </c>
      <c r="L530" s="22">
        <v>17</v>
      </c>
      <c r="M530" s="22">
        <v>16.2</v>
      </c>
      <c r="N530" s="40">
        <f t="shared" si="25"/>
        <v>0.84158415841584167</v>
      </c>
      <c r="O530" s="40">
        <f t="shared" si="23"/>
        <v>0.80198019801980203</v>
      </c>
      <c r="P530">
        <v>2.5</v>
      </c>
      <c r="Q530" s="72">
        <f>VLOOKUP('All inst data'!A530,'all mice (except april 2012)'!$A$2:$G$218,7,FALSE)</f>
        <v>79</v>
      </c>
    </row>
    <row r="531" spans="1:28" x14ac:dyDescent="0.25">
      <c r="A531" s="62">
        <v>184</v>
      </c>
      <c r="B531" s="62">
        <v>8</v>
      </c>
      <c r="C531" s="62">
        <v>8</v>
      </c>
      <c r="D531" s="62">
        <v>1</v>
      </c>
      <c r="E531" s="62">
        <v>131216</v>
      </c>
      <c r="F531" s="62">
        <v>105012</v>
      </c>
      <c r="G531" s="62" t="s">
        <v>122</v>
      </c>
      <c r="H531" s="62">
        <v>8</v>
      </c>
      <c r="I531" s="62">
        <v>5</v>
      </c>
      <c r="J531" s="62">
        <v>5</v>
      </c>
      <c r="K531" s="62">
        <v>21.5</v>
      </c>
      <c r="L531" s="62">
        <v>19.600000000000001</v>
      </c>
      <c r="M531" s="62">
        <v>18.2</v>
      </c>
      <c r="N531" s="63">
        <f t="shared" si="25"/>
        <v>0.91162790697674423</v>
      </c>
      <c r="O531" s="63">
        <f t="shared" si="23"/>
        <v>0.84651162790697676</v>
      </c>
      <c r="P531" s="62">
        <v>2.5</v>
      </c>
      <c r="Q531" s="72">
        <f>VLOOKUP('All inst data'!A531,'all mice (except april 2012)'!$A$2:$G$218,7,FALSE)</f>
        <v>79</v>
      </c>
    </row>
    <row r="532" spans="1:28" x14ac:dyDescent="0.25">
      <c r="A532" s="58">
        <v>177</v>
      </c>
      <c r="B532" s="58">
        <v>1</v>
      </c>
      <c r="C532" s="58">
        <v>8</v>
      </c>
      <c r="D532" s="22">
        <v>2</v>
      </c>
      <c r="E532" s="58">
        <v>131217</v>
      </c>
      <c r="F532" s="58">
        <v>91003</v>
      </c>
      <c r="G532" s="58" t="s">
        <v>366</v>
      </c>
      <c r="H532" s="58">
        <v>1</v>
      </c>
      <c r="I532" s="58">
        <v>3</v>
      </c>
      <c r="J532" s="58">
        <v>3</v>
      </c>
      <c r="K532" s="58">
        <v>21</v>
      </c>
      <c r="L532" s="22">
        <v>18.7</v>
      </c>
      <c r="M532" s="22">
        <v>16.899999999999999</v>
      </c>
      <c r="N532" s="40">
        <f t="shared" si="25"/>
        <v>0.89047619047619042</v>
      </c>
      <c r="O532" s="40">
        <f t="shared" si="23"/>
        <v>0.80476190476190468</v>
      </c>
      <c r="P532">
        <v>3</v>
      </c>
      <c r="Q532" s="72">
        <f>VLOOKUP('All inst data'!A532,'all mice (except april 2012)'!$A$2:$G$218,7,FALSE)</f>
        <v>72</v>
      </c>
    </row>
    <row r="533" spans="1:28" x14ac:dyDescent="0.25">
      <c r="A533" s="58">
        <v>178</v>
      </c>
      <c r="B533" s="58">
        <v>2</v>
      </c>
      <c r="C533" s="58">
        <v>8</v>
      </c>
      <c r="D533" s="58">
        <v>2</v>
      </c>
      <c r="E533" s="58">
        <v>131217</v>
      </c>
      <c r="F533" s="58">
        <v>91003</v>
      </c>
      <c r="G533" s="58" t="s">
        <v>366</v>
      </c>
      <c r="H533" s="58">
        <v>2</v>
      </c>
      <c r="I533" s="58">
        <v>0</v>
      </c>
      <c r="J533" s="58">
        <v>0</v>
      </c>
      <c r="K533" s="58">
        <v>20.7</v>
      </c>
      <c r="L533" s="22">
        <v>19.8</v>
      </c>
      <c r="M533" s="22">
        <v>18.2</v>
      </c>
      <c r="N533" s="40">
        <f t="shared" si="25"/>
        <v>0.95652173913043481</v>
      </c>
      <c r="O533" s="40">
        <f t="shared" si="23"/>
        <v>0.87922705314009664</v>
      </c>
      <c r="P533">
        <v>3</v>
      </c>
      <c r="Q533" s="72">
        <f>VLOOKUP('All inst data'!A533,'all mice (except april 2012)'!$A$2:$G$218,7,FALSE)</f>
        <v>72</v>
      </c>
      <c r="U533" s="65"/>
    </row>
    <row r="534" spans="1:28" x14ac:dyDescent="0.25">
      <c r="A534" s="58">
        <v>179</v>
      </c>
      <c r="B534" s="58">
        <v>3</v>
      </c>
      <c r="C534" s="58">
        <v>8</v>
      </c>
      <c r="D534" s="58">
        <v>2</v>
      </c>
      <c r="E534" s="58">
        <v>131217</v>
      </c>
      <c r="F534" s="58">
        <v>91004</v>
      </c>
      <c r="G534" s="58" t="s">
        <v>366</v>
      </c>
      <c r="H534" s="58">
        <v>3</v>
      </c>
      <c r="I534" s="58">
        <v>3</v>
      </c>
      <c r="J534" s="58">
        <v>3</v>
      </c>
      <c r="K534" s="58">
        <v>21.3</v>
      </c>
      <c r="L534" s="22">
        <v>19.3</v>
      </c>
      <c r="M534" s="22">
        <v>17.3</v>
      </c>
      <c r="N534" s="40">
        <f t="shared" si="25"/>
        <v>0.9061032863849765</v>
      </c>
      <c r="O534" s="40">
        <f t="shared" si="23"/>
        <v>0.81220657276995301</v>
      </c>
      <c r="P534">
        <v>2.75</v>
      </c>
      <c r="Q534" s="72">
        <f>VLOOKUP('All inst data'!A534,'all mice (except april 2012)'!$A$2:$G$218,7,FALSE)</f>
        <v>72</v>
      </c>
      <c r="U534" s="65"/>
      <c r="W534" s="65"/>
      <c r="Y534" s="65"/>
      <c r="AA534" s="65"/>
      <c r="AB534" s="65"/>
    </row>
    <row r="535" spans="1:28" x14ac:dyDescent="0.25">
      <c r="A535" s="58">
        <v>180</v>
      </c>
      <c r="B535" s="58">
        <v>4</v>
      </c>
      <c r="C535" s="58">
        <v>8</v>
      </c>
      <c r="D535" s="58">
        <v>2</v>
      </c>
      <c r="E535" s="58">
        <v>131217</v>
      </c>
      <c r="F535" s="58">
        <v>91004</v>
      </c>
      <c r="G535" s="58" t="s">
        <v>366</v>
      </c>
      <c r="H535" s="58">
        <v>4</v>
      </c>
      <c r="I535" s="58">
        <v>1676</v>
      </c>
      <c r="J535" s="58">
        <v>404</v>
      </c>
      <c r="K535" s="58">
        <v>20.6</v>
      </c>
      <c r="L535" s="22">
        <v>19.399999999999999</v>
      </c>
      <c r="M535" s="22">
        <v>18.3</v>
      </c>
      <c r="N535" s="40">
        <f t="shared" si="25"/>
        <v>0.9417475728155339</v>
      </c>
      <c r="O535" s="40">
        <f t="shared" si="23"/>
        <v>0.88834951456310673</v>
      </c>
      <c r="P535">
        <v>2.75</v>
      </c>
      <c r="Q535" s="72">
        <f>VLOOKUP('All inst data'!A535,'all mice (except april 2012)'!$A$2:$G$218,7,FALSE)</f>
        <v>72</v>
      </c>
      <c r="U535" s="65"/>
      <c r="V535" s="65"/>
      <c r="W535" s="65"/>
      <c r="X535" s="65"/>
      <c r="Y535" s="65"/>
      <c r="Z535" s="65"/>
    </row>
    <row r="536" spans="1:28" x14ac:dyDescent="0.25">
      <c r="A536" s="58">
        <v>181</v>
      </c>
      <c r="B536" s="58">
        <v>5</v>
      </c>
      <c r="C536" s="58">
        <v>8</v>
      </c>
      <c r="D536" s="58">
        <v>2</v>
      </c>
      <c r="E536" s="58">
        <v>131217</v>
      </c>
      <c r="F536" s="58">
        <v>91004</v>
      </c>
      <c r="G536" s="58" t="s">
        <v>122</v>
      </c>
      <c r="H536" s="58">
        <v>5</v>
      </c>
      <c r="I536" s="58">
        <v>363</v>
      </c>
      <c r="J536" s="58">
        <v>143</v>
      </c>
      <c r="K536" s="58">
        <v>20.3</v>
      </c>
      <c r="L536" s="22">
        <v>18.8</v>
      </c>
      <c r="M536" s="22">
        <v>17.5</v>
      </c>
      <c r="N536" s="40">
        <f t="shared" si="25"/>
        <v>0.92610837438423643</v>
      </c>
      <c r="O536" s="40">
        <f t="shared" si="23"/>
        <v>0.86206896551724133</v>
      </c>
      <c r="P536">
        <v>2.4500000000000002</v>
      </c>
      <c r="Q536" s="72">
        <f>VLOOKUP('All inst data'!A536,'all mice (except april 2012)'!$A$2:$G$218,7,FALSE)</f>
        <v>79</v>
      </c>
      <c r="U536" s="4"/>
      <c r="V536" s="4"/>
      <c r="W536" s="4"/>
      <c r="X536" s="4"/>
      <c r="Y536" s="4"/>
      <c r="Z536" s="4"/>
      <c r="AA536" s="4"/>
      <c r="AB536" s="4"/>
    </row>
    <row r="537" spans="1:28" x14ac:dyDescent="0.25">
      <c r="A537" s="58">
        <v>182</v>
      </c>
      <c r="B537" s="58">
        <v>6</v>
      </c>
      <c r="C537" s="58">
        <v>8</v>
      </c>
      <c r="D537" s="58">
        <v>2</v>
      </c>
      <c r="E537" s="58">
        <v>131217</v>
      </c>
      <c r="F537" s="58">
        <v>91004</v>
      </c>
      <c r="G537" s="58" t="s">
        <v>122</v>
      </c>
      <c r="H537" s="58">
        <v>6</v>
      </c>
      <c r="I537" s="58">
        <v>534</v>
      </c>
      <c r="J537" s="58">
        <v>175</v>
      </c>
      <c r="K537" s="58">
        <v>20.3</v>
      </c>
      <c r="L537" s="22">
        <v>18.600000000000001</v>
      </c>
      <c r="M537" s="22">
        <v>17.899999999999999</v>
      </c>
      <c r="N537" s="40">
        <f t="shared" si="25"/>
        <v>0.91625615763546797</v>
      </c>
      <c r="O537" s="40">
        <f t="shared" si="23"/>
        <v>0.88177339901477825</v>
      </c>
      <c r="P537">
        <v>2.4500000000000002</v>
      </c>
      <c r="Q537" s="72">
        <f>VLOOKUP('All inst data'!A537,'all mice (except april 2012)'!$A$2:$G$218,7,FALSE)</f>
        <v>79</v>
      </c>
      <c r="T537" s="9"/>
      <c r="U537" s="4"/>
      <c r="V537" s="4"/>
      <c r="W537" s="4"/>
      <c r="X537" s="4"/>
      <c r="Y537" s="4"/>
      <c r="Z537" s="4"/>
      <c r="AA537" s="4"/>
      <c r="AB537" s="4"/>
    </row>
    <row r="538" spans="1:28" x14ac:dyDescent="0.25">
      <c r="A538" s="58">
        <v>183</v>
      </c>
      <c r="B538" s="58">
        <v>7</v>
      </c>
      <c r="C538" s="58">
        <v>8</v>
      </c>
      <c r="D538" s="58">
        <v>2</v>
      </c>
      <c r="E538" s="58">
        <v>131217</v>
      </c>
      <c r="F538" s="58">
        <v>91004</v>
      </c>
      <c r="G538" s="58" t="s">
        <v>122</v>
      </c>
      <c r="H538" s="58">
        <v>7</v>
      </c>
      <c r="I538" s="58">
        <v>413</v>
      </c>
      <c r="J538" s="58">
        <v>152</v>
      </c>
      <c r="K538" s="58">
        <v>20.2</v>
      </c>
      <c r="L538" s="22">
        <v>17.600000000000001</v>
      </c>
      <c r="M538" s="22">
        <v>16.8</v>
      </c>
      <c r="N538" s="40">
        <f t="shared" si="25"/>
        <v>0.87128712871287139</v>
      </c>
      <c r="O538" s="40">
        <f t="shared" si="23"/>
        <v>0.83168316831683176</v>
      </c>
      <c r="P538">
        <v>2.2999999999999998</v>
      </c>
      <c r="Q538" s="72">
        <f>VLOOKUP('All inst data'!A538,'all mice (except april 2012)'!$A$2:$G$218,7,FALSE)</f>
        <v>79</v>
      </c>
      <c r="T538" s="9"/>
      <c r="U538" s="4"/>
      <c r="V538" s="4"/>
      <c r="W538" s="4"/>
      <c r="X538" s="4"/>
      <c r="Y538" s="4"/>
      <c r="Z538" s="4"/>
      <c r="AA538" s="4"/>
      <c r="AB538" s="4"/>
    </row>
    <row r="539" spans="1:28" x14ac:dyDescent="0.25">
      <c r="A539" s="62">
        <v>184</v>
      </c>
      <c r="B539" s="62">
        <v>8</v>
      </c>
      <c r="C539" s="62">
        <v>8</v>
      </c>
      <c r="D539" s="62">
        <v>2</v>
      </c>
      <c r="E539" s="62">
        <v>131217</v>
      </c>
      <c r="F539" s="62">
        <v>91004</v>
      </c>
      <c r="G539" s="62" t="s">
        <v>122</v>
      </c>
      <c r="H539" s="62">
        <v>8</v>
      </c>
      <c r="I539" s="62">
        <v>0</v>
      </c>
      <c r="J539" s="62">
        <v>0</v>
      </c>
      <c r="K539" s="62">
        <v>21.5</v>
      </c>
      <c r="L539" s="62">
        <v>20.100000000000001</v>
      </c>
      <c r="M539" s="62">
        <v>18.7</v>
      </c>
      <c r="N539" s="63">
        <f t="shared" si="25"/>
        <v>0.93488372093023264</v>
      </c>
      <c r="O539" s="63">
        <f t="shared" si="23"/>
        <v>0.86976744186046506</v>
      </c>
      <c r="P539" s="62">
        <v>2.2999999999999998</v>
      </c>
      <c r="Q539" s="72">
        <f>VLOOKUP('All inst data'!A539,'all mice (except april 2012)'!$A$2:$G$218,7,FALSE)</f>
        <v>79</v>
      </c>
      <c r="T539" s="9"/>
      <c r="U539" s="4"/>
      <c r="V539" s="4"/>
      <c r="W539" s="4"/>
      <c r="X539" s="4"/>
      <c r="Y539" s="4"/>
      <c r="Z539" s="4"/>
      <c r="AA539" s="4"/>
      <c r="AB539" s="4"/>
    </row>
    <row r="540" spans="1:28" x14ac:dyDescent="0.25">
      <c r="A540" s="58">
        <v>177</v>
      </c>
      <c r="B540" s="58">
        <v>1</v>
      </c>
      <c r="C540" s="58">
        <v>8</v>
      </c>
      <c r="D540" s="22">
        <v>3</v>
      </c>
      <c r="E540" s="58">
        <v>131218</v>
      </c>
      <c r="F540" s="58">
        <v>105749</v>
      </c>
      <c r="G540" s="58" t="s">
        <v>366</v>
      </c>
      <c r="H540" s="58">
        <v>1</v>
      </c>
      <c r="I540" s="58">
        <v>306</v>
      </c>
      <c r="J540" s="58">
        <v>129</v>
      </c>
      <c r="K540" s="58">
        <v>21</v>
      </c>
      <c r="L540" s="22">
        <v>18.600000000000001</v>
      </c>
      <c r="M540" s="22">
        <v>17.8</v>
      </c>
      <c r="N540" s="40">
        <f t="shared" si="25"/>
        <v>0.88571428571428579</v>
      </c>
      <c r="O540" s="40">
        <f t="shared" si="23"/>
        <v>0.84761904761904761</v>
      </c>
      <c r="P540" t="s">
        <v>139</v>
      </c>
      <c r="Q540" s="72">
        <f>VLOOKUP('All inst data'!A540,'all mice (except april 2012)'!$A$2:$G$218,7,FALSE)</f>
        <v>72</v>
      </c>
      <c r="T540" s="9"/>
      <c r="U540" s="4"/>
      <c r="V540" s="4"/>
      <c r="W540" s="4"/>
      <c r="X540" s="4"/>
      <c r="Y540" s="4"/>
      <c r="Z540" s="4"/>
      <c r="AA540" s="4"/>
      <c r="AB540" s="4"/>
    </row>
    <row r="541" spans="1:28" x14ac:dyDescent="0.25">
      <c r="A541" s="58">
        <v>178</v>
      </c>
      <c r="B541" s="58">
        <v>2</v>
      </c>
      <c r="C541" s="58">
        <v>8</v>
      </c>
      <c r="D541" s="58">
        <v>3</v>
      </c>
      <c r="E541" s="58">
        <v>131218</v>
      </c>
      <c r="F541" s="58">
        <v>105749</v>
      </c>
      <c r="G541" s="58" t="s">
        <v>366</v>
      </c>
      <c r="H541" s="58">
        <v>2</v>
      </c>
      <c r="I541" s="58">
        <v>0</v>
      </c>
      <c r="J541" s="58">
        <v>0</v>
      </c>
      <c r="K541" s="58">
        <v>20.7</v>
      </c>
      <c r="L541" s="22">
        <v>19.3</v>
      </c>
      <c r="M541" s="22">
        <v>17.7</v>
      </c>
      <c r="N541" s="40">
        <f t="shared" si="25"/>
        <v>0.93236714975845414</v>
      </c>
      <c r="O541" s="40">
        <f t="shared" si="23"/>
        <v>0.85507246376811596</v>
      </c>
      <c r="P541" s="58" t="s">
        <v>139</v>
      </c>
      <c r="Q541" s="72">
        <f>VLOOKUP('All inst data'!A541,'all mice (except april 2012)'!$A$2:$G$218,7,FALSE)</f>
        <v>72</v>
      </c>
      <c r="T541" s="9"/>
      <c r="U541" s="4"/>
      <c r="V541" s="4"/>
      <c r="W541" s="4"/>
      <c r="X541" s="4"/>
      <c r="Y541" s="4"/>
      <c r="Z541" s="4"/>
      <c r="AA541" s="4"/>
      <c r="AB541" s="4"/>
    </row>
    <row r="542" spans="1:28" x14ac:dyDescent="0.25">
      <c r="A542" s="58">
        <v>179</v>
      </c>
      <c r="B542" s="58">
        <v>3</v>
      </c>
      <c r="C542" s="58">
        <v>8</v>
      </c>
      <c r="D542" s="58">
        <v>3</v>
      </c>
      <c r="E542" s="58">
        <v>131218</v>
      </c>
      <c r="F542" s="58">
        <v>105749</v>
      </c>
      <c r="G542" s="58" t="s">
        <v>366</v>
      </c>
      <c r="H542" s="58">
        <v>3</v>
      </c>
      <c r="I542" s="58">
        <v>3</v>
      </c>
      <c r="J542" s="58">
        <v>3</v>
      </c>
      <c r="K542" s="58">
        <v>21.3</v>
      </c>
      <c r="L542" s="22">
        <v>19</v>
      </c>
      <c r="M542" s="22">
        <v>18.2</v>
      </c>
      <c r="N542" s="40">
        <f t="shared" si="25"/>
        <v>0.892018779342723</v>
      </c>
      <c r="O542" s="40">
        <f t="shared" si="23"/>
        <v>0.85446009389671351</v>
      </c>
      <c r="P542" s="58" t="s">
        <v>139</v>
      </c>
      <c r="Q542" s="72">
        <f>VLOOKUP('All inst data'!A542,'all mice (except april 2012)'!$A$2:$G$218,7,FALSE)</f>
        <v>72</v>
      </c>
      <c r="T542" s="9"/>
      <c r="U542" s="4"/>
      <c r="V542" s="4"/>
      <c r="W542" s="4"/>
      <c r="X542" s="4"/>
      <c r="Y542" s="4"/>
      <c r="Z542" s="4"/>
      <c r="AA542" s="4"/>
      <c r="AB542" s="4"/>
    </row>
    <row r="543" spans="1:28" x14ac:dyDescent="0.25">
      <c r="A543" s="58">
        <v>180</v>
      </c>
      <c r="B543" s="58">
        <v>4</v>
      </c>
      <c r="C543" s="58">
        <v>8</v>
      </c>
      <c r="D543" s="58">
        <v>3</v>
      </c>
      <c r="E543" s="58">
        <v>131218</v>
      </c>
      <c r="F543" s="58">
        <v>105749</v>
      </c>
      <c r="G543" s="58" t="s">
        <v>366</v>
      </c>
      <c r="H543" s="58">
        <v>4</v>
      </c>
      <c r="I543" s="58">
        <v>2148</v>
      </c>
      <c r="J543" s="58">
        <v>500</v>
      </c>
      <c r="K543" s="58">
        <v>20.6</v>
      </c>
      <c r="L543" s="22">
        <v>19</v>
      </c>
      <c r="M543" s="22">
        <v>19.2</v>
      </c>
      <c r="N543" s="40">
        <f t="shared" si="25"/>
        <v>0.92233009708737856</v>
      </c>
      <c r="O543" s="40">
        <f t="shared" si="23"/>
        <v>0.93203883495145623</v>
      </c>
      <c r="P543" s="58" t="s">
        <v>139</v>
      </c>
      <c r="Q543" s="72">
        <f>VLOOKUP('All inst data'!A543,'all mice (except april 2012)'!$A$2:$G$218,7,FALSE)</f>
        <v>72</v>
      </c>
      <c r="T543" s="9"/>
      <c r="U543" s="4"/>
      <c r="V543" s="4"/>
      <c r="W543" s="4"/>
      <c r="X543" s="4"/>
      <c r="Y543" s="4"/>
      <c r="Z543" s="4"/>
      <c r="AA543" s="4"/>
      <c r="AB543" s="4"/>
    </row>
    <row r="544" spans="1:28" x14ac:dyDescent="0.25">
      <c r="A544" s="58">
        <v>181</v>
      </c>
      <c r="B544" s="58">
        <v>5</v>
      </c>
      <c r="C544" s="58">
        <v>8</v>
      </c>
      <c r="D544" s="58">
        <v>3</v>
      </c>
      <c r="E544" s="58">
        <v>131218</v>
      </c>
      <c r="F544" s="58">
        <v>110203</v>
      </c>
      <c r="G544" s="58" t="s">
        <v>122</v>
      </c>
      <c r="H544" s="58">
        <v>5</v>
      </c>
      <c r="I544" s="58">
        <v>327</v>
      </c>
      <c r="J544" s="58">
        <v>135</v>
      </c>
      <c r="K544" s="58">
        <v>20.3</v>
      </c>
      <c r="L544" s="22">
        <v>18.600000000000001</v>
      </c>
      <c r="M544" s="22">
        <v>17.2</v>
      </c>
      <c r="N544" s="40">
        <f t="shared" si="25"/>
        <v>0.91625615763546797</v>
      </c>
      <c r="O544" s="40">
        <f t="shared" si="23"/>
        <v>0.84729064039408863</v>
      </c>
      <c r="P544" s="58" t="s">
        <v>139</v>
      </c>
      <c r="Q544" s="72">
        <f>VLOOKUP('All inst data'!A544,'all mice (except april 2012)'!$A$2:$G$218,7,FALSE)</f>
        <v>79</v>
      </c>
      <c r="T544" s="9"/>
      <c r="U544" s="4"/>
      <c r="V544" s="4"/>
      <c r="W544" s="4"/>
      <c r="X544" s="4"/>
      <c r="Y544" s="4"/>
      <c r="Z544" s="4"/>
      <c r="AA544" s="4"/>
      <c r="AB544" s="4"/>
    </row>
    <row r="545" spans="1:28" x14ac:dyDescent="0.25">
      <c r="A545" s="58">
        <v>182</v>
      </c>
      <c r="B545" s="58">
        <v>6</v>
      </c>
      <c r="C545" s="58">
        <v>8</v>
      </c>
      <c r="D545" s="58">
        <v>3</v>
      </c>
      <c r="E545" s="58">
        <v>131218</v>
      </c>
      <c r="F545" s="58">
        <v>110203</v>
      </c>
      <c r="G545" s="58" t="s">
        <v>122</v>
      </c>
      <c r="H545" s="58">
        <v>6</v>
      </c>
      <c r="I545" s="58">
        <v>527</v>
      </c>
      <c r="J545" s="58">
        <v>176</v>
      </c>
      <c r="K545" s="58">
        <v>20.3</v>
      </c>
      <c r="L545" s="22">
        <v>18.2</v>
      </c>
      <c r="M545" s="22">
        <v>16.899999999999999</v>
      </c>
      <c r="N545" s="40">
        <f t="shared" si="25"/>
        <v>0.89655172413793094</v>
      </c>
      <c r="O545" s="40">
        <f t="shared" si="23"/>
        <v>0.83251231527093583</v>
      </c>
      <c r="P545" s="58" t="s">
        <v>139</v>
      </c>
      <c r="Q545" s="72">
        <f>VLOOKUP('All inst data'!A545,'all mice (except april 2012)'!$A$2:$G$218,7,FALSE)</f>
        <v>79</v>
      </c>
      <c r="T545" s="9"/>
      <c r="U545" s="4"/>
      <c r="V545" s="4"/>
      <c r="W545" s="4"/>
      <c r="X545" s="4"/>
      <c r="Y545" s="4"/>
      <c r="Z545" s="4"/>
      <c r="AA545" s="4"/>
      <c r="AB545" s="4"/>
    </row>
    <row r="546" spans="1:28" x14ac:dyDescent="0.25">
      <c r="A546" s="58">
        <v>183</v>
      </c>
      <c r="B546" s="58">
        <v>7</v>
      </c>
      <c r="C546" s="58">
        <v>8</v>
      </c>
      <c r="D546" s="58">
        <v>3</v>
      </c>
      <c r="E546" s="58">
        <v>131218</v>
      </c>
      <c r="F546" s="58">
        <v>110203</v>
      </c>
      <c r="G546" s="58" t="s">
        <v>122</v>
      </c>
      <c r="H546" s="58">
        <v>7</v>
      </c>
      <c r="I546" s="58">
        <v>264</v>
      </c>
      <c r="J546" s="58">
        <v>122</v>
      </c>
      <c r="K546" s="58">
        <v>20.2</v>
      </c>
      <c r="L546" s="22">
        <v>17.100000000000001</v>
      </c>
      <c r="M546" s="22">
        <v>16</v>
      </c>
      <c r="N546" s="40">
        <f t="shared" si="25"/>
        <v>0.84653465346534662</v>
      </c>
      <c r="O546" s="40">
        <f t="shared" si="23"/>
        <v>0.79207920792079212</v>
      </c>
      <c r="P546" s="58" t="s">
        <v>139</v>
      </c>
      <c r="Q546" s="72">
        <f>VLOOKUP('All inst data'!A546,'all mice (except april 2012)'!$A$2:$G$218,7,FALSE)</f>
        <v>79</v>
      </c>
      <c r="T546" s="9"/>
      <c r="U546" s="4"/>
      <c r="V546" s="4"/>
      <c r="W546" s="4"/>
      <c r="X546" s="4"/>
      <c r="Y546" s="4"/>
      <c r="Z546" s="4"/>
      <c r="AA546" s="4"/>
      <c r="AB546" s="4"/>
    </row>
    <row r="547" spans="1:28" x14ac:dyDescent="0.25">
      <c r="A547" s="62">
        <v>184</v>
      </c>
      <c r="B547" s="62">
        <v>8</v>
      </c>
      <c r="C547" s="62">
        <v>8</v>
      </c>
      <c r="D547" s="62">
        <v>3</v>
      </c>
      <c r="E547" s="62">
        <v>131218</v>
      </c>
      <c r="F547" s="62">
        <v>110722</v>
      </c>
      <c r="G547" s="62" t="s">
        <v>122</v>
      </c>
      <c r="H547" s="62">
        <v>8</v>
      </c>
      <c r="I547" s="62">
        <v>2</v>
      </c>
      <c r="J547" s="62">
        <v>2</v>
      </c>
      <c r="K547" s="62">
        <v>21.5</v>
      </c>
      <c r="L547" s="62">
        <v>19.7</v>
      </c>
      <c r="M547" s="62">
        <v>18.899999999999999</v>
      </c>
      <c r="N547" s="63">
        <f t="shared" si="25"/>
        <v>0.91627906976744178</v>
      </c>
      <c r="O547" s="63">
        <f t="shared" si="23"/>
        <v>0.87906976744186038</v>
      </c>
      <c r="P547" s="62" t="s">
        <v>139</v>
      </c>
      <c r="Q547" s="72">
        <f>VLOOKUP('All inst data'!A547,'all mice (except april 2012)'!$A$2:$G$218,7,FALSE)</f>
        <v>79</v>
      </c>
      <c r="T547" s="9"/>
      <c r="U547" s="4"/>
      <c r="V547" s="4"/>
      <c r="W547" s="4"/>
      <c r="X547" s="4"/>
      <c r="Y547" s="4"/>
      <c r="Z547" s="4"/>
      <c r="AA547" s="4"/>
      <c r="AB547" s="4"/>
    </row>
    <row r="548" spans="1:28" x14ac:dyDescent="0.25">
      <c r="A548" s="58">
        <v>185</v>
      </c>
      <c r="B548" s="58">
        <v>1</v>
      </c>
      <c r="C548" s="22">
        <v>9</v>
      </c>
      <c r="D548" s="22">
        <v>1</v>
      </c>
      <c r="E548" s="58">
        <v>140106</v>
      </c>
      <c r="F548" s="58">
        <v>102544</v>
      </c>
      <c r="G548" s="58" t="s">
        <v>8</v>
      </c>
      <c r="H548" s="58">
        <v>1</v>
      </c>
      <c r="I548" s="58">
        <v>447</v>
      </c>
      <c r="J548" s="58">
        <v>159</v>
      </c>
      <c r="K548" s="58">
        <v>28</v>
      </c>
      <c r="L548" s="22">
        <v>24.9</v>
      </c>
      <c r="M548" s="22">
        <v>22.7</v>
      </c>
      <c r="N548" s="40">
        <f t="shared" si="25"/>
        <v>0.88928571428571423</v>
      </c>
      <c r="O548" s="40">
        <f t="shared" si="23"/>
        <v>0.81071428571428572</v>
      </c>
      <c r="P548">
        <v>2.6</v>
      </c>
      <c r="Q548" s="72">
        <f>VLOOKUP('All inst data'!A548,'all mice (except april 2012)'!$A$2:$G$218,7,FALSE)</f>
        <v>89</v>
      </c>
      <c r="T548" s="9"/>
      <c r="U548" s="4"/>
      <c r="V548" s="4"/>
      <c r="W548" s="4"/>
      <c r="X548" s="4"/>
      <c r="Y548" s="4"/>
      <c r="Z548" s="4"/>
      <c r="AA548" s="4"/>
      <c r="AB548" s="4"/>
    </row>
    <row r="549" spans="1:28" x14ac:dyDescent="0.25">
      <c r="A549" s="58">
        <v>186</v>
      </c>
      <c r="B549" s="58">
        <v>2</v>
      </c>
      <c r="C549" s="58">
        <v>9</v>
      </c>
      <c r="D549" s="58">
        <v>1</v>
      </c>
      <c r="E549" s="58">
        <v>140106</v>
      </c>
      <c r="F549" s="58">
        <v>102544</v>
      </c>
      <c r="G549" s="58" t="s">
        <v>8</v>
      </c>
      <c r="H549" s="58">
        <v>2</v>
      </c>
      <c r="I549" s="58">
        <v>5</v>
      </c>
      <c r="J549" s="58">
        <v>5</v>
      </c>
      <c r="K549" s="58">
        <v>26.3</v>
      </c>
      <c r="L549" s="22">
        <v>23.4</v>
      </c>
      <c r="M549" s="22">
        <v>21.5</v>
      </c>
      <c r="N549" s="40">
        <f t="shared" si="25"/>
        <v>0.88973384030418246</v>
      </c>
      <c r="O549" s="40">
        <f t="shared" si="23"/>
        <v>0.81749049429657794</v>
      </c>
      <c r="P549">
        <v>2.6</v>
      </c>
      <c r="Q549" s="72">
        <f>VLOOKUP('All inst data'!A549,'all mice (except april 2012)'!$A$2:$G$218,7,FALSE)</f>
        <v>89</v>
      </c>
      <c r="T549" s="9"/>
      <c r="U549" s="4"/>
      <c r="V549" s="4"/>
      <c r="W549" s="4"/>
      <c r="X549" s="4"/>
      <c r="Y549" s="4"/>
      <c r="Z549" s="4"/>
      <c r="AA549" s="4"/>
      <c r="AB549" s="4"/>
    </row>
    <row r="550" spans="1:28" x14ac:dyDescent="0.25">
      <c r="A550" s="58">
        <v>187</v>
      </c>
      <c r="B550" s="58">
        <v>3</v>
      </c>
      <c r="C550" s="58">
        <v>9</v>
      </c>
      <c r="D550" s="58">
        <v>1</v>
      </c>
      <c r="E550" s="58">
        <v>140106</v>
      </c>
      <c r="F550" s="58">
        <v>102544</v>
      </c>
      <c r="G550" s="58" t="s">
        <v>8</v>
      </c>
      <c r="H550" s="58">
        <v>3</v>
      </c>
      <c r="I550" s="58">
        <v>4</v>
      </c>
      <c r="J550" s="58">
        <v>3</v>
      </c>
      <c r="K550" s="58">
        <v>25.3</v>
      </c>
      <c r="L550" s="22">
        <v>22.5</v>
      </c>
      <c r="M550" s="22">
        <v>20.8</v>
      </c>
      <c r="N550" s="40">
        <f t="shared" si="25"/>
        <v>0.88932806324110669</v>
      </c>
      <c r="O550" s="40">
        <f t="shared" si="23"/>
        <v>0.82213438735177868</v>
      </c>
      <c r="P550">
        <v>2.6</v>
      </c>
      <c r="Q550" s="72">
        <f>VLOOKUP('All inst data'!A550,'all mice (except april 2012)'!$A$2:$G$218,7,FALSE)</f>
        <v>89</v>
      </c>
      <c r="T550" s="9"/>
      <c r="U550" s="4"/>
      <c r="V550" s="4"/>
      <c r="W550" s="4"/>
      <c r="X550" s="4"/>
      <c r="Y550" s="4"/>
      <c r="Z550" s="4"/>
      <c r="AA550" s="4"/>
      <c r="AB550" s="4"/>
    </row>
    <row r="551" spans="1:28" x14ac:dyDescent="0.25">
      <c r="A551" s="58">
        <v>188</v>
      </c>
      <c r="B551" s="58">
        <v>4</v>
      </c>
      <c r="C551" s="58">
        <v>9</v>
      </c>
      <c r="D551" s="58">
        <v>1</v>
      </c>
      <c r="E551" s="58">
        <v>140106</v>
      </c>
      <c r="F551" s="58">
        <v>102544</v>
      </c>
      <c r="G551" s="58" t="s">
        <v>129</v>
      </c>
      <c r="H551" s="58">
        <v>4</v>
      </c>
      <c r="I551" s="58">
        <v>11</v>
      </c>
      <c r="J551" s="58">
        <v>9</v>
      </c>
      <c r="K551" s="58">
        <v>28.9</v>
      </c>
      <c r="L551" s="22">
        <v>25.7</v>
      </c>
      <c r="M551" s="22">
        <v>23.4</v>
      </c>
      <c r="N551" s="40">
        <f t="shared" si="25"/>
        <v>0.88927335640138405</v>
      </c>
      <c r="O551" s="40">
        <f t="shared" si="23"/>
        <v>0.80968858131487886</v>
      </c>
      <c r="P551">
        <v>2.35</v>
      </c>
      <c r="Q551" s="72">
        <f>VLOOKUP('All inst data'!A551,'all mice (except april 2012)'!$A$2:$G$218,7,FALSE)</f>
        <v>96</v>
      </c>
      <c r="T551" s="9"/>
      <c r="U551" s="4"/>
      <c r="V551" s="4"/>
      <c r="W551" s="4"/>
      <c r="X551" s="4"/>
      <c r="Y551" s="4"/>
      <c r="Z551" s="4"/>
      <c r="AA551" s="4"/>
      <c r="AB551" s="4"/>
    </row>
    <row r="552" spans="1:28" x14ac:dyDescent="0.25">
      <c r="A552" s="58">
        <v>189</v>
      </c>
      <c r="B552" s="58">
        <v>5</v>
      </c>
      <c r="C552" s="58">
        <v>9</v>
      </c>
      <c r="D552" s="58">
        <v>1</v>
      </c>
      <c r="E552" s="58">
        <v>140106</v>
      </c>
      <c r="F552" s="58">
        <v>102742</v>
      </c>
      <c r="G552" s="58" t="s">
        <v>129</v>
      </c>
      <c r="H552" s="58">
        <v>5</v>
      </c>
      <c r="I552" s="58">
        <v>3</v>
      </c>
      <c r="J552" s="58">
        <v>3</v>
      </c>
      <c r="K552" s="58">
        <v>28.1</v>
      </c>
      <c r="L552" s="22">
        <v>25.8</v>
      </c>
      <c r="M552" s="22">
        <v>23.2</v>
      </c>
      <c r="N552" s="40">
        <f t="shared" si="25"/>
        <v>0.91814946619217075</v>
      </c>
      <c r="O552" s="40">
        <f t="shared" si="23"/>
        <v>0.82562277580071164</v>
      </c>
      <c r="P552">
        <v>2.35</v>
      </c>
      <c r="Q552" s="72">
        <f>VLOOKUP('All inst data'!A552,'all mice (except april 2012)'!$A$2:$G$218,7,FALSE)</f>
        <v>96</v>
      </c>
      <c r="T552" s="9"/>
      <c r="U552" s="4"/>
      <c r="V552" s="4"/>
      <c r="W552" s="4"/>
      <c r="X552" s="4"/>
      <c r="Y552" s="4"/>
      <c r="Z552" s="4"/>
      <c r="AA552" s="4"/>
      <c r="AB552" s="4"/>
    </row>
    <row r="553" spans="1:28" x14ac:dyDescent="0.25">
      <c r="A553" s="58">
        <v>190</v>
      </c>
      <c r="B553" s="58">
        <v>6</v>
      </c>
      <c r="C553" s="58">
        <v>9</v>
      </c>
      <c r="D553" s="58">
        <v>1</v>
      </c>
      <c r="E553" s="58">
        <v>140106</v>
      </c>
      <c r="F553" s="58">
        <v>102742</v>
      </c>
      <c r="G553" s="58" t="s">
        <v>129</v>
      </c>
      <c r="H553" s="58">
        <v>6</v>
      </c>
      <c r="I553" s="58">
        <v>2</v>
      </c>
      <c r="J553" s="58">
        <v>2</v>
      </c>
      <c r="K553" s="58">
        <v>28</v>
      </c>
      <c r="L553" s="22">
        <v>25.3</v>
      </c>
      <c r="M553" s="22">
        <v>23</v>
      </c>
      <c r="N553" s="40">
        <f t="shared" si="25"/>
        <v>0.90357142857142858</v>
      </c>
      <c r="O553" s="40">
        <f t="shared" si="23"/>
        <v>0.8214285714285714</v>
      </c>
      <c r="P553">
        <v>2.35</v>
      </c>
      <c r="Q553" s="72">
        <f>VLOOKUP('All inst data'!A553,'all mice (except april 2012)'!$A$2:$G$218,7,FALSE)</f>
        <v>96</v>
      </c>
      <c r="T553" s="9"/>
      <c r="U553" s="4"/>
      <c r="V553" s="4"/>
      <c r="W553" s="4"/>
      <c r="X553" s="4"/>
      <c r="Y553" s="4"/>
      <c r="Z553" s="4"/>
      <c r="AA553" s="4"/>
      <c r="AB553" s="4"/>
    </row>
    <row r="554" spans="1:28" x14ac:dyDescent="0.25">
      <c r="A554" s="58">
        <v>191</v>
      </c>
      <c r="B554" s="58">
        <v>7</v>
      </c>
      <c r="C554" s="58">
        <v>9</v>
      </c>
      <c r="D554" s="58">
        <v>1</v>
      </c>
      <c r="E554" s="58">
        <v>140106</v>
      </c>
      <c r="F554" s="58">
        <v>104002</v>
      </c>
      <c r="G554" s="58" t="s">
        <v>50</v>
      </c>
      <c r="H554" s="58">
        <v>7</v>
      </c>
      <c r="I554" s="58">
        <v>13</v>
      </c>
      <c r="J554" s="58">
        <v>11</v>
      </c>
      <c r="K554" s="58">
        <v>22</v>
      </c>
      <c r="L554" s="22">
        <v>20.2</v>
      </c>
      <c r="M554" s="22">
        <v>17.5</v>
      </c>
      <c r="N554" s="40">
        <f t="shared" si="25"/>
        <v>0.9181818181818181</v>
      </c>
      <c r="O554" s="40">
        <f t="shared" si="23"/>
        <v>0.79545454545454541</v>
      </c>
      <c r="P554">
        <v>2.6</v>
      </c>
      <c r="Q554" s="72">
        <f>VLOOKUP('All inst data'!A554,'all mice (except april 2012)'!$A$2:$G$218,7,FALSE)</f>
        <v>89</v>
      </c>
      <c r="T554" s="9"/>
      <c r="U554" s="4"/>
      <c r="V554" s="4"/>
      <c r="W554" s="4"/>
      <c r="X554" s="4"/>
      <c r="Y554" s="4"/>
      <c r="Z554" s="4"/>
      <c r="AA554" s="4"/>
      <c r="AB554" s="4"/>
    </row>
    <row r="555" spans="1:28" x14ac:dyDescent="0.25">
      <c r="A555" s="58">
        <v>192</v>
      </c>
      <c r="B555" s="58">
        <v>8</v>
      </c>
      <c r="C555" s="58">
        <v>9</v>
      </c>
      <c r="D555" s="58">
        <v>1</v>
      </c>
      <c r="E555" s="58">
        <v>140106</v>
      </c>
      <c r="F555" s="58">
        <v>104002</v>
      </c>
      <c r="G555" s="58" t="s">
        <v>50</v>
      </c>
      <c r="H555" s="58">
        <v>8</v>
      </c>
      <c r="I555" s="58">
        <v>13</v>
      </c>
      <c r="J555" s="58">
        <v>9</v>
      </c>
      <c r="K555" s="58">
        <v>21.8</v>
      </c>
      <c r="L555" s="22">
        <v>19.7</v>
      </c>
      <c r="M555" s="22">
        <v>17.600000000000001</v>
      </c>
      <c r="N555" s="40">
        <f t="shared" ref="N555:N586" si="26">L555/K555</f>
        <v>0.90366972477064211</v>
      </c>
      <c r="O555" s="40">
        <f t="shared" si="23"/>
        <v>0.80733944954128445</v>
      </c>
      <c r="P555">
        <v>2.6</v>
      </c>
      <c r="Q555" s="72">
        <f>VLOOKUP('All inst data'!A555,'all mice (except april 2012)'!$A$2:$G$218,7,FALSE)</f>
        <v>89</v>
      </c>
      <c r="T555" s="9"/>
      <c r="U555" s="4"/>
      <c r="V555" s="4"/>
      <c r="W555" s="4"/>
      <c r="X555" s="4"/>
      <c r="Y555" s="4"/>
      <c r="Z555" s="4"/>
      <c r="AA555" s="4"/>
      <c r="AB555" s="4"/>
    </row>
    <row r="556" spans="1:28" x14ac:dyDescent="0.25">
      <c r="A556" s="58">
        <v>193</v>
      </c>
      <c r="B556" s="58">
        <v>9</v>
      </c>
      <c r="C556" s="58">
        <v>9</v>
      </c>
      <c r="D556" s="58">
        <v>1</v>
      </c>
      <c r="E556" s="58">
        <v>140106</v>
      </c>
      <c r="F556" s="58">
        <v>104139</v>
      </c>
      <c r="G556" s="58" t="s">
        <v>50</v>
      </c>
      <c r="H556" s="58">
        <v>9</v>
      </c>
      <c r="I556" s="58">
        <v>1600</v>
      </c>
      <c r="J556" s="58">
        <v>381</v>
      </c>
      <c r="K556" s="58">
        <v>26</v>
      </c>
      <c r="L556" s="22">
        <v>23.2</v>
      </c>
      <c r="M556" s="22">
        <v>21.6</v>
      </c>
      <c r="N556" s="40">
        <f t="shared" si="26"/>
        <v>0.89230769230769225</v>
      </c>
      <c r="O556" s="40">
        <f t="shared" si="23"/>
        <v>0.83076923076923082</v>
      </c>
      <c r="P556">
        <v>2.6</v>
      </c>
      <c r="Q556" s="72">
        <f>VLOOKUP('All inst data'!A556,'all mice (except april 2012)'!$A$2:$G$218,7,FALSE)</f>
        <v>89</v>
      </c>
      <c r="T556" s="9"/>
      <c r="U556" s="4"/>
      <c r="V556" s="4"/>
      <c r="W556" s="4"/>
      <c r="X556" s="4"/>
      <c r="Y556" s="4"/>
      <c r="Z556" s="4"/>
      <c r="AA556" s="4"/>
      <c r="AB556" s="4"/>
    </row>
    <row r="557" spans="1:28" x14ac:dyDescent="0.25">
      <c r="A557" s="58">
        <v>194</v>
      </c>
      <c r="B557" s="58">
        <v>10</v>
      </c>
      <c r="C557" s="58">
        <v>9</v>
      </c>
      <c r="D557" s="58">
        <v>1</v>
      </c>
      <c r="E557" s="58">
        <v>140106</v>
      </c>
      <c r="F557" s="58">
        <v>104125</v>
      </c>
      <c r="G557" s="58" t="s">
        <v>173</v>
      </c>
      <c r="H557" s="58">
        <v>10</v>
      </c>
      <c r="I557" s="58">
        <v>2</v>
      </c>
      <c r="J557" s="58">
        <v>2</v>
      </c>
      <c r="K557" s="58">
        <v>30.1</v>
      </c>
      <c r="L557" s="22">
        <v>27.2</v>
      </c>
      <c r="M557" s="22">
        <v>25.1</v>
      </c>
      <c r="N557" s="40">
        <f t="shared" si="26"/>
        <v>0.90365448504983381</v>
      </c>
      <c r="O557" s="40">
        <f t="shared" si="23"/>
        <v>0.83388704318936879</v>
      </c>
      <c r="P557">
        <v>2.2000000000000002</v>
      </c>
      <c r="Q557" s="72">
        <f>VLOOKUP('All inst data'!A557,'all mice (except april 2012)'!$A$2:$G$218,7,FALSE)</f>
        <v>114</v>
      </c>
      <c r="T557" s="9"/>
      <c r="U557" s="4"/>
      <c r="V557" s="4"/>
      <c r="W557" s="4"/>
      <c r="X557" s="4"/>
      <c r="Y557" s="4"/>
      <c r="Z557" s="4"/>
      <c r="AA557" s="4"/>
      <c r="AB557" s="4"/>
    </row>
    <row r="558" spans="1:28" x14ac:dyDescent="0.25">
      <c r="A558" s="58">
        <v>195</v>
      </c>
      <c r="B558" s="58">
        <v>11</v>
      </c>
      <c r="C558" s="58">
        <v>9</v>
      </c>
      <c r="D558" s="58">
        <v>1</v>
      </c>
      <c r="E558" s="58">
        <v>140106</v>
      </c>
      <c r="F558" s="58">
        <v>104126</v>
      </c>
      <c r="G558" s="58" t="s">
        <v>173</v>
      </c>
      <c r="H558" s="58">
        <v>11</v>
      </c>
      <c r="I558" s="58">
        <v>0</v>
      </c>
      <c r="J558" s="58">
        <v>0</v>
      </c>
      <c r="K558" s="58">
        <v>28.5</v>
      </c>
      <c r="L558" s="22">
        <v>25.7</v>
      </c>
      <c r="M558" s="22">
        <v>23.8</v>
      </c>
      <c r="N558" s="40">
        <f t="shared" si="26"/>
        <v>0.90175438596491231</v>
      </c>
      <c r="O558" s="40">
        <f t="shared" si="23"/>
        <v>0.83508771929824566</v>
      </c>
      <c r="P558">
        <v>2.2000000000000002</v>
      </c>
      <c r="Q558" s="72">
        <f>VLOOKUP('All inst data'!A558,'all mice (except april 2012)'!$A$2:$G$218,7,FALSE)</f>
        <v>114</v>
      </c>
      <c r="T558" s="9"/>
      <c r="U558" s="4"/>
      <c r="V558" s="4"/>
      <c r="W558" s="4"/>
      <c r="X558" s="4"/>
      <c r="Y558" s="4"/>
      <c r="Z558" s="4"/>
      <c r="AA558" s="4"/>
      <c r="AB558" s="4"/>
    </row>
    <row r="559" spans="1:28" x14ac:dyDescent="0.25">
      <c r="A559" s="58">
        <v>196</v>
      </c>
      <c r="B559" s="58">
        <v>12</v>
      </c>
      <c r="C559" s="58">
        <v>9</v>
      </c>
      <c r="D559" s="58">
        <v>1</v>
      </c>
      <c r="E559" s="58">
        <v>140106</v>
      </c>
      <c r="F559" s="58">
        <v>104126</v>
      </c>
      <c r="G559" s="58" t="s">
        <v>173</v>
      </c>
      <c r="H559" s="58">
        <v>12</v>
      </c>
      <c r="I559" s="58">
        <v>7</v>
      </c>
      <c r="J559" s="58">
        <v>7</v>
      </c>
      <c r="K559" s="58">
        <v>24.7</v>
      </c>
      <c r="L559" s="22">
        <v>23.5</v>
      </c>
      <c r="M559" s="22">
        <v>21</v>
      </c>
      <c r="N559" s="40">
        <f t="shared" si="26"/>
        <v>0.95141700404858298</v>
      </c>
      <c r="O559" s="40">
        <f t="shared" si="23"/>
        <v>0.8502024291497976</v>
      </c>
      <c r="P559">
        <v>2.2000000000000002</v>
      </c>
      <c r="Q559" s="72">
        <f>VLOOKUP('All inst data'!A559,'all mice (except april 2012)'!$A$2:$G$218,7,FALSE)</f>
        <v>114</v>
      </c>
      <c r="T559" s="9"/>
      <c r="U559" s="4"/>
      <c r="V559" s="4"/>
      <c r="W559" s="4"/>
      <c r="X559" s="4"/>
      <c r="Y559" s="4"/>
      <c r="Z559" s="4"/>
      <c r="AA559" s="4"/>
      <c r="AB559" s="4"/>
    </row>
    <row r="560" spans="1:28" x14ac:dyDescent="0.25">
      <c r="A560" s="58">
        <v>197</v>
      </c>
      <c r="B560" s="58">
        <v>13</v>
      </c>
      <c r="C560" s="58">
        <v>9</v>
      </c>
      <c r="D560" s="58">
        <v>1</v>
      </c>
      <c r="E560" s="58">
        <v>140106</v>
      </c>
      <c r="F560" s="58">
        <v>4118</v>
      </c>
      <c r="G560" s="58" t="s">
        <v>5</v>
      </c>
      <c r="H560" s="58">
        <v>13</v>
      </c>
      <c r="I560" s="58">
        <v>2252</v>
      </c>
      <c r="J560" s="58">
        <v>500</v>
      </c>
      <c r="K560" s="58">
        <v>22.9</v>
      </c>
      <c r="L560" s="22">
        <v>20.6</v>
      </c>
      <c r="M560" s="22">
        <v>18.8</v>
      </c>
      <c r="N560" s="40">
        <f t="shared" si="26"/>
        <v>0.89956331877729268</v>
      </c>
      <c r="O560" s="40">
        <f t="shared" si="23"/>
        <v>0.82096069868995636</v>
      </c>
      <c r="P560">
        <v>3.2</v>
      </c>
      <c r="Q560" s="72">
        <f>VLOOKUP('All inst data'!A560,'all mice (except april 2012)'!$A$2:$G$218,7,FALSE)</f>
        <v>89</v>
      </c>
      <c r="T560" s="9"/>
      <c r="U560" s="4"/>
      <c r="V560" s="4"/>
      <c r="W560" s="4"/>
      <c r="X560" s="4"/>
      <c r="Y560" s="4"/>
      <c r="Z560" s="4"/>
      <c r="AA560" s="4"/>
      <c r="AB560" s="4"/>
    </row>
    <row r="561" spans="1:28" x14ac:dyDescent="0.25">
      <c r="A561" s="58">
        <v>198</v>
      </c>
      <c r="B561" s="58">
        <v>14</v>
      </c>
      <c r="C561" s="58">
        <v>9</v>
      </c>
      <c r="D561" s="58">
        <v>1</v>
      </c>
      <c r="E561" s="58">
        <v>140106</v>
      </c>
      <c r="F561" s="58">
        <v>2606</v>
      </c>
      <c r="G561" s="58" t="s">
        <v>5</v>
      </c>
      <c r="H561" s="58">
        <v>14</v>
      </c>
      <c r="I561" s="58">
        <v>2172</v>
      </c>
      <c r="J561" s="58">
        <v>500</v>
      </c>
      <c r="K561" s="58">
        <v>26.1</v>
      </c>
      <c r="L561" s="22">
        <v>23</v>
      </c>
      <c r="M561" s="22">
        <v>20.6</v>
      </c>
      <c r="N561" s="40">
        <f t="shared" si="26"/>
        <v>0.88122605363984674</v>
      </c>
      <c r="O561" s="40">
        <f t="shared" si="23"/>
        <v>0.78927203065134099</v>
      </c>
      <c r="P561">
        <v>3.2</v>
      </c>
      <c r="Q561" s="72">
        <f>VLOOKUP('All inst data'!A561,'all mice (except april 2012)'!$A$2:$G$218,7,FALSE)</f>
        <v>89</v>
      </c>
      <c r="T561" s="9"/>
      <c r="U561" s="4"/>
      <c r="V561" s="4"/>
      <c r="W561" s="4"/>
      <c r="X561" s="4"/>
      <c r="Y561" s="4"/>
      <c r="Z561" s="4"/>
      <c r="AA561" s="4"/>
      <c r="AB561" s="4"/>
    </row>
    <row r="562" spans="1:28" x14ac:dyDescent="0.25">
      <c r="A562" s="58">
        <v>185</v>
      </c>
      <c r="B562" s="58">
        <v>1</v>
      </c>
      <c r="C562" s="58">
        <v>9</v>
      </c>
      <c r="D562" s="22">
        <v>2</v>
      </c>
      <c r="E562" s="58">
        <v>140107</v>
      </c>
      <c r="F562" s="58">
        <v>91329</v>
      </c>
      <c r="G562" s="58" t="s">
        <v>8</v>
      </c>
      <c r="H562" s="58">
        <v>1</v>
      </c>
      <c r="I562" s="58">
        <v>794</v>
      </c>
      <c r="J562" s="58">
        <v>225</v>
      </c>
      <c r="K562" s="58">
        <v>28</v>
      </c>
      <c r="L562" s="22">
        <v>24.6</v>
      </c>
      <c r="M562" s="22">
        <v>23.6</v>
      </c>
      <c r="N562" s="40">
        <f t="shared" si="26"/>
        <v>0.87857142857142867</v>
      </c>
      <c r="O562" s="40">
        <f t="shared" si="23"/>
        <v>0.84285714285714286</v>
      </c>
      <c r="P562">
        <v>2.6</v>
      </c>
      <c r="Q562" s="72">
        <f>VLOOKUP('All inst data'!A562,'all mice (except april 2012)'!$A$2:$G$218,7,FALSE)</f>
        <v>89</v>
      </c>
      <c r="T562" s="9"/>
      <c r="U562" s="4"/>
      <c r="V562" s="4"/>
      <c r="W562" s="4"/>
      <c r="X562" s="4"/>
      <c r="Y562" s="4"/>
      <c r="Z562" s="4"/>
      <c r="AA562" s="4"/>
      <c r="AB562" s="4"/>
    </row>
    <row r="563" spans="1:28" x14ac:dyDescent="0.25">
      <c r="A563" s="58">
        <v>186</v>
      </c>
      <c r="B563" s="58">
        <v>2</v>
      </c>
      <c r="C563" s="58">
        <v>9</v>
      </c>
      <c r="D563" s="58">
        <v>2</v>
      </c>
      <c r="E563" s="58">
        <v>140107</v>
      </c>
      <c r="F563" s="58">
        <v>91329</v>
      </c>
      <c r="G563" s="58" t="s">
        <v>8</v>
      </c>
      <c r="H563" s="58">
        <v>2</v>
      </c>
      <c r="I563" s="58">
        <v>4</v>
      </c>
      <c r="J563" s="58">
        <v>4</v>
      </c>
      <c r="K563" s="58">
        <v>26.3</v>
      </c>
      <c r="L563" s="22">
        <v>23.4</v>
      </c>
      <c r="M563" s="22">
        <v>21.9</v>
      </c>
      <c r="N563" s="40">
        <f t="shared" si="26"/>
        <v>0.88973384030418246</v>
      </c>
      <c r="O563" s="40">
        <f t="shared" si="23"/>
        <v>0.83269961977186302</v>
      </c>
      <c r="P563">
        <v>2.6</v>
      </c>
      <c r="Q563" s="72">
        <f>VLOOKUP('All inst data'!A563,'all mice (except april 2012)'!$A$2:$G$218,7,FALSE)</f>
        <v>89</v>
      </c>
      <c r="T563" s="9"/>
      <c r="U563" s="4"/>
      <c r="V563" s="4"/>
      <c r="W563" s="4"/>
      <c r="X563" s="4"/>
      <c r="Y563" s="4"/>
      <c r="Z563" s="4"/>
      <c r="AA563" s="4"/>
      <c r="AB563" s="4"/>
    </row>
    <row r="564" spans="1:28" x14ac:dyDescent="0.25">
      <c r="A564" s="58">
        <v>187</v>
      </c>
      <c r="B564" s="58">
        <v>3</v>
      </c>
      <c r="C564" s="58">
        <v>9</v>
      </c>
      <c r="D564" s="58">
        <v>2</v>
      </c>
      <c r="E564" s="58">
        <v>140107</v>
      </c>
      <c r="F564" s="58">
        <v>91330</v>
      </c>
      <c r="G564" s="58" t="s">
        <v>8</v>
      </c>
      <c r="H564" s="58">
        <v>3</v>
      </c>
      <c r="I564" s="58">
        <v>0</v>
      </c>
      <c r="J564" s="58">
        <v>0</v>
      </c>
      <c r="K564" s="58">
        <v>25.3</v>
      </c>
      <c r="L564" s="22">
        <v>22.4</v>
      </c>
      <c r="M564" s="22">
        <v>21.3</v>
      </c>
      <c r="N564" s="40">
        <f t="shared" si="26"/>
        <v>0.88537549407114613</v>
      </c>
      <c r="O564" s="40">
        <f t="shared" si="23"/>
        <v>0.84189723320158105</v>
      </c>
      <c r="P564">
        <v>2.6</v>
      </c>
      <c r="Q564" s="72">
        <f>VLOOKUP('All inst data'!A564,'all mice (except april 2012)'!$A$2:$G$218,7,FALSE)</f>
        <v>89</v>
      </c>
      <c r="T564" s="9"/>
      <c r="U564" s="4"/>
      <c r="V564" s="4"/>
      <c r="W564" s="4"/>
      <c r="X564" s="4"/>
      <c r="Y564" s="4"/>
      <c r="Z564" s="4"/>
      <c r="AA564" s="4"/>
      <c r="AB564" s="4"/>
    </row>
    <row r="565" spans="1:28" x14ac:dyDescent="0.25">
      <c r="A565" s="58">
        <v>188</v>
      </c>
      <c r="B565" s="58">
        <v>4</v>
      </c>
      <c r="C565" s="58">
        <v>9</v>
      </c>
      <c r="D565" s="58">
        <v>2</v>
      </c>
      <c r="E565" s="58">
        <v>140107</v>
      </c>
      <c r="F565" s="58">
        <v>91330</v>
      </c>
      <c r="G565" s="58" t="s">
        <v>129</v>
      </c>
      <c r="H565" s="58">
        <v>4</v>
      </c>
      <c r="I565" s="58">
        <v>0</v>
      </c>
      <c r="J565" s="58">
        <v>0</v>
      </c>
      <c r="K565" s="58">
        <v>28.9</v>
      </c>
      <c r="L565" s="22">
        <v>24.6</v>
      </c>
      <c r="M565" s="22">
        <v>23.6</v>
      </c>
      <c r="N565" s="40">
        <f t="shared" si="26"/>
        <v>0.85121107266435991</v>
      </c>
      <c r="O565" s="40">
        <f t="shared" si="23"/>
        <v>0.81660899653979246</v>
      </c>
      <c r="P565">
        <v>2.5</v>
      </c>
      <c r="Q565" s="72">
        <f>VLOOKUP('All inst data'!A565,'all mice (except april 2012)'!$A$2:$G$218,7,FALSE)</f>
        <v>96</v>
      </c>
      <c r="T565" s="9"/>
      <c r="U565" s="4"/>
      <c r="V565" s="4"/>
      <c r="W565" s="4"/>
      <c r="X565" s="4"/>
      <c r="Y565" s="4"/>
      <c r="Z565" s="4"/>
      <c r="AA565" s="4"/>
      <c r="AB565" s="4"/>
    </row>
    <row r="566" spans="1:28" x14ac:dyDescent="0.25">
      <c r="A566" s="58">
        <v>189</v>
      </c>
      <c r="B566" s="58">
        <v>5</v>
      </c>
      <c r="C566" s="58">
        <v>9</v>
      </c>
      <c r="D566" s="58">
        <v>2</v>
      </c>
      <c r="E566" s="58">
        <v>140107</v>
      </c>
      <c r="F566" s="58">
        <v>91330</v>
      </c>
      <c r="G566" s="58" t="s">
        <v>129</v>
      </c>
      <c r="H566" s="58">
        <v>5</v>
      </c>
      <c r="I566" s="58">
        <v>0</v>
      </c>
      <c r="J566" s="58">
        <v>0</v>
      </c>
      <c r="K566" s="58">
        <v>28.1</v>
      </c>
      <c r="L566" s="22">
        <v>24.7</v>
      </c>
      <c r="M566" s="22">
        <v>23.2</v>
      </c>
      <c r="N566" s="40">
        <f t="shared" si="26"/>
        <v>0.87900355871886116</v>
      </c>
      <c r="O566" s="40">
        <f t="shared" si="23"/>
        <v>0.82562277580071164</v>
      </c>
      <c r="P566">
        <v>2.5</v>
      </c>
      <c r="Q566" s="72">
        <f>VLOOKUP('All inst data'!A566,'all mice (except april 2012)'!$A$2:$G$218,7,FALSE)</f>
        <v>96</v>
      </c>
      <c r="T566" s="9"/>
      <c r="U566" s="4"/>
      <c r="V566" s="4"/>
      <c r="W566" s="4"/>
      <c r="X566" s="4"/>
      <c r="Y566" s="4"/>
      <c r="Z566" s="4"/>
      <c r="AA566" s="4"/>
      <c r="AB566" s="4"/>
    </row>
    <row r="567" spans="1:28" x14ac:dyDescent="0.25">
      <c r="A567" s="58">
        <v>190</v>
      </c>
      <c r="B567" s="58">
        <v>6</v>
      </c>
      <c r="C567" s="58">
        <v>9</v>
      </c>
      <c r="D567" s="58">
        <v>2</v>
      </c>
      <c r="E567" s="58">
        <v>140107</v>
      </c>
      <c r="F567" s="58">
        <v>91330</v>
      </c>
      <c r="G567" s="58" t="s">
        <v>129</v>
      </c>
      <c r="H567" s="58">
        <v>6</v>
      </c>
      <c r="I567" s="58">
        <v>17</v>
      </c>
      <c r="J567" s="58">
        <v>17</v>
      </c>
      <c r="K567" s="58">
        <v>28</v>
      </c>
      <c r="L567" s="22">
        <v>24.7</v>
      </c>
      <c r="M567" s="22">
        <v>22.7</v>
      </c>
      <c r="N567" s="40">
        <f t="shared" si="26"/>
        <v>0.88214285714285712</v>
      </c>
      <c r="O567" s="40">
        <f t="shared" si="23"/>
        <v>0.81071428571428572</v>
      </c>
      <c r="P567">
        <v>2.5</v>
      </c>
      <c r="Q567" s="72">
        <f>VLOOKUP('All inst data'!A567,'all mice (except april 2012)'!$A$2:$G$218,7,FALSE)</f>
        <v>96</v>
      </c>
      <c r="T567" s="9"/>
      <c r="U567" s="4"/>
      <c r="V567" s="4"/>
      <c r="W567" s="4"/>
      <c r="X567" s="4"/>
      <c r="Y567" s="4"/>
      <c r="Z567" s="4"/>
      <c r="AA567" s="4"/>
      <c r="AB567" s="4"/>
    </row>
    <row r="568" spans="1:28" x14ac:dyDescent="0.25">
      <c r="A568" s="58">
        <v>191</v>
      </c>
      <c r="B568" s="58">
        <v>7</v>
      </c>
      <c r="C568" s="58">
        <v>9</v>
      </c>
      <c r="D568" s="58">
        <v>2</v>
      </c>
      <c r="E568" s="58">
        <v>140107</v>
      </c>
      <c r="F568" s="58">
        <v>92015</v>
      </c>
      <c r="G568" s="58" t="s">
        <v>50</v>
      </c>
      <c r="H568" s="58">
        <v>7</v>
      </c>
      <c r="I568" s="58">
        <v>463</v>
      </c>
      <c r="J568" s="58">
        <v>159</v>
      </c>
      <c r="K568" s="58">
        <v>22</v>
      </c>
      <c r="L568" s="22">
        <v>19.899999999999999</v>
      </c>
      <c r="M568" s="22">
        <v>18.3</v>
      </c>
      <c r="N568" s="40">
        <f t="shared" si="26"/>
        <v>0.90454545454545443</v>
      </c>
      <c r="O568" s="40">
        <f t="shared" si="23"/>
        <v>0.8318181818181819</v>
      </c>
      <c r="P568">
        <v>2.7</v>
      </c>
      <c r="Q568" s="72">
        <f>VLOOKUP('All inst data'!A568,'all mice (except april 2012)'!$A$2:$G$218,7,FALSE)</f>
        <v>89</v>
      </c>
      <c r="T568" s="9"/>
      <c r="U568" s="4"/>
      <c r="V568" s="4"/>
      <c r="W568" s="4"/>
      <c r="X568" s="4"/>
      <c r="Y568" s="4"/>
      <c r="Z568" s="4"/>
      <c r="AA568" s="4"/>
      <c r="AB568" s="4"/>
    </row>
    <row r="569" spans="1:28" x14ac:dyDescent="0.25">
      <c r="A569" s="58">
        <v>192</v>
      </c>
      <c r="B569" s="58">
        <v>8</v>
      </c>
      <c r="C569" s="58">
        <v>9</v>
      </c>
      <c r="D569" s="58">
        <v>2</v>
      </c>
      <c r="E569" s="58">
        <v>140107</v>
      </c>
      <c r="F569" s="58">
        <v>92015</v>
      </c>
      <c r="G569" s="58" t="s">
        <v>50</v>
      </c>
      <c r="H569" s="58">
        <v>8</v>
      </c>
      <c r="I569" s="58">
        <v>8</v>
      </c>
      <c r="J569" s="58">
        <v>8</v>
      </c>
      <c r="K569" s="58">
        <v>21.8</v>
      </c>
      <c r="L569" s="22">
        <v>19.5</v>
      </c>
      <c r="M569" s="22">
        <v>17.899999999999999</v>
      </c>
      <c r="N569" s="40">
        <f t="shared" si="26"/>
        <v>0.89449541284403666</v>
      </c>
      <c r="O569" s="40">
        <f t="shared" si="23"/>
        <v>0.82110091743119262</v>
      </c>
      <c r="P569">
        <v>2.7</v>
      </c>
      <c r="Q569" s="72">
        <f>VLOOKUP('All inst data'!A569,'all mice (except april 2012)'!$A$2:$G$218,7,FALSE)</f>
        <v>89</v>
      </c>
      <c r="T569" s="9"/>
      <c r="U569" s="4"/>
      <c r="V569" s="4"/>
      <c r="W569" s="4"/>
      <c r="X569" s="4"/>
      <c r="Y569" s="4"/>
      <c r="Z569" s="4"/>
      <c r="AA569" s="4"/>
      <c r="AB569" s="4"/>
    </row>
    <row r="570" spans="1:28" x14ac:dyDescent="0.25">
      <c r="A570" s="58">
        <v>193</v>
      </c>
      <c r="B570" s="58">
        <v>9</v>
      </c>
      <c r="C570" s="58">
        <v>9</v>
      </c>
      <c r="D570" s="58">
        <v>2</v>
      </c>
      <c r="E570" s="58">
        <v>140107</v>
      </c>
      <c r="F570" s="58">
        <v>92016</v>
      </c>
      <c r="G570" s="58" t="s">
        <v>50</v>
      </c>
      <c r="H570" s="58">
        <v>9</v>
      </c>
      <c r="I570" s="58">
        <v>1617</v>
      </c>
      <c r="J570" s="58">
        <v>389</v>
      </c>
      <c r="K570" s="58">
        <v>26</v>
      </c>
      <c r="L570" s="22">
        <v>23</v>
      </c>
      <c r="M570" s="22">
        <v>22</v>
      </c>
      <c r="N570" s="40">
        <f t="shared" si="26"/>
        <v>0.88461538461538458</v>
      </c>
      <c r="O570" s="40">
        <f t="shared" si="23"/>
        <v>0.84615384615384615</v>
      </c>
      <c r="P570">
        <v>2.7</v>
      </c>
      <c r="Q570" s="72">
        <f>VLOOKUP('All inst data'!A570,'all mice (except april 2012)'!$A$2:$G$218,7,FALSE)</f>
        <v>89</v>
      </c>
      <c r="T570" s="9"/>
      <c r="U570" s="4"/>
      <c r="V570" s="4"/>
      <c r="W570" s="4"/>
      <c r="X570" s="4"/>
      <c r="Y570" s="4"/>
      <c r="Z570" s="4"/>
      <c r="AA570" s="4"/>
      <c r="AB570" s="4"/>
    </row>
    <row r="571" spans="1:28" x14ac:dyDescent="0.25">
      <c r="A571" s="58">
        <v>194</v>
      </c>
      <c r="B571" s="58">
        <v>10</v>
      </c>
      <c r="C571" s="58">
        <v>9</v>
      </c>
      <c r="D571" s="58">
        <v>2</v>
      </c>
      <c r="E571" s="58">
        <v>140107</v>
      </c>
      <c r="F571" s="58">
        <v>92016</v>
      </c>
      <c r="G571" s="58" t="s">
        <v>173</v>
      </c>
      <c r="H571" s="58">
        <v>10</v>
      </c>
      <c r="I571" s="58">
        <v>0</v>
      </c>
      <c r="J571" s="58">
        <v>0</v>
      </c>
      <c r="K571" s="58">
        <v>30.1</v>
      </c>
      <c r="L571" s="22">
        <v>26.2</v>
      </c>
      <c r="M571" s="22">
        <v>24.9</v>
      </c>
      <c r="N571" s="40">
        <f t="shared" si="26"/>
        <v>0.87043189368770757</v>
      </c>
      <c r="O571" s="40">
        <f t="shared" si="23"/>
        <v>0.82724252491694339</v>
      </c>
      <c r="P571">
        <v>2.35</v>
      </c>
      <c r="Q571" s="72">
        <f>VLOOKUP('All inst data'!A571,'all mice (except april 2012)'!$A$2:$G$218,7,FALSE)</f>
        <v>114</v>
      </c>
      <c r="T571" s="9"/>
      <c r="U571" s="4"/>
      <c r="V571" s="4"/>
      <c r="W571" s="4"/>
      <c r="X571" s="4"/>
      <c r="Y571" s="4"/>
      <c r="Z571" s="4"/>
      <c r="AA571" s="4"/>
      <c r="AB571" s="4"/>
    </row>
    <row r="572" spans="1:28" x14ac:dyDescent="0.25">
      <c r="A572" s="58">
        <v>195</v>
      </c>
      <c r="B572" s="58">
        <v>11</v>
      </c>
      <c r="C572" s="58">
        <v>9</v>
      </c>
      <c r="D572" s="58">
        <v>2</v>
      </c>
      <c r="E572" s="58">
        <v>140107</v>
      </c>
      <c r="F572" s="58">
        <v>92016</v>
      </c>
      <c r="G572" s="58" t="s">
        <v>173</v>
      </c>
      <c r="H572" s="58">
        <v>11</v>
      </c>
      <c r="I572" s="58">
        <v>5</v>
      </c>
      <c r="J572" s="58">
        <v>3</v>
      </c>
      <c r="K572" s="58">
        <v>28.5</v>
      </c>
      <c r="L572" s="22">
        <v>24.7</v>
      </c>
      <c r="M572" s="22">
        <v>23</v>
      </c>
      <c r="N572" s="40">
        <f t="shared" si="26"/>
        <v>0.8666666666666667</v>
      </c>
      <c r="O572" s="40">
        <f t="shared" si="23"/>
        <v>0.80701754385964908</v>
      </c>
      <c r="P572">
        <v>2.35</v>
      </c>
      <c r="Q572" s="72">
        <f>VLOOKUP('All inst data'!A572,'all mice (except april 2012)'!$A$2:$G$218,7,FALSE)</f>
        <v>114</v>
      </c>
      <c r="T572" s="9"/>
      <c r="U572" s="4"/>
      <c r="V572" s="4"/>
      <c r="W572" s="4"/>
      <c r="X572" s="4"/>
      <c r="Y572" s="4"/>
      <c r="Z572" s="4"/>
      <c r="AA572" s="4"/>
      <c r="AB572" s="4"/>
    </row>
    <row r="573" spans="1:28" x14ac:dyDescent="0.25">
      <c r="A573" s="58">
        <v>196</v>
      </c>
      <c r="B573" s="58">
        <v>12</v>
      </c>
      <c r="C573" s="58">
        <v>9</v>
      </c>
      <c r="D573" s="58">
        <v>2</v>
      </c>
      <c r="E573" s="58">
        <v>140107</v>
      </c>
      <c r="F573" s="58">
        <v>92016</v>
      </c>
      <c r="G573" s="58" t="s">
        <v>173</v>
      </c>
      <c r="H573" s="58">
        <v>12</v>
      </c>
      <c r="I573" s="58">
        <v>1</v>
      </c>
      <c r="J573" s="58">
        <v>1</v>
      </c>
      <c r="K573" s="58">
        <v>24.7</v>
      </c>
      <c r="L573" s="22">
        <v>22.6</v>
      </c>
      <c r="M573" s="22">
        <v>20.6</v>
      </c>
      <c r="N573" s="40">
        <f t="shared" si="26"/>
        <v>0.91497975708502033</v>
      </c>
      <c r="O573" s="40">
        <f t="shared" si="23"/>
        <v>0.834008097165992</v>
      </c>
      <c r="P573">
        <v>2.35</v>
      </c>
      <c r="Q573" s="72">
        <f>VLOOKUP('All inst data'!A573,'all mice (except april 2012)'!$A$2:$G$218,7,FALSE)</f>
        <v>114</v>
      </c>
      <c r="T573" s="9"/>
      <c r="U573" s="4"/>
      <c r="V573" s="4"/>
      <c r="W573" s="4"/>
      <c r="X573" s="4"/>
      <c r="Y573" s="4"/>
      <c r="Z573" s="4"/>
      <c r="AA573" s="4"/>
      <c r="AB573" s="4"/>
    </row>
    <row r="574" spans="1:28" x14ac:dyDescent="0.25">
      <c r="A574" s="58">
        <v>197</v>
      </c>
      <c r="B574" s="58">
        <v>13</v>
      </c>
      <c r="C574" s="58">
        <v>9</v>
      </c>
      <c r="D574" s="58">
        <v>2</v>
      </c>
      <c r="E574" s="58">
        <v>140107</v>
      </c>
      <c r="F574" s="58">
        <v>3558</v>
      </c>
      <c r="G574" s="58" t="s">
        <v>5</v>
      </c>
      <c r="H574" s="58">
        <v>13</v>
      </c>
      <c r="I574" s="58">
        <v>2290</v>
      </c>
      <c r="J574" s="58">
        <v>500</v>
      </c>
      <c r="K574" s="58">
        <v>22.9</v>
      </c>
      <c r="L574" s="22">
        <v>20.9</v>
      </c>
      <c r="M574" s="22">
        <v>20.7</v>
      </c>
      <c r="N574" s="40">
        <f t="shared" si="26"/>
        <v>0.9126637554585153</v>
      </c>
      <c r="O574" s="40">
        <f t="shared" si="23"/>
        <v>0.90393013100436681</v>
      </c>
      <c r="P574">
        <v>3.05</v>
      </c>
      <c r="Q574" s="72">
        <f>VLOOKUP('All inst data'!A574,'all mice (except april 2012)'!$A$2:$G$218,7,FALSE)</f>
        <v>89</v>
      </c>
      <c r="T574" s="9"/>
      <c r="U574" s="4"/>
      <c r="V574" s="4"/>
      <c r="W574" s="4"/>
      <c r="X574" s="4"/>
      <c r="Y574" s="4"/>
      <c r="Z574" s="4"/>
      <c r="AA574" s="4"/>
      <c r="AB574" s="4"/>
    </row>
    <row r="575" spans="1:28" x14ac:dyDescent="0.25">
      <c r="A575" s="58">
        <v>198</v>
      </c>
      <c r="B575" s="58">
        <v>14</v>
      </c>
      <c r="C575" s="58">
        <v>9</v>
      </c>
      <c r="D575" s="58">
        <v>2</v>
      </c>
      <c r="E575" s="58">
        <v>140107</v>
      </c>
      <c r="F575" s="58">
        <v>3239</v>
      </c>
      <c r="G575" s="58" t="s">
        <v>5</v>
      </c>
      <c r="H575" s="58">
        <v>14</v>
      </c>
      <c r="I575" s="58">
        <v>2170</v>
      </c>
      <c r="J575" s="58">
        <v>500</v>
      </c>
      <c r="K575" s="58">
        <v>26.1</v>
      </c>
      <c r="L575" s="22">
        <v>23.4</v>
      </c>
      <c r="M575" s="22">
        <v>22.6</v>
      </c>
      <c r="N575" s="40">
        <f t="shared" si="26"/>
        <v>0.89655172413793094</v>
      </c>
      <c r="O575" s="40">
        <f t="shared" si="23"/>
        <v>0.86590038314176243</v>
      </c>
      <c r="P575">
        <v>3.05</v>
      </c>
      <c r="Q575" s="72">
        <f>VLOOKUP('All inst data'!A575,'all mice (except april 2012)'!$A$2:$G$218,7,FALSE)</f>
        <v>89</v>
      </c>
      <c r="T575" s="9"/>
      <c r="U575" s="4"/>
      <c r="V575" s="4"/>
      <c r="W575" s="4"/>
      <c r="X575" s="4"/>
      <c r="Y575" s="4"/>
      <c r="Z575" s="4"/>
      <c r="AA575" s="4"/>
      <c r="AB575" s="4"/>
    </row>
    <row r="576" spans="1:28" x14ac:dyDescent="0.25">
      <c r="A576" s="58">
        <v>185</v>
      </c>
      <c r="B576" s="58">
        <v>1</v>
      </c>
      <c r="C576" s="58">
        <v>9</v>
      </c>
      <c r="D576" s="22">
        <v>3</v>
      </c>
      <c r="E576" s="58">
        <v>140108</v>
      </c>
      <c r="F576" s="58">
        <v>134713</v>
      </c>
      <c r="G576" s="58" t="s">
        <v>8</v>
      </c>
      <c r="H576" s="58">
        <v>1</v>
      </c>
      <c r="I576" s="58">
        <v>2218</v>
      </c>
      <c r="J576" s="58">
        <v>500</v>
      </c>
      <c r="K576" s="58">
        <v>28</v>
      </c>
      <c r="L576" s="22">
        <v>23.9</v>
      </c>
      <c r="M576" s="22">
        <v>22</v>
      </c>
      <c r="N576" s="40">
        <f t="shared" si="26"/>
        <v>0.85357142857142854</v>
      </c>
      <c r="O576" s="40">
        <f t="shared" si="23"/>
        <v>0.7857142857142857</v>
      </c>
      <c r="P576" t="s">
        <v>139</v>
      </c>
      <c r="Q576" s="72">
        <f>VLOOKUP('All inst data'!A576,'all mice (except april 2012)'!$A$2:$G$218,7,FALSE)</f>
        <v>89</v>
      </c>
      <c r="T576" s="9"/>
      <c r="U576" s="4"/>
      <c r="V576" s="4"/>
      <c r="W576" s="4"/>
      <c r="X576" s="4"/>
      <c r="Y576" s="4"/>
      <c r="Z576" s="4"/>
      <c r="AA576" s="4"/>
      <c r="AB576" s="4"/>
    </row>
    <row r="577" spans="1:45" x14ac:dyDescent="0.25">
      <c r="A577" s="58">
        <v>186</v>
      </c>
      <c r="B577" s="58">
        <v>2</v>
      </c>
      <c r="C577" s="58">
        <v>9</v>
      </c>
      <c r="D577" s="58">
        <v>3</v>
      </c>
      <c r="E577" s="58">
        <v>140108</v>
      </c>
      <c r="F577" s="58">
        <v>134713</v>
      </c>
      <c r="G577" s="58" t="s">
        <v>8</v>
      </c>
      <c r="H577" s="58">
        <v>2</v>
      </c>
      <c r="I577" s="58">
        <v>296</v>
      </c>
      <c r="J577" s="58">
        <v>128</v>
      </c>
      <c r="K577" s="58">
        <v>26.3</v>
      </c>
      <c r="L577" s="22">
        <v>22.5</v>
      </c>
      <c r="M577" s="22">
        <v>20.399999999999999</v>
      </c>
      <c r="N577" s="40">
        <f t="shared" si="26"/>
        <v>0.85551330798479086</v>
      </c>
      <c r="O577" s="40">
        <f t="shared" si="23"/>
        <v>0.7756653992395437</v>
      </c>
      <c r="P577" s="58" t="s">
        <v>139</v>
      </c>
      <c r="Q577" s="72">
        <f>VLOOKUP('All inst data'!A577,'all mice (except april 2012)'!$A$2:$G$218,7,FALSE)</f>
        <v>89</v>
      </c>
    </row>
    <row r="578" spans="1:45" x14ac:dyDescent="0.25">
      <c r="A578" s="58">
        <v>187</v>
      </c>
      <c r="B578" s="58">
        <v>3</v>
      </c>
      <c r="C578" s="58">
        <v>9</v>
      </c>
      <c r="D578" s="58">
        <v>3</v>
      </c>
      <c r="E578" s="58">
        <v>140108</v>
      </c>
      <c r="F578" s="58">
        <v>134713</v>
      </c>
      <c r="G578" s="58" t="s">
        <v>8</v>
      </c>
      <c r="H578" s="58">
        <v>3</v>
      </c>
      <c r="I578" s="58">
        <v>6</v>
      </c>
      <c r="J578" s="58">
        <v>6</v>
      </c>
      <c r="K578" s="58">
        <v>25.3</v>
      </c>
      <c r="L578" s="22">
        <v>21.9</v>
      </c>
      <c r="M578" s="22">
        <v>19.399999999999999</v>
      </c>
      <c r="N578" s="40">
        <f t="shared" si="26"/>
        <v>0.86561264822134376</v>
      </c>
      <c r="O578" s="40">
        <f t="shared" si="23"/>
        <v>0.76679841897233192</v>
      </c>
      <c r="P578" s="58" t="s">
        <v>139</v>
      </c>
      <c r="Q578" s="72">
        <f>VLOOKUP('All inst data'!A578,'all mice (except april 2012)'!$A$2:$G$218,7,FALSE)</f>
        <v>89</v>
      </c>
    </row>
    <row r="579" spans="1:45" x14ac:dyDescent="0.25">
      <c r="A579" s="58">
        <v>188</v>
      </c>
      <c r="B579" s="58">
        <v>4</v>
      </c>
      <c r="C579" s="58">
        <v>9</v>
      </c>
      <c r="D579" s="58">
        <v>3</v>
      </c>
      <c r="E579" s="58">
        <v>140108</v>
      </c>
      <c r="F579" s="58">
        <v>134713</v>
      </c>
      <c r="G579" s="58" t="s">
        <v>129</v>
      </c>
      <c r="H579" s="58">
        <v>4</v>
      </c>
      <c r="I579" s="58">
        <v>382</v>
      </c>
      <c r="J579" s="58">
        <v>144</v>
      </c>
      <c r="K579" s="58">
        <v>28.9</v>
      </c>
      <c r="L579" s="22">
        <v>24.1</v>
      </c>
      <c r="M579" s="22">
        <v>22.3</v>
      </c>
      <c r="N579" s="40">
        <f t="shared" si="26"/>
        <v>0.83391003460207624</v>
      </c>
      <c r="O579" s="40">
        <f t="shared" si="23"/>
        <v>0.77162629757785473</v>
      </c>
      <c r="P579" s="58" t="s">
        <v>139</v>
      </c>
      <c r="Q579" s="72">
        <f>VLOOKUP('All inst data'!A579,'all mice (except april 2012)'!$A$2:$G$218,7,FALSE)</f>
        <v>96</v>
      </c>
    </row>
    <row r="580" spans="1:45" x14ac:dyDescent="0.25">
      <c r="A580" s="58">
        <v>189</v>
      </c>
      <c r="B580" s="58">
        <v>5</v>
      </c>
      <c r="C580" s="58">
        <v>9</v>
      </c>
      <c r="D580" s="58">
        <v>3</v>
      </c>
      <c r="E580" s="58">
        <v>140108</v>
      </c>
      <c r="F580" s="58">
        <v>134713</v>
      </c>
      <c r="G580" s="58" t="s">
        <v>129</v>
      </c>
      <c r="H580" s="58">
        <v>5</v>
      </c>
      <c r="I580" s="58">
        <v>4</v>
      </c>
      <c r="J580" s="58">
        <v>4</v>
      </c>
      <c r="K580" s="58">
        <v>28.1</v>
      </c>
      <c r="L580" s="22">
        <v>24.2</v>
      </c>
      <c r="M580" s="22">
        <v>21.5</v>
      </c>
      <c r="N580" s="40">
        <f t="shared" si="26"/>
        <v>0.86120996441281128</v>
      </c>
      <c r="O580" s="40">
        <f t="shared" si="23"/>
        <v>0.76512455516014233</v>
      </c>
      <c r="P580" s="58" t="s">
        <v>139</v>
      </c>
      <c r="Q580" s="72">
        <f>VLOOKUP('All inst data'!A580,'all mice (except april 2012)'!$A$2:$G$218,7,FALSE)</f>
        <v>96</v>
      </c>
    </row>
    <row r="581" spans="1:45" x14ac:dyDescent="0.25">
      <c r="A581" s="58">
        <v>190</v>
      </c>
      <c r="B581" s="58">
        <v>6</v>
      </c>
      <c r="C581" s="58">
        <v>9</v>
      </c>
      <c r="D581" s="58">
        <v>3</v>
      </c>
      <c r="E581" s="58">
        <v>140108</v>
      </c>
      <c r="F581" s="58">
        <v>134713</v>
      </c>
      <c r="G581" s="58" t="s">
        <v>129</v>
      </c>
      <c r="H581" s="58">
        <v>6</v>
      </c>
      <c r="I581" s="58">
        <v>1851</v>
      </c>
      <c r="J581" s="58">
        <v>424</v>
      </c>
      <c r="K581" s="58">
        <v>28</v>
      </c>
      <c r="L581" s="22">
        <v>23.9</v>
      </c>
      <c r="M581" s="22">
        <v>21.7</v>
      </c>
      <c r="N581" s="40">
        <f t="shared" si="26"/>
        <v>0.85357142857142854</v>
      </c>
      <c r="O581" s="40">
        <f t="shared" si="23"/>
        <v>0.77500000000000002</v>
      </c>
      <c r="P581" s="58" t="s">
        <v>139</v>
      </c>
      <c r="Q581" s="72">
        <f>VLOOKUP('All inst data'!A581,'all mice (except april 2012)'!$A$2:$G$218,7,FALSE)</f>
        <v>96</v>
      </c>
      <c r="AC581" s="65"/>
      <c r="AD581" s="65"/>
      <c r="AE581" s="65"/>
      <c r="AF581" s="65"/>
      <c r="AG581" s="65"/>
      <c r="AH581" s="65"/>
      <c r="AI581" s="65"/>
      <c r="AJ581" s="65"/>
    </row>
    <row r="582" spans="1:45" x14ac:dyDescent="0.25">
      <c r="A582" s="58">
        <v>191</v>
      </c>
      <c r="B582" s="58">
        <v>7</v>
      </c>
      <c r="C582" s="58">
        <v>9</v>
      </c>
      <c r="D582" s="58">
        <v>3</v>
      </c>
      <c r="E582" s="58">
        <v>140108</v>
      </c>
      <c r="F582" s="58">
        <v>135647</v>
      </c>
      <c r="G582" s="58" t="s">
        <v>50</v>
      </c>
      <c r="H582" s="58">
        <v>7</v>
      </c>
      <c r="I582" s="58">
        <v>2050</v>
      </c>
      <c r="J582" s="58">
        <v>450</v>
      </c>
      <c r="K582" s="58">
        <v>22</v>
      </c>
      <c r="L582" s="22">
        <v>19.7</v>
      </c>
      <c r="M582" s="22">
        <v>17.7</v>
      </c>
      <c r="N582" s="40">
        <f t="shared" si="26"/>
        <v>0.89545454545454539</v>
      </c>
      <c r="O582" s="40">
        <f t="shared" si="23"/>
        <v>0.80454545454545456</v>
      </c>
      <c r="P582" s="58" t="s">
        <v>139</v>
      </c>
      <c r="Q582" s="72">
        <f>VLOOKUP('All inst data'!A582,'all mice (except april 2012)'!$A$2:$G$218,7,FALSE)</f>
        <v>89</v>
      </c>
      <c r="AC582" s="65"/>
      <c r="AD582" s="65"/>
      <c r="AE582" s="65"/>
      <c r="AF582" s="65"/>
      <c r="AG582" s="65"/>
      <c r="AH582" s="65"/>
    </row>
    <row r="583" spans="1:45" x14ac:dyDescent="0.25">
      <c r="A583" s="58">
        <v>192</v>
      </c>
      <c r="B583" s="58">
        <v>8</v>
      </c>
      <c r="C583" s="58">
        <v>9</v>
      </c>
      <c r="D583" s="58">
        <v>3</v>
      </c>
      <c r="E583" s="58">
        <v>140108</v>
      </c>
      <c r="F583" s="58">
        <v>135648</v>
      </c>
      <c r="G583" s="58" t="s">
        <v>50</v>
      </c>
      <c r="H583" s="58">
        <v>8</v>
      </c>
      <c r="I583" s="58">
        <v>1215</v>
      </c>
      <c r="J583" s="58">
        <v>304</v>
      </c>
      <c r="K583" s="58">
        <v>21.8</v>
      </c>
      <c r="L583" s="22">
        <v>19.3</v>
      </c>
      <c r="M583" s="22">
        <v>17.100000000000001</v>
      </c>
      <c r="N583" s="40">
        <f t="shared" si="26"/>
        <v>0.88532110091743121</v>
      </c>
      <c r="O583" s="40">
        <f t="shared" si="23"/>
        <v>0.78440366972477071</v>
      </c>
      <c r="P583" s="58" t="s">
        <v>139</v>
      </c>
      <c r="Q583" s="72">
        <f>VLOOKUP('All inst data'!A583,'all mice (except april 2012)'!$A$2:$G$218,7,FALSE)</f>
        <v>89</v>
      </c>
      <c r="AM583" s="65"/>
      <c r="AN583" s="65"/>
      <c r="AO583" s="65"/>
      <c r="AP583" s="65"/>
      <c r="AQ583" s="65"/>
      <c r="AR583" s="65"/>
      <c r="AS583" s="65"/>
    </row>
    <row r="584" spans="1:45" x14ac:dyDescent="0.25">
      <c r="A584" s="58">
        <v>193</v>
      </c>
      <c r="B584" s="58">
        <v>9</v>
      </c>
      <c r="C584" s="58">
        <v>9</v>
      </c>
      <c r="D584" s="58">
        <v>3</v>
      </c>
      <c r="E584" s="58">
        <v>140108</v>
      </c>
      <c r="F584" s="58">
        <v>135648</v>
      </c>
      <c r="G584" s="58" t="s">
        <v>50</v>
      </c>
      <c r="H584" s="58">
        <v>9</v>
      </c>
      <c r="I584" s="58">
        <v>2234</v>
      </c>
      <c r="J584" s="58">
        <v>500</v>
      </c>
      <c r="K584" s="58">
        <v>26</v>
      </c>
      <c r="L584" s="22">
        <v>22.9</v>
      </c>
      <c r="M584" s="22">
        <v>21.2</v>
      </c>
      <c r="N584" s="40">
        <f t="shared" si="26"/>
        <v>0.88076923076923075</v>
      </c>
      <c r="O584" s="40">
        <f t="shared" si="23"/>
        <v>0.81538461538461537</v>
      </c>
      <c r="P584" s="58" t="s">
        <v>139</v>
      </c>
      <c r="Q584" s="72">
        <f>VLOOKUP('All inst data'!A584,'all mice (except april 2012)'!$A$2:$G$218,7,FALSE)</f>
        <v>89</v>
      </c>
      <c r="AL584" s="65"/>
      <c r="AM584" s="65"/>
      <c r="AN584" s="65"/>
      <c r="AO584" s="65"/>
      <c r="AP584" s="65"/>
      <c r="AQ584" s="65"/>
      <c r="AR584" s="65"/>
      <c r="AS584" s="65"/>
    </row>
    <row r="585" spans="1:45" x14ac:dyDescent="0.25">
      <c r="A585" s="58">
        <v>194</v>
      </c>
      <c r="B585" s="58">
        <v>10</v>
      </c>
      <c r="C585" s="58">
        <v>9</v>
      </c>
      <c r="D585" s="58">
        <v>3</v>
      </c>
      <c r="E585" s="58">
        <v>140108</v>
      </c>
      <c r="F585" s="58">
        <v>135648</v>
      </c>
      <c r="G585" s="58" t="s">
        <v>173</v>
      </c>
      <c r="H585" s="58">
        <v>10</v>
      </c>
      <c r="I585" s="58">
        <v>0</v>
      </c>
      <c r="J585" s="58">
        <v>0</v>
      </c>
      <c r="K585" s="58">
        <v>30.1</v>
      </c>
      <c r="L585" s="22">
        <v>25.6</v>
      </c>
      <c r="M585" s="22">
        <v>23.3</v>
      </c>
      <c r="N585" s="40">
        <f t="shared" si="26"/>
        <v>0.85049833887043191</v>
      </c>
      <c r="O585" s="40">
        <f t="shared" si="23"/>
        <v>0.77408637873754149</v>
      </c>
      <c r="P585" s="58" t="s">
        <v>139</v>
      </c>
      <c r="Q585" s="72">
        <f>VLOOKUP('All inst data'!A585,'all mice (except april 2012)'!$A$2:$G$218,7,FALSE)</f>
        <v>114</v>
      </c>
      <c r="AL585" s="65"/>
      <c r="AM585" s="65"/>
      <c r="AN585" s="65"/>
      <c r="AO585" s="65"/>
      <c r="AP585" s="65"/>
      <c r="AQ585" s="65"/>
      <c r="AR585" s="65"/>
      <c r="AS585" s="65"/>
    </row>
    <row r="586" spans="1:45" x14ac:dyDescent="0.25">
      <c r="A586" s="58">
        <v>195</v>
      </c>
      <c r="B586" s="58">
        <v>11</v>
      </c>
      <c r="C586" s="58">
        <v>9</v>
      </c>
      <c r="D586" s="58">
        <v>3</v>
      </c>
      <c r="E586" s="58">
        <v>140108</v>
      </c>
      <c r="F586" s="58">
        <v>135648</v>
      </c>
      <c r="G586" s="58" t="s">
        <v>173</v>
      </c>
      <c r="H586" s="58">
        <v>11</v>
      </c>
      <c r="I586" s="58">
        <v>2</v>
      </c>
      <c r="J586" s="58">
        <v>2</v>
      </c>
      <c r="K586" s="58">
        <v>28.5</v>
      </c>
      <c r="L586" s="22">
        <v>23.7</v>
      </c>
      <c r="M586" s="22">
        <v>21.6</v>
      </c>
      <c r="N586" s="40">
        <f t="shared" si="26"/>
        <v>0.83157894736842097</v>
      </c>
      <c r="O586" s="40">
        <f t="shared" si="23"/>
        <v>0.75789473684210529</v>
      </c>
      <c r="P586" s="58" t="s">
        <v>139</v>
      </c>
      <c r="Q586" s="72">
        <f>VLOOKUP('All inst data'!A586,'all mice (except april 2012)'!$A$2:$G$218,7,FALSE)</f>
        <v>114</v>
      </c>
      <c r="AL586" s="65"/>
      <c r="AM586" s="65"/>
      <c r="AN586" s="65"/>
      <c r="AO586" s="65"/>
      <c r="AP586" s="65"/>
      <c r="AQ586" s="65"/>
      <c r="AR586" s="65"/>
      <c r="AS586" s="65"/>
    </row>
    <row r="587" spans="1:45" x14ac:dyDescent="0.25">
      <c r="A587" s="58">
        <v>196</v>
      </c>
      <c r="B587" s="58">
        <v>12</v>
      </c>
      <c r="C587" s="58">
        <v>9</v>
      </c>
      <c r="D587" s="58">
        <v>3</v>
      </c>
      <c r="E587" s="58">
        <v>140108</v>
      </c>
      <c r="F587" s="58">
        <v>135648</v>
      </c>
      <c r="G587" s="58" t="s">
        <v>173</v>
      </c>
      <c r="H587" s="58">
        <v>12</v>
      </c>
      <c r="I587" s="58">
        <v>163</v>
      </c>
      <c r="J587" s="58">
        <v>103</v>
      </c>
      <c r="K587" s="58">
        <v>24.7</v>
      </c>
      <c r="L587" s="22">
        <v>21.6</v>
      </c>
      <c r="M587" s="22">
        <v>20.2</v>
      </c>
      <c r="N587" s="40">
        <f t="shared" ref="N587:N618" si="27">L587/K587</f>
        <v>0.87449392712550611</v>
      </c>
      <c r="O587" s="40">
        <f t="shared" si="23"/>
        <v>0.81781376518218618</v>
      </c>
      <c r="P587" s="58" t="s">
        <v>139</v>
      </c>
      <c r="Q587" s="72">
        <f>VLOOKUP('All inst data'!A587,'all mice (except april 2012)'!$A$2:$G$218,7,FALSE)</f>
        <v>114</v>
      </c>
      <c r="AL587" s="65"/>
      <c r="AM587" s="65"/>
      <c r="AN587" s="65"/>
      <c r="AO587" s="65"/>
      <c r="AP587" s="65"/>
      <c r="AQ587" s="65"/>
      <c r="AR587" s="65"/>
      <c r="AS587" s="65"/>
    </row>
    <row r="588" spans="1:45" x14ac:dyDescent="0.25">
      <c r="A588" s="58">
        <v>197</v>
      </c>
      <c r="B588" s="58">
        <v>13</v>
      </c>
      <c r="C588" s="58">
        <v>9</v>
      </c>
      <c r="D588" s="58">
        <v>3</v>
      </c>
      <c r="E588" s="58">
        <v>140108</v>
      </c>
      <c r="F588" s="58">
        <v>3809</v>
      </c>
      <c r="G588" s="58" t="s">
        <v>5</v>
      </c>
      <c r="H588" s="58">
        <v>13</v>
      </c>
      <c r="I588" s="58">
        <v>2262</v>
      </c>
      <c r="J588" s="58">
        <v>500</v>
      </c>
      <c r="K588" s="58">
        <v>22.9</v>
      </c>
      <c r="L588" s="22">
        <v>20.3</v>
      </c>
      <c r="M588" s="22">
        <v>19</v>
      </c>
      <c r="N588" s="40">
        <f>L588/K588</f>
        <v>0.88646288209606994</v>
      </c>
      <c r="O588" s="40">
        <f t="shared" ref="O588:O596" si="28">M588/K588</f>
        <v>0.82969432314410485</v>
      </c>
      <c r="P588" s="58" t="s">
        <v>139</v>
      </c>
      <c r="Q588" s="72">
        <f>VLOOKUP('All inst data'!A588,'all mice (except april 2012)'!$A$2:$G$218,7,FALSE)</f>
        <v>89</v>
      </c>
      <c r="AL588" s="65"/>
      <c r="AM588" s="65"/>
      <c r="AN588" s="65"/>
      <c r="AO588" s="65"/>
      <c r="AP588" s="65"/>
      <c r="AQ588" s="65"/>
      <c r="AR588" s="65"/>
      <c r="AS588" s="65"/>
    </row>
    <row r="589" spans="1:45" x14ac:dyDescent="0.25">
      <c r="A589" s="58">
        <v>198</v>
      </c>
      <c r="B589" s="58">
        <v>14</v>
      </c>
      <c r="C589" s="58">
        <v>9</v>
      </c>
      <c r="D589" s="58">
        <v>3</v>
      </c>
      <c r="E589" s="58">
        <v>140108</v>
      </c>
      <c r="F589" s="58">
        <v>3809</v>
      </c>
      <c r="G589" s="58" t="s">
        <v>5</v>
      </c>
      <c r="H589" s="58">
        <v>14</v>
      </c>
      <c r="I589" s="58">
        <v>2184</v>
      </c>
      <c r="J589" s="58">
        <v>500</v>
      </c>
      <c r="K589" s="58">
        <v>26.1</v>
      </c>
      <c r="L589" s="22">
        <v>22.8</v>
      </c>
      <c r="M589" s="22">
        <v>20.8</v>
      </c>
      <c r="N589" s="40">
        <f t="shared" si="27"/>
        <v>0.87356321839080453</v>
      </c>
      <c r="O589" s="40">
        <f t="shared" si="28"/>
        <v>0.79693486590038309</v>
      </c>
      <c r="P589" s="58" t="s">
        <v>139</v>
      </c>
      <c r="Q589" s="72">
        <f>VLOOKUP('All inst data'!A589,'all mice (except april 2012)'!$A$2:$G$218,7,FALSE)</f>
        <v>89</v>
      </c>
      <c r="AL589" s="65"/>
      <c r="AM589" s="65"/>
      <c r="AN589" s="65"/>
      <c r="AO589" s="65"/>
      <c r="AP589" s="65"/>
      <c r="AQ589" s="65"/>
      <c r="AR589" s="65"/>
      <c r="AS589" s="65"/>
    </row>
    <row r="590" spans="1:45" x14ac:dyDescent="0.25">
      <c r="A590" s="58">
        <v>199</v>
      </c>
      <c r="B590" s="58">
        <v>15</v>
      </c>
      <c r="C590" s="58">
        <v>9</v>
      </c>
      <c r="D590" s="22">
        <v>1</v>
      </c>
      <c r="E590" s="58">
        <v>140110</v>
      </c>
      <c r="F590" s="58">
        <v>93552</v>
      </c>
      <c r="G590" s="58" t="s">
        <v>4</v>
      </c>
      <c r="H590" s="58">
        <v>1</v>
      </c>
      <c r="I590" s="58">
        <v>1</v>
      </c>
      <c r="J590" s="58">
        <v>1</v>
      </c>
      <c r="K590" s="58">
        <v>26.4</v>
      </c>
      <c r="L590" s="22">
        <v>22.4</v>
      </c>
      <c r="M590" s="22">
        <v>21.1</v>
      </c>
      <c r="N590" s="40">
        <f t="shared" si="27"/>
        <v>0.84848484848484851</v>
      </c>
      <c r="O590" s="40">
        <f t="shared" si="28"/>
        <v>0.79924242424242431</v>
      </c>
      <c r="P590">
        <v>2.2000000000000002</v>
      </c>
      <c r="Q590" s="72">
        <f>VLOOKUP('All inst data'!A590,'all mice (except april 2012)'!$A$2:$G$218,7,FALSE)</f>
        <v>86</v>
      </c>
      <c r="AL590" s="65"/>
      <c r="AM590" s="65"/>
      <c r="AN590" s="65"/>
      <c r="AO590" s="65"/>
      <c r="AP590" s="65"/>
      <c r="AQ590" s="65"/>
      <c r="AR590" s="65"/>
      <c r="AS590" s="65"/>
    </row>
    <row r="591" spans="1:45" x14ac:dyDescent="0.25">
      <c r="A591" s="58">
        <v>200</v>
      </c>
      <c r="B591" s="58">
        <v>16</v>
      </c>
      <c r="C591" s="58">
        <v>9</v>
      </c>
      <c r="D591" s="58">
        <v>1</v>
      </c>
      <c r="E591" s="58">
        <v>140110</v>
      </c>
      <c r="F591" s="58">
        <v>93552</v>
      </c>
      <c r="G591" s="58" t="s">
        <v>4</v>
      </c>
      <c r="H591" s="58">
        <v>2</v>
      </c>
      <c r="I591" s="58">
        <v>0</v>
      </c>
      <c r="J591" s="58">
        <v>0</v>
      </c>
      <c r="K591" s="58">
        <v>22.5</v>
      </c>
      <c r="L591" s="22">
        <v>20.6</v>
      </c>
      <c r="M591" s="22">
        <v>19.3</v>
      </c>
      <c r="N591" s="40">
        <f t="shared" si="27"/>
        <v>0.91555555555555557</v>
      </c>
      <c r="O591" s="40">
        <f t="shared" si="28"/>
        <v>0.85777777777777786</v>
      </c>
      <c r="P591">
        <v>2.2000000000000002</v>
      </c>
      <c r="Q591" s="72">
        <f>VLOOKUP('All inst data'!A591,'all mice (except april 2012)'!$A$2:$G$218,7,FALSE)</f>
        <v>86</v>
      </c>
      <c r="AL591" s="65"/>
      <c r="AM591" s="65"/>
      <c r="AN591" s="65"/>
      <c r="AO591" s="65"/>
      <c r="AP591" s="65"/>
      <c r="AQ591" s="65"/>
      <c r="AR591" s="65"/>
      <c r="AS591" s="65"/>
    </row>
    <row r="592" spans="1:45" x14ac:dyDescent="0.25">
      <c r="A592" s="58">
        <v>201</v>
      </c>
      <c r="B592" s="58">
        <v>17</v>
      </c>
      <c r="C592" s="58">
        <v>9</v>
      </c>
      <c r="D592" s="58">
        <v>1</v>
      </c>
      <c r="E592" s="58">
        <v>140110</v>
      </c>
      <c r="F592" s="58">
        <v>93553</v>
      </c>
      <c r="G592" s="58" t="s">
        <v>4</v>
      </c>
      <c r="H592" s="58">
        <v>3</v>
      </c>
      <c r="I592" s="58">
        <v>0</v>
      </c>
      <c r="J592" s="58">
        <v>0</v>
      </c>
      <c r="K592" s="58">
        <v>23.9</v>
      </c>
      <c r="L592" s="22">
        <v>21.7</v>
      </c>
      <c r="M592" s="22">
        <v>20.100000000000001</v>
      </c>
      <c r="N592" s="40">
        <f t="shared" si="27"/>
        <v>0.90794979079497906</v>
      </c>
      <c r="O592" s="40">
        <f t="shared" si="28"/>
        <v>0.84100418410041855</v>
      </c>
      <c r="P592">
        <v>2.2000000000000002</v>
      </c>
      <c r="Q592" s="72">
        <f>VLOOKUP('All inst data'!A592,'all mice (except april 2012)'!$A$2:$G$218,7,FALSE)</f>
        <v>86</v>
      </c>
      <c r="AL592" s="65"/>
      <c r="AM592" s="65"/>
      <c r="AN592" s="65"/>
      <c r="AO592" s="65"/>
      <c r="AP592" s="65"/>
      <c r="AQ592" s="65"/>
      <c r="AR592" s="65"/>
      <c r="AS592" s="65"/>
    </row>
    <row r="593" spans="1:45" x14ac:dyDescent="0.25">
      <c r="A593" s="58">
        <v>202</v>
      </c>
      <c r="B593" s="58">
        <v>18</v>
      </c>
      <c r="C593" s="58">
        <v>9</v>
      </c>
      <c r="D593" s="58">
        <v>1</v>
      </c>
      <c r="E593" s="58">
        <v>140110</v>
      </c>
      <c r="F593" s="58">
        <v>93553</v>
      </c>
      <c r="G593" s="58" t="s">
        <v>2</v>
      </c>
      <c r="H593" s="58">
        <v>4</v>
      </c>
      <c r="I593" s="58">
        <v>674</v>
      </c>
      <c r="J593" s="58">
        <v>203</v>
      </c>
      <c r="K593" s="58">
        <v>25.7</v>
      </c>
      <c r="L593" s="22">
        <v>22</v>
      </c>
      <c r="M593" s="22">
        <v>21</v>
      </c>
      <c r="N593" s="40">
        <f>L593/K593</f>
        <v>0.85603112840466933</v>
      </c>
      <c r="O593" s="40">
        <f t="shared" si="28"/>
        <v>0.81712062256809337</v>
      </c>
      <c r="P593">
        <v>2.6</v>
      </c>
      <c r="Q593" s="72">
        <f>VLOOKUP('All inst data'!A593,'all mice (except april 2012)'!$A$2:$G$218,7,FALSE)</f>
        <v>93</v>
      </c>
      <c r="AL593" s="65"/>
      <c r="AM593" s="65"/>
      <c r="AN593" s="65"/>
      <c r="AO593" s="65"/>
      <c r="AP593" s="65"/>
      <c r="AQ593" s="65"/>
      <c r="AR593" s="65"/>
      <c r="AS593" s="65"/>
    </row>
    <row r="594" spans="1:45" x14ac:dyDescent="0.25">
      <c r="A594" s="58">
        <v>203</v>
      </c>
      <c r="B594" s="58">
        <v>19</v>
      </c>
      <c r="C594" s="58">
        <v>9</v>
      </c>
      <c r="D594" s="58">
        <v>1</v>
      </c>
      <c r="E594" s="58">
        <v>140110</v>
      </c>
      <c r="F594" s="58">
        <v>93553</v>
      </c>
      <c r="G594" s="58" t="s">
        <v>2</v>
      </c>
      <c r="H594" s="58">
        <v>5</v>
      </c>
      <c r="I594" s="58">
        <v>351</v>
      </c>
      <c r="J594" s="58">
        <v>138</v>
      </c>
      <c r="K594" s="58">
        <v>24.9</v>
      </c>
      <c r="L594" s="22">
        <v>22.3</v>
      </c>
      <c r="M594" s="22">
        <v>21</v>
      </c>
      <c r="N594" s="40">
        <f t="shared" si="27"/>
        <v>0.89558232931726911</v>
      </c>
      <c r="O594" s="40">
        <f t="shared" si="28"/>
        <v>0.84337349397590367</v>
      </c>
      <c r="P594">
        <v>2.6</v>
      </c>
      <c r="Q594" s="72">
        <f>VLOOKUP('All inst data'!A594,'all mice (except april 2012)'!$A$2:$G$218,7,FALSE)</f>
        <v>93</v>
      </c>
      <c r="AL594" s="65"/>
      <c r="AM594" s="65"/>
      <c r="AN594" s="65"/>
      <c r="AO594" s="65"/>
      <c r="AP594" s="65"/>
      <c r="AQ594" s="65"/>
      <c r="AR594" s="65"/>
      <c r="AS594" s="65"/>
    </row>
    <row r="595" spans="1:45" x14ac:dyDescent="0.25">
      <c r="A595" s="58">
        <v>204</v>
      </c>
      <c r="B595" s="58">
        <v>20</v>
      </c>
      <c r="C595" s="58">
        <v>9</v>
      </c>
      <c r="D595" s="58">
        <v>1</v>
      </c>
      <c r="E595" s="58">
        <v>140110</v>
      </c>
      <c r="F595" s="58">
        <v>93553</v>
      </c>
      <c r="G595" s="58" t="s">
        <v>2</v>
      </c>
      <c r="H595" s="58">
        <v>6</v>
      </c>
      <c r="I595" s="58">
        <v>1186</v>
      </c>
      <c r="J595" s="58">
        <v>303</v>
      </c>
      <c r="K595" s="58">
        <v>23.9</v>
      </c>
      <c r="L595" s="22">
        <v>20.8</v>
      </c>
      <c r="M595" s="22">
        <v>19.8</v>
      </c>
      <c r="N595" s="40">
        <f t="shared" si="27"/>
        <v>0.87029288702928875</v>
      </c>
      <c r="O595" s="40">
        <f t="shared" si="28"/>
        <v>0.82845188284518834</v>
      </c>
      <c r="P595">
        <v>2.6</v>
      </c>
      <c r="Q595" s="72">
        <f>VLOOKUP('All inst data'!A595,'all mice (except april 2012)'!$A$2:$G$218,7,FALSE)</f>
        <v>93</v>
      </c>
      <c r="AL595" s="65"/>
      <c r="AM595" s="65"/>
      <c r="AN595" s="65"/>
      <c r="AO595" s="65"/>
      <c r="AP595" s="65"/>
      <c r="AQ595" s="65"/>
      <c r="AR595" s="65"/>
      <c r="AS595" s="65"/>
    </row>
    <row r="596" spans="1:45" x14ac:dyDescent="0.25">
      <c r="A596" s="58">
        <v>205</v>
      </c>
      <c r="B596" s="58">
        <v>21</v>
      </c>
      <c r="C596" s="58">
        <v>9</v>
      </c>
      <c r="D596" s="58">
        <v>1</v>
      </c>
      <c r="E596" s="58">
        <v>140110</v>
      </c>
      <c r="F596" s="58">
        <v>94344</v>
      </c>
      <c r="G596" s="58" t="s">
        <v>5</v>
      </c>
      <c r="H596" s="58">
        <v>7</v>
      </c>
      <c r="I596" s="58">
        <v>2186</v>
      </c>
      <c r="J596" s="58">
        <v>500</v>
      </c>
      <c r="K596" s="58">
        <v>28.8</v>
      </c>
      <c r="L596" s="22">
        <v>24.1</v>
      </c>
      <c r="M596" s="22">
        <v>22.8</v>
      </c>
      <c r="N596" s="40">
        <f t="shared" si="27"/>
        <v>0.83680555555555558</v>
      </c>
      <c r="O596" s="40">
        <f t="shared" si="28"/>
        <v>0.79166666666666663</v>
      </c>
      <c r="P596">
        <v>4</v>
      </c>
      <c r="Q596" s="72">
        <f>VLOOKUP('All inst data'!A596,'all mice (except april 2012)'!$A$2:$G$218,7,FALSE)</f>
        <v>93</v>
      </c>
      <c r="AL596" s="65"/>
      <c r="AM596" s="65"/>
      <c r="AN596" s="65"/>
      <c r="AO596" s="65"/>
      <c r="AP596" s="65"/>
      <c r="AQ596" s="65"/>
      <c r="AR596" s="65"/>
      <c r="AS596" s="65"/>
    </row>
    <row r="597" spans="1:45" x14ac:dyDescent="0.25">
      <c r="A597" s="58">
        <v>206</v>
      </c>
      <c r="B597" s="58">
        <v>22</v>
      </c>
      <c r="C597" s="58">
        <v>9</v>
      </c>
      <c r="D597" s="58">
        <v>1</v>
      </c>
      <c r="E597" s="58">
        <v>140110</v>
      </c>
      <c r="F597" s="58">
        <v>94344</v>
      </c>
      <c r="G597" s="58" t="s">
        <v>3</v>
      </c>
      <c r="H597" s="58">
        <v>8</v>
      </c>
      <c r="I597" s="58">
        <v>7</v>
      </c>
      <c r="J597" s="58">
        <v>7</v>
      </c>
      <c r="K597" s="58">
        <v>25.8</v>
      </c>
      <c r="L597" s="22">
        <v>21.5</v>
      </c>
      <c r="M597" s="22">
        <v>20.5</v>
      </c>
      <c r="N597" s="40">
        <f t="shared" si="27"/>
        <v>0.83333333333333326</v>
      </c>
      <c r="O597" s="40">
        <f t="shared" ref="O597:O605" si="29">M597/K597</f>
        <v>0.79457364341085268</v>
      </c>
      <c r="P597">
        <v>2.9</v>
      </c>
      <c r="Q597" s="72">
        <f>VLOOKUP('All inst data'!A597,'all mice (except april 2012)'!$A$2:$G$218,7,FALSE)</f>
        <v>93</v>
      </c>
      <c r="AL597" s="65"/>
      <c r="AM597" s="65"/>
      <c r="AN597" s="65"/>
      <c r="AO597" s="65"/>
      <c r="AP597" s="65"/>
      <c r="AQ597" s="65"/>
      <c r="AR597" s="65"/>
      <c r="AS597" s="65"/>
    </row>
    <row r="598" spans="1:45" x14ac:dyDescent="0.25">
      <c r="A598" s="58">
        <v>207</v>
      </c>
      <c r="B598" s="58">
        <v>23</v>
      </c>
      <c r="C598" s="58">
        <v>9</v>
      </c>
      <c r="D598" s="58">
        <v>1</v>
      </c>
      <c r="E598" s="58">
        <v>140110</v>
      </c>
      <c r="F598" s="58">
        <v>94344</v>
      </c>
      <c r="G598" s="58" t="s">
        <v>3</v>
      </c>
      <c r="H598" s="58">
        <v>9</v>
      </c>
      <c r="I598" s="58">
        <v>1770</v>
      </c>
      <c r="J598" s="58">
        <v>421</v>
      </c>
      <c r="K598" s="58">
        <v>24.9</v>
      </c>
      <c r="L598" s="22">
        <v>21.5</v>
      </c>
      <c r="M598" s="22">
        <v>21.7</v>
      </c>
      <c r="N598" s="40">
        <f t="shared" si="27"/>
        <v>0.86345381526104426</v>
      </c>
      <c r="O598" s="40">
        <f t="shared" si="29"/>
        <v>0.87148594377510047</v>
      </c>
      <c r="P598">
        <v>2.9</v>
      </c>
      <c r="Q598" s="72">
        <f>VLOOKUP('All inst data'!A598,'all mice (except april 2012)'!$A$2:$G$218,7,FALSE)</f>
        <v>93</v>
      </c>
      <c r="AL598" s="65"/>
      <c r="AM598" s="65"/>
      <c r="AN598" s="65"/>
      <c r="AO598" s="65"/>
      <c r="AP598" s="65"/>
      <c r="AQ598" s="65"/>
      <c r="AR598" s="65"/>
      <c r="AS598" s="65"/>
    </row>
    <row r="599" spans="1:45" x14ac:dyDescent="0.25">
      <c r="A599" s="58">
        <v>208</v>
      </c>
      <c r="B599" s="58">
        <v>24</v>
      </c>
      <c r="C599" s="58">
        <v>9</v>
      </c>
      <c r="D599" s="58">
        <v>1</v>
      </c>
      <c r="E599" s="58">
        <v>140110</v>
      </c>
      <c r="F599" s="58">
        <v>94345</v>
      </c>
      <c r="G599" s="58" t="s">
        <v>56</v>
      </c>
      <c r="H599" s="58">
        <v>10</v>
      </c>
      <c r="I599" s="58">
        <v>8</v>
      </c>
      <c r="J599" s="58">
        <v>8</v>
      </c>
      <c r="K599" s="58">
        <v>27.4</v>
      </c>
      <c r="L599" s="22">
        <v>24.8</v>
      </c>
      <c r="M599" s="22">
        <v>22.6</v>
      </c>
      <c r="N599" s="40">
        <f t="shared" si="27"/>
        <v>0.90510948905109501</v>
      </c>
      <c r="O599" s="40">
        <f t="shared" si="29"/>
        <v>0.82481751824817529</v>
      </c>
      <c r="P599">
        <v>2.8</v>
      </c>
      <c r="Q599" s="72">
        <f>VLOOKUP('All inst data'!A599,'all mice (except april 2012)'!$A$2:$G$218,7,FALSE)</f>
        <v>86</v>
      </c>
      <c r="AL599" s="65"/>
      <c r="AM599" s="65"/>
      <c r="AN599" s="65"/>
      <c r="AO599" s="65"/>
      <c r="AP599" s="65"/>
      <c r="AQ599" s="65"/>
      <c r="AR599" s="65"/>
      <c r="AS599" s="65"/>
    </row>
    <row r="600" spans="1:45" x14ac:dyDescent="0.25">
      <c r="A600" s="58">
        <v>209</v>
      </c>
      <c r="B600" s="58">
        <v>25</v>
      </c>
      <c r="C600" s="58">
        <v>9</v>
      </c>
      <c r="D600" s="58">
        <v>1</v>
      </c>
      <c r="E600" s="58">
        <v>140110</v>
      </c>
      <c r="F600" s="58">
        <v>94345</v>
      </c>
      <c r="G600" s="58" t="s">
        <v>56</v>
      </c>
      <c r="H600" s="58">
        <v>11</v>
      </c>
      <c r="I600" s="58">
        <v>13</v>
      </c>
      <c r="J600" s="58">
        <v>13</v>
      </c>
      <c r="K600" s="58">
        <v>25.8</v>
      </c>
      <c r="L600" s="22">
        <v>22.4</v>
      </c>
      <c r="M600" s="22">
        <v>20.3</v>
      </c>
      <c r="N600" s="40">
        <f t="shared" si="27"/>
        <v>0.86821705426356577</v>
      </c>
      <c r="O600" s="40">
        <f t="shared" si="29"/>
        <v>0.78682170542635654</v>
      </c>
      <c r="P600">
        <v>2.8</v>
      </c>
      <c r="Q600" s="72">
        <f>VLOOKUP('All inst data'!A600,'all mice (except april 2012)'!$A$2:$G$218,7,FALSE)</f>
        <v>86</v>
      </c>
      <c r="AL600" s="65"/>
      <c r="AM600" s="65"/>
      <c r="AN600" s="65"/>
      <c r="AO600" s="65"/>
      <c r="AP600" s="65"/>
      <c r="AQ600" s="65"/>
      <c r="AR600" s="65"/>
      <c r="AS600" s="65"/>
    </row>
    <row r="601" spans="1:45" x14ac:dyDescent="0.25">
      <c r="A601" s="58">
        <v>210</v>
      </c>
      <c r="B601" s="58">
        <v>26</v>
      </c>
      <c r="C601" s="58">
        <v>9</v>
      </c>
      <c r="D601" s="58">
        <v>1</v>
      </c>
      <c r="E601" s="58">
        <v>140110</v>
      </c>
      <c r="F601" s="58">
        <v>94345</v>
      </c>
      <c r="G601" s="58" t="s">
        <v>56</v>
      </c>
      <c r="H601" s="58">
        <v>12</v>
      </c>
      <c r="I601" s="58">
        <v>4</v>
      </c>
      <c r="J601" s="58">
        <v>4</v>
      </c>
      <c r="K601" s="58">
        <v>24.2</v>
      </c>
      <c r="L601" s="22">
        <v>22</v>
      </c>
      <c r="M601" s="22">
        <v>20</v>
      </c>
      <c r="N601" s="40">
        <f t="shared" si="27"/>
        <v>0.90909090909090917</v>
      </c>
      <c r="O601" s="40">
        <f t="shared" si="29"/>
        <v>0.82644628099173556</v>
      </c>
      <c r="P601">
        <v>2.8</v>
      </c>
      <c r="Q601" s="72">
        <f>VLOOKUP('All inst data'!A601,'all mice (except april 2012)'!$A$2:$G$218,7,FALSE)</f>
        <v>86</v>
      </c>
      <c r="AL601" s="65"/>
      <c r="AM601" s="65"/>
      <c r="AN601" s="65"/>
      <c r="AO601" s="65"/>
      <c r="AP601" s="65"/>
      <c r="AQ601" s="65"/>
      <c r="AR601" s="65"/>
      <c r="AS601" s="65"/>
    </row>
    <row r="602" spans="1:45" x14ac:dyDescent="0.25">
      <c r="A602" s="58">
        <v>199</v>
      </c>
      <c r="B602" s="58">
        <v>15</v>
      </c>
      <c r="C602" s="58">
        <v>9</v>
      </c>
      <c r="D602" s="22">
        <v>2</v>
      </c>
      <c r="E602" s="58">
        <v>140111</v>
      </c>
      <c r="F602" s="58">
        <v>93429</v>
      </c>
      <c r="G602" s="58" t="s">
        <v>4</v>
      </c>
      <c r="H602" s="58">
        <v>1</v>
      </c>
      <c r="I602" s="58">
        <v>0</v>
      </c>
      <c r="J602" s="58">
        <v>0</v>
      </c>
      <c r="K602" s="58">
        <v>26.4</v>
      </c>
      <c r="L602" s="22">
        <v>23.4</v>
      </c>
      <c r="M602" s="22">
        <v>21.2</v>
      </c>
      <c r="N602" s="40">
        <f t="shared" si="27"/>
        <v>0.88636363636363635</v>
      </c>
      <c r="O602" s="40">
        <f t="shared" si="29"/>
        <v>0.80303030303030309</v>
      </c>
      <c r="P602">
        <v>2.2000000000000002</v>
      </c>
      <c r="Q602" s="72">
        <f>VLOOKUP('All inst data'!A602,'all mice (except april 2012)'!$A$2:$G$218,7,FALSE)</f>
        <v>86</v>
      </c>
      <c r="AL602" s="65"/>
      <c r="AM602" s="65"/>
      <c r="AN602" s="65"/>
      <c r="AO602" s="65"/>
      <c r="AP602" s="65"/>
      <c r="AQ602" s="65"/>
      <c r="AR602" s="65"/>
      <c r="AS602" s="65"/>
    </row>
    <row r="603" spans="1:45" x14ac:dyDescent="0.25">
      <c r="A603" s="58">
        <v>200</v>
      </c>
      <c r="B603" s="58">
        <v>16</v>
      </c>
      <c r="C603" s="58">
        <v>9</v>
      </c>
      <c r="D603" s="58">
        <v>2</v>
      </c>
      <c r="E603" s="58">
        <v>140111</v>
      </c>
      <c r="F603" s="58">
        <v>93429</v>
      </c>
      <c r="G603" s="58" t="s">
        <v>4</v>
      </c>
      <c r="H603" s="58">
        <v>2</v>
      </c>
      <c r="I603" s="58">
        <v>0</v>
      </c>
      <c r="J603" s="58">
        <v>0</v>
      </c>
      <c r="K603" s="58">
        <v>22.5</v>
      </c>
      <c r="L603" s="22">
        <v>21</v>
      </c>
      <c r="M603" s="22">
        <v>19.100000000000001</v>
      </c>
      <c r="N603" s="40">
        <f t="shared" si="27"/>
        <v>0.93333333333333335</v>
      </c>
      <c r="O603" s="40">
        <f t="shared" si="29"/>
        <v>0.84888888888888892</v>
      </c>
      <c r="P603">
        <v>2.2000000000000002</v>
      </c>
      <c r="Q603" s="72">
        <f>VLOOKUP('All inst data'!A603,'all mice (except april 2012)'!$A$2:$G$218,7,FALSE)</f>
        <v>86</v>
      </c>
      <c r="AL603" s="65"/>
      <c r="AM603" s="65"/>
      <c r="AN603" s="65"/>
      <c r="AO603" s="65"/>
      <c r="AP603" s="65"/>
      <c r="AQ603" s="65"/>
      <c r="AR603" s="65"/>
      <c r="AS603" s="65"/>
    </row>
    <row r="604" spans="1:45" x14ac:dyDescent="0.25">
      <c r="A604" s="58">
        <v>201</v>
      </c>
      <c r="B604" s="58">
        <v>17</v>
      </c>
      <c r="C604" s="58">
        <v>9</v>
      </c>
      <c r="D604" s="58">
        <v>2</v>
      </c>
      <c r="E604" s="58">
        <v>140111</v>
      </c>
      <c r="F604" s="58">
        <v>93430</v>
      </c>
      <c r="G604" s="58" t="s">
        <v>4</v>
      </c>
      <c r="H604" s="58">
        <v>3</v>
      </c>
      <c r="I604" s="58">
        <v>0</v>
      </c>
      <c r="J604" s="58">
        <v>0</v>
      </c>
      <c r="K604" s="58">
        <v>23.9</v>
      </c>
      <c r="L604" s="22">
        <v>21.9</v>
      </c>
      <c r="M604" s="22">
        <v>19.8</v>
      </c>
      <c r="N604" s="40">
        <f t="shared" si="27"/>
        <v>0.91631799163179917</v>
      </c>
      <c r="O604" s="40">
        <f>M604/K604</f>
        <v>0.82845188284518834</v>
      </c>
      <c r="P604">
        <v>2.2000000000000002</v>
      </c>
      <c r="Q604" s="72">
        <f>VLOOKUP('All inst data'!A604,'all mice (except april 2012)'!$A$2:$G$218,7,FALSE)</f>
        <v>86</v>
      </c>
      <c r="AL604" s="65"/>
      <c r="AM604" s="65"/>
      <c r="AN604" s="65"/>
      <c r="AO604" s="65"/>
      <c r="AP604" s="65"/>
      <c r="AQ604" s="65"/>
      <c r="AR604" s="65"/>
      <c r="AS604" s="65"/>
    </row>
    <row r="605" spans="1:45" x14ac:dyDescent="0.25">
      <c r="A605" s="58">
        <v>202</v>
      </c>
      <c r="B605" s="58">
        <v>18</v>
      </c>
      <c r="C605" s="58">
        <v>9</v>
      </c>
      <c r="D605" s="58">
        <v>2</v>
      </c>
      <c r="E605" s="58">
        <v>140111</v>
      </c>
      <c r="F605" s="58">
        <v>93430</v>
      </c>
      <c r="G605" s="58" t="s">
        <v>2</v>
      </c>
      <c r="H605" s="58">
        <v>4</v>
      </c>
      <c r="I605" s="58">
        <v>181</v>
      </c>
      <c r="J605" s="58">
        <v>104</v>
      </c>
      <c r="K605" s="58">
        <v>25.7</v>
      </c>
      <c r="L605" s="22">
        <v>22.7</v>
      </c>
      <c r="M605" s="22">
        <v>21.3</v>
      </c>
      <c r="N605" s="40">
        <f t="shared" si="27"/>
        <v>0.88326848249027234</v>
      </c>
      <c r="O605" s="40">
        <f t="shared" si="29"/>
        <v>0.8287937743190662</v>
      </c>
      <c r="P605">
        <v>2.6</v>
      </c>
      <c r="Q605" s="72">
        <f>VLOOKUP('All inst data'!A605,'all mice (except april 2012)'!$A$2:$G$218,7,FALSE)</f>
        <v>93</v>
      </c>
      <c r="AL605" s="65"/>
      <c r="AM605" s="65"/>
      <c r="AN605" s="65"/>
      <c r="AO605" s="65"/>
      <c r="AP605" s="65"/>
      <c r="AQ605" s="65"/>
      <c r="AR605" s="65"/>
      <c r="AS605" s="65"/>
    </row>
    <row r="606" spans="1:45" x14ac:dyDescent="0.25">
      <c r="A606" s="58">
        <v>203</v>
      </c>
      <c r="B606" s="58">
        <v>19</v>
      </c>
      <c r="C606" s="58">
        <v>9</v>
      </c>
      <c r="D606" s="58">
        <v>2</v>
      </c>
      <c r="E606" s="58">
        <v>140111</v>
      </c>
      <c r="F606" s="58">
        <v>93430</v>
      </c>
      <c r="G606" s="58" t="s">
        <v>2</v>
      </c>
      <c r="H606" s="58">
        <v>5</v>
      </c>
      <c r="I606" s="58">
        <v>839</v>
      </c>
      <c r="J606" s="58">
        <v>235</v>
      </c>
      <c r="K606" s="58">
        <v>24.9</v>
      </c>
      <c r="L606" s="22">
        <v>22.5</v>
      </c>
      <c r="M606" s="22">
        <v>21.2</v>
      </c>
      <c r="N606" s="40">
        <f t="shared" si="27"/>
        <v>0.90361445783132532</v>
      </c>
      <c r="O606" s="40">
        <f>M606/K606</f>
        <v>0.85140562248995988</v>
      </c>
      <c r="P606">
        <v>2.6</v>
      </c>
      <c r="Q606" s="72">
        <f>VLOOKUP('All inst data'!A606,'all mice (except april 2012)'!$A$2:$G$218,7,FALSE)</f>
        <v>93</v>
      </c>
      <c r="AL606" s="65"/>
      <c r="AM606" s="65"/>
      <c r="AN606" s="65"/>
      <c r="AO606" s="65"/>
      <c r="AP606" s="65"/>
      <c r="AQ606" s="65"/>
      <c r="AR606" s="65"/>
      <c r="AS606" s="65"/>
    </row>
    <row r="607" spans="1:45" x14ac:dyDescent="0.25">
      <c r="A607" s="58">
        <v>204</v>
      </c>
      <c r="B607" s="58">
        <v>20</v>
      </c>
      <c r="C607" s="58">
        <v>9</v>
      </c>
      <c r="D607" s="58">
        <v>2</v>
      </c>
      <c r="E607" s="58">
        <v>140111</v>
      </c>
      <c r="F607" s="58">
        <v>93430</v>
      </c>
      <c r="G607" s="58" t="s">
        <v>2</v>
      </c>
      <c r="H607" s="58">
        <v>6</v>
      </c>
      <c r="I607" s="58">
        <v>1422</v>
      </c>
      <c r="J607" s="58">
        <v>351</v>
      </c>
      <c r="K607" s="58">
        <v>23.9</v>
      </c>
      <c r="L607" s="22">
        <v>21.1</v>
      </c>
      <c r="M607" s="22">
        <v>20.100000000000001</v>
      </c>
      <c r="N607" s="40">
        <f t="shared" si="27"/>
        <v>0.88284518828451897</v>
      </c>
      <c r="O607" s="40">
        <f t="shared" ref="O607:O652" si="30">M607/K607</f>
        <v>0.84100418410041855</v>
      </c>
      <c r="P607">
        <v>2.6</v>
      </c>
      <c r="Q607" s="72">
        <f>VLOOKUP('All inst data'!A607,'all mice (except april 2012)'!$A$2:$G$218,7,FALSE)</f>
        <v>93</v>
      </c>
      <c r="AL607" s="65"/>
      <c r="AM607" s="65"/>
      <c r="AN607" s="65"/>
      <c r="AO607" s="65"/>
      <c r="AP607" s="65"/>
      <c r="AQ607" s="65"/>
      <c r="AR607" s="65"/>
      <c r="AS607" s="65"/>
    </row>
    <row r="608" spans="1:45" x14ac:dyDescent="0.25">
      <c r="A608" s="58">
        <v>205</v>
      </c>
      <c r="B608" s="58">
        <v>21</v>
      </c>
      <c r="C608" s="58">
        <v>9</v>
      </c>
      <c r="D608" s="58">
        <v>2</v>
      </c>
      <c r="E608" s="58">
        <v>140111</v>
      </c>
      <c r="F608" s="58">
        <v>93430</v>
      </c>
      <c r="G608" s="58" t="s">
        <v>5</v>
      </c>
      <c r="H608" s="58">
        <v>7</v>
      </c>
      <c r="I608" s="58">
        <v>2174</v>
      </c>
      <c r="J608" s="58">
        <v>500</v>
      </c>
      <c r="K608" s="58">
        <v>28.8</v>
      </c>
      <c r="L608" s="22">
        <v>24.8</v>
      </c>
      <c r="M608" s="22">
        <v>23.6</v>
      </c>
      <c r="N608" s="40">
        <f t="shared" si="27"/>
        <v>0.86111111111111116</v>
      </c>
      <c r="O608" s="40">
        <f t="shared" si="30"/>
        <v>0.81944444444444442</v>
      </c>
      <c r="P608">
        <v>4</v>
      </c>
      <c r="Q608" s="72">
        <f>VLOOKUP('All inst data'!A608,'all mice (except april 2012)'!$A$2:$G$218,7,FALSE)</f>
        <v>93</v>
      </c>
      <c r="AL608" s="65"/>
      <c r="AM608" s="65"/>
      <c r="AN608" s="65"/>
      <c r="AO608" s="65"/>
      <c r="AP608" s="65"/>
      <c r="AQ608" s="65"/>
      <c r="AR608" s="65"/>
      <c r="AS608" s="65"/>
    </row>
    <row r="609" spans="1:45" x14ac:dyDescent="0.25">
      <c r="A609" s="58">
        <v>206</v>
      </c>
      <c r="B609" s="58">
        <v>22</v>
      </c>
      <c r="C609" s="58">
        <v>9</v>
      </c>
      <c r="D609" s="58">
        <v>2</v>
      </c>
      <c r="E609" s="58">
        <v>140111</v>
      </c>
      <c r="F609" s="58">
        <v>93430</v>
      </c>
      <c r="G609" s="58" t="s">
        <v>3</v>
      </c>
      <c r="H609" s="58">
        <v>8</v>
      </c>
      <c r="I609" s="58">
        <v>247</v>
      </c>
      <c r="J609" s="58">
        <v>118</v>
      </c>
      <c r="K609" s="58">
        <v>25.8</v>
      </c>
      <c r="L609" s="22">
        <v>22.4</v>
      </c>
      <c r="M609" s="22">
        <v>20.9</v>
      </c>
      <c r="N609" s="40">
        <f t="shared" si="27"/>
        <v>0.86821705426356577</v>
      </c>
      <c r="O609" s="40">
        <f t="shared" si="30"/>
        <v>0.81007751937984485</v>
      </c>
      <c r="P609">
        <v>3</v>
      </c>
      <c r="Q609" s="72">
        <f>VLOOKUP('All inst data'!A609,'all mice (except april 2012)'!$A$2:$G$218,7,FALSE)</f>
        <v>93</v>
      </c>
      <c r="AL609" s="65"/>
      <c r="AM609" s="65"/>
      <c r="AN609" s="65"/>
      <c r="AO609" s="65"/>
      <c r="AP609" s="65"/>
      <c r="AQ609" s="65"/>
      <c r="AR609" s="65"/>
      <c r="AS609" s="65"/>
    </row>
    <row r="610" spans="1:45" x14ac:dyDescent="0.25">
      <c r="A610" s="58">
        <v>207</v>
      </c>
      <c r="B610" s="58">
        <v>23</v>
      </c>
      <c r="C610" s="58">
        <v>9</v>
      </c>
      <c r="D610" s="58">
        <v>2</v>
      </c>
      <c r="E610" s="58">
        <v>140111</v>
      </c>
      <c r="F610" s="58">
        <v>93430</v>
      </c>
      <c r="G610" s="58" t="s">
        <v>3</v>
      </c>
      <c r="H610" s="58">
        <v>9</v>
      </c>
      <c r="I610" s="58">
        <v>2165</v>
      </c>
      <c r="J610" s="58">
        <v>500</v>
      </c>
      <c r="K610" s="58">
        <v>24.9</v>
      </c>
      <c r="L610" s="22">
        <v>22.4</v>
      </c>
      <c r="M610" s="22">
        <v>21.1</v>
      </c>
      <c r="N610" s="40">
        <f t="shared" si="27"/>
        <v>0.89959839357429716</v>
      </c>
      <c r="O610" s="40">
        <f t="shared" si="30"/>
        <v>0.84738955823293183</v>
      </c>
      <c r="P610">
        <v>3</v>
      </c>
      <c r="Q610" s="72">
        <f>VLOOKUP('All inst data'!A610,'all mice (except april 2012)'!$A$2:$G$218,7,FALSE)</f>
        <v>93</v>
      </c>
      <c r="AL610" s="65"/>
      <c r="AM610" s="65"/>
      <c r="AN610" s="65"/>
      <c r="AO610" s="65"/>
      <c r="AP610" s="65"/>
      <c r="AQ610" s="65"/>
      <c r="AR610" s="65"/>
      <c r="AS610" s="65"/>
    </row>
    <row r="611" spans="1:45" x14ac:dyDescent="0.25">
      <c r="A611" s="58">
        <v>208</v>
      </c>
      <c r="B611" s="58">
        <v>24</v>
      </c>
      <c r="C611" s="58">
        <v>9</v>
      </c>
      <c r="D611" s="58">
        <v>2</v>
      </c>
      <c r="E611" s="58">
        <v>140111</v>
      </c>
      <c r="F611" s="58">
        <v>93430</v>
      </c>
      <c r="G611" s="58" t="s">
        <v>56</v>
      </c>
      <c r="H611" s="58">
        <v>10</v>
      </c>
      <c r="I611" s="58">
        <v>3</v>
      </c>
      <c r="J611" s="58">
        <v>3</v>
      </c>
      <c r="K611" s="58">
        <v>27.4</v>
      </c>
      <c r="L611" s="22">
        <v>25.4</v>
      </c>
      <c r="M611" s="22">
        <v>22.6</v>
      </c>
      <c r="N611" s="40">
        <f t="shared" si="27"/>
        <v>0.92700729927007297</v>
      </c>
      <c r="O611" s="40">
        <f t="shared" si="30"/>
        <v>0.82481751824817529</v>
      </c>
      <c r="P611">
        <v>3</v>
      </c>
      <c r="Q611" s="72">
        <f>VLOOKUP('All inst data'!A611,'all mice (except april 2012)'!$A$2:$G$218,7,FALSE)</f>
        <v>86</v>
      </c>
      <c r="AL611" s="65"/>
      <c r="AM611" s="65"/>
      <c r="AN611" s="65"/>
      <c r="AO611" s="65"/>
      <c r="AP611" s="65"/>
      <c r="AQ611" s="65"/>
      <c r="AR611" s="65"/>
      <c r="AS611" s="65"/>
    </row>
    <row r="612" spans="1:45" x14ac:dyDescent="0.25">
      <c r="A612" s="58">
        <v>209</v>
      </c>
      <c r="B612" s="58">
        <v>25</v>
      </c>
      <c r="C612" s="58">
        <v>9</v>
      </c>
      <c r="D612" s="58">
        <v>2</v>
      </c>
      <c r="E612" s="58">
        <v>140111</v>
      </c>
      <c r="F612" s="58">
        <v>93430</v>
      </c>
      <c r="G612" s="58" t="s">
        <v>56</v>
      </c>
      <c r="H612" s="58">
        <v>11</v>
      </c>
      <c r="I612" s="58">
        <v>4</v>
      </c>
      <c r="J612" s="58">
        <v>4</v>
      </c>
      <c r="K612" s="58">
        <v>25.8</v>
      </c>
      <c r="L612" s="22">
        <v>22.9</v>
      </c>
      <c r="M612" s="22">
        <v>20.7</v>
      </c>
      <c r="N612" s="40">
        <f t="shared" si="27"/>
        <v>0.88759689922480611</v>
      </c>
      <c r="O612" s="40">
        <f t="shared" si="30"/>
        <v>0.80232558139534882</v>
      </c>
      <c r="P612">
        <v>3</v>
      </c>
      <c r="Q612" s="72">
        <f>VLOOKUP('All inst data'!A612,'all mice (except april 2012)'!$A$2:$G$218,7,FALSE)</f>
        <v>86</v>
      </c>
      <c r="AL612" s="65"/>
      <c r="AM612" s="65"/>
      <c r="AN612" s="65"/>
      <c r="AO612" s="65"/>
      <c r="AP612" s="65"/>
      <c r="AQ612" s="65"/>
      <c r="AR612" s="65"/>
      <c r="AS612" s="65"/>
    </row>
    <row r="613" spans="1:45" x14ac:dyDescent="0.25">
      <c r="A613" s="58">
        <v>210</v>
      </c>
      <c r="B613" s="58">
        <v>26</v>
      </c>
      <c r="C613" s="58">
        <v>9</v>
      </c>
      <c r="D613" s="58">
        <v>2</v>
      </c>
      <c r="E613" s="58">
        <v>140111</v>
      </c>
      <c r="F613" s="58">
        <v>93430</v>
      </c>
      <c r="G613" s="58" t="s">
        <v>56</v>
      </c>
      <c r="H613" s="58">
        <v>12</v>
      </c>
      <c r="I613" s="58">
        <v>2</v>
      </c>
      <c r="J613" s="58">
        <v>2</v>
      </c>
      <c r="K613" s="58">
        <v>24.2</v>
      </c>
      <c r="L613" s="22">
        <v>22.3</v>
      </c>
      <c r="M613" s="22">
        <v>20.100000000000001</v>
      </c>
      <c r="N613" s="40">
        <f t="shared" si="27"/>
        <v>0.92148760330578516</v>
      </c>
      <c r="O613" s="40">
        <f t="shared" si="30"/>
        <v>0.83057851239669434</v>
      </c>
      <c r="P613">
        <v>3</v>
      </c>
      <c r="Q613" s="72">
        <f>VLOOKUP('All inst data'!A613,'all mice (except april 2012)'!$A$2:$G$218,7,FALSE)</f>
        <v>86</v>
      </c>
      <c r="AL613" s="65"/>
      <c r="AM613" s="65"/>
      <c r="AN613" s="65"/>
      <c r="AO613" s="65"/>
      <c r="AP613" s="65"/>
      <c r="AQ613" s="65"/>
      <c r="AR613" s="65"/>
      <c r="AS613" s="65"/>
    </row>
    <row r="614" spans="1:45" x14ac:dyDescent="0.25">
      <c r="A614" s="58">
        <v>199</v>
      </c>
      <c r="B614" s="58">
        <v>15</v>
      </c>
      <c r="C614" s="58">
        <v>9</v>
      </c>
      <c r="D614" s="22">
        <v>3</v>
      </c>
      <c r="E614" s="58">
        <v>140112</v>
      </c>
      <c r="F614" s="58">
        <v>94811</v>
      </c>
      <c r="G614" s="58" t="s">
        <v>4</v>
      </c>
      <c r="H614" s="58">
        <v>1</v>
      </c>
      <c r="I614" s="58">
        <v>0</v>
      </c>
      <c r="J614" s="58">
        <v>0</v>
      </c>
      <c r="K614" s="58">
        <v>26.4</v>
      </c>
      <c r="L614" s="22">
        <v>23.3</v>
      </c>
      <c r="M614" s="22">
        <v>21</v>
      </c>
      <c r="N614" s="40">
        <f t="shared" si="27"/>
        <v>0.88257575757575768</v>
      </c>
      <c r="O614" s="40">
        <f t="shared" si="30"/>
        <v>0.79545454545454553</v>
      </c>
      <c r="P614" t="s">
        <v>139</v>
      </c>
      <c r="Q614" s="72">
        <f>VLOOKUP('All inst data'!A614,'all mice (except april 2012)'!$A$2:$G$218,7,FALSE)</f>
        <v>86</v>
      </c>
      <c r="AL614" s="65"/>
      <c r="AM614" s="65"/>
      <c r="AN614" s="65"/>
      <c r="AO614" s="65"/>
      <c r="AP614" s="65"/>
      <c r="AQ614" s="65"/>
      <c r="AR614" s="65"/>
      <c r="AS614" s="65"/>
    </row>
    <row r="615" spans="1:45" x14ac:dyDescent="0.25">
      <c r="A615" s="58">
        <v>200</v>
      </c>
      <c r="B615" s="58">
        <v>16</v>
      </c>
      <c r="C615" s="58">
        <v>9</v>
      </c>
      <c r="D615" s="58">
        <v>3</v>
      </c>
      <c r="E615" s="58">
        <v>140112</v>
      </c>
      <c r="F615" s="58">
        <v>94811</v>
      </c>
      <c r="G615" s="58" t="s">
        <v>4</v>
      </c>
      <c r="H615" s="58">
        <v>2</v>
      </c>
      <c r="I615" s="58">
        <v>0</v>
      </c>
      <c r="J615" s="58">
        <v>0</v>
      </c>
      <c r="K615" s="58">
        <v>22.5</v>
      </c>
      <c r="L615" s="22">
        <v>20.5</v>
      </c>
      <c r="M615" s="22">
        <v>18.7</v>
      </c>
      <c r="N615" s="40">
        <f t="shared" si="27"/>
        <v>0.91111111111111109</v>
      </c>
      <c r="O615" s="40">
        <f t="shared" si="30"/>
        <v>0.83111111111111113</v>
      </c>
      <c r="P615" s="58" t="s">
        <v>139</v>
      </c>
      <c r="Q615" s="72">
        <f>VLOOKUP('All inst data'!A615,'all mice (except april 2012)'!$A$2:$G$218,7,FALSE)</f>
        <v>86</v>
      </c>
      <c r="AL615" s="65"/>
      <c r="AM615" s="65"/>
      <c r="AN615" s="65"/>
      <c r="AO615" s="65"/>
      <c r="AP615" s="65"/>
      <c r="AQ615" s="65"/>
      <c r="AR615" s="65"/>
      <c r="AS615" s="65"/>
    </row>
    <row r="616" spans="1:45" x14ac:dyDescent="0.25">
      <c r="A616" s="58">
        <v>201</v>
      </c>
      <c r="B616" s="58">
        <v>17</v>
      </c>
      <c r="C616" s="58">
        <v>9</v>
      </c>
      <c r="D616" s="58">
        <v>3</v>
      </c>
      <c r="E616" s="58">
        <v>140112</v>
      </c>
      <c r="F616" s="58">
        <v>94811</v>
      </c>
      <c r="G616" s="58" t="s">
        <v>4</v>
      </c>
      <c r="H616" s="58">
        <v>3</v>
      </c>
      <c r="I616" s="58">
        <v>0</v>
      </c>
      <c r="J616" s="58">
        <v>0</v>
      </c>
      <c r="K616" s="58">
        <v>23.9</v>
      </c>
      <c r="L616" s="22">
        <v>21.4</v>
      </c>
      <c r="M616" s="22">
        <v>19.600000000000001</v>
      </c>
      <c r="N616" s="40">
        <f t="shared" si="27"/>
        <v>0.89539748953974896</v>
      </c>
      <c r="O616" s="40">
        <f t="shared" si="30"/>
        <v>0.82008368200836834</v>
      </c>
      <c r="P616" s="58" t="s">
        <v>139</v>
      </c>
      <c r="Q616" s="72">
        <f>VLOOKUP('All inst data'!A616,'all mice (except april 2012)'!$A$2:$G$218,7,FALSE)</f>
        <v>86</v>
      </c>
      <c r="AL616" s="65"/>
      <c r="AM616" s="65"/>
      <c r="AN616" s="65"/>
      <c r="AO616" s="65"/>
      <c r="AP616" s="65"/>
      <c r="AQ616" s="65"/>
      <c r="AR616" s="65"/>
      <c r="AS616" s="65"/>
    </row>
    <row r="617" spans="1:45" x14ac:dyDescent="0.25">
      <c r="A617" s="58">
        <v>202</v>
      </c>
      <c r="B617" s="58">
        <v>18</v>
      </c>
      <c r="C617" s="58">
        <v>9</v>
      </c>
      <c r="D617" s="58">
        <v>3</v>
      </c>
      <c r="E617" s="58">
        <v>140112</v>
      </c>
      <c r="F617" s="58">
        <v>94812</v>
      </c>
      <c r="G617" s="58" t="s">
        <v>2</v>
      </c>
      <c r="H617" s="58">
        <v>4</v>
      </c>
      <c r="I617" s="58">
        <v>280</v>
      </c>
      <c r="J617" s="58">
        <v>125</v>
      </c>
      <c r="K617" s="58">
        <v>25.7</v>
      </c>
      <c r="L617" s="22">
        <v>22.4</v>
      </c>
      <c r="M617" s="22">
        <v>20.9</v>
      </c>
      <c r="N617" s="40">
        <f t="shared" si="27"/>
        <v>0.87159533073929962</v>
      </c>
      <c r="O617" s="40">
        <f t="shared" si="30"/>
        <v>0.8132295719844358</v>
      </c>
      <c r="P617" s="58" t="s">
        <v>139</v>
      </c>
      <c r="Q617" s="72">
        <f>VLOOKUP('All inst data'!A617,'all mice (except april 2012)'!$A$2:$G$218,7,FALSE)</f>
        <v>93</v>
      </c>
      <c r="AL617" s="65"/>
      <c r="AM617" s="65"/>
      <c r="AN617" s="65"/>
      <c r="AO617" s="65"/>
      <c r="AP617" s="65"/>
      <c r="AQ617" s="65"/>
      <c r="AR617" s="65"/>
      <c r="AS617" s="65"/>
    </row>
    <row r="618" spans="1:45" x14ac:dyDescent="0.25">
      <c r="A618" s="58">
        <v>203</v>
      </c>
      <c r="B618" s="58">
        <v>19</v>
      </c>
      <c r="C618" s="58">
        <v>9</v>
      </c>
      <c r="D618" s="58">
        <v>3</v>
      </c>
      <c r="E618" s="58">
        <v>140112</v>
      </c>
      <c r="F618" s="58">
        <v>94812</v>
      </c>
      <c r="G618" s="58" t="s">
        <v>2</v>
      </c>
      <c r="H618" s="58">
        <v>5</v>
      </c>
      <c r="I618" s="58">
        <v>675</v>
      </c>
      <c r="J618" s="58">
        <v>201</v>
      </c>
      <c r="K618" s="58">
        <v>24.9</v>
      </c>
      <c r="L618" s="22">
        <v>22.8</v>
      </c>
      <c r="M618" s="22">
        <v>20.8</v>
      </c>
      <c r="N618" s="40">
        <f t="shared" si="27"/>
        <v>0.9156626506024097</v>
      </c>
      <c r="O618" s="40">
        <f t="shared" si="30"/>
        <v>0.83534136546184745</v>
      </c>
      <c r="P618" s="58" t="s">
        <v>139</v>
      </c>
      <c r="Q618" s="72">
        <f>VLOOKUP('All inst data'!A618,'all mice (except april 2012)'!$A$2:$G$218,7,FALSE)</f>
        <v>93</v>
      </c>
      <c r="AL618" s="65"/>
      <c r="AM618" s="65"/>
      <c r="AN618" s="65"/>
      <c r="AO618" s="65"/>
      <c r="AP618" s="65"/>
      <c r="AQ618" s="65"/>
      <c r="AR618" s="65"/>
      <c r="AS618" s="65"/>
    </row>
    <row r="619" spans="1:45" x14ac:dyDescent="0.25">
      <c r="A619" s="58">
        <v>204</v>
      </c>
      <c r="B619" s="58">
        <v>20</v>
      </c>
      <c r="C619" s="58">
        <v>9</v>
      </c>
      <c r="D619" s="58">
        <v>3</v>
      </c>
      <c r="E619" s="58">
        <v>140112</v>
      </c>
      <c r="F619" s="58">
        <v>94812</v>
      </c>
      <c r="G619" s="58" t="s">
        <v>2</v>
      </c>
      <c r="H619" s="58">
        <v>6</v>
      </c>
      <c r="I619" s="58">
        <v>1744</v>
      </c>
      <c r="J619" s="58">
        <v>417</v>
      </c>
      <c r="K619" s="58">
        <v>23.9</v>
      </c>
      <c r="L619" s="22">
        <v>21.4</v>
      </c>
      <c r="M619" s="22">
        <v>20.2</v>
      </c>
      <c r="N619" s="40">
        <f t="shared" ref="N619:N652" si="31">L619/K619</f>
        <v>0.89539748953974896</v>
      </c>
      <c r="O619" s="40">
        <f t="shared" si="30"/>
        <v>0.84518828451882844</v>
      </c>
      <c r="P619" s="58" t="s">
        <v>139</v>
      </c>
      <c r="Q619" s="72">
        <f>VLOOKUP('All inst data'!A619,'all mice (except april 2012)'!$A$2:$G$218,7,FALSE)</f>
        <v>93</v>
      </c>
      <c r="AL619" s="65"/>
      <c r="AM619" s="65"/>
      <c r="AN619" s="65"/>
      <c r="AO619" s="65"/>
      <c r="AP619" s="65"/>
      <c r="AQ619" s="65"/>
      <c r="AR619" s="65"/>
      <c r="AS619" s="65"/>
    </row>
    <row r="620" spans="1:45" x14ac:dyDescent="0.25">
      <c r="A620" s="58">
        <v>205</v>
      </c>
      <c r="B620" s="58">
        <v>21</v>
      </c>
      <c r="C620" s="58">
        <v>9</v>
      </c>
      <c r="D620" s="58">
        <v>3</v>
      </c>
      <c r="E620" s="58">
        <v>140112</v>
      </c>
      <c r="F620" s="58">
        <v>94812</v>
      </c>
      <c r="G620" s="58" t="s">
        <v>5</v>
      </c>
      <c r="H620" s="58">
        <v>7</v>
      </c>
      <c r="I620" s="58">
        <v>2196</v>
      </c>
      <c r="J620" s="58">
        <v>500</v>
      </c>
      <c r="K620" s="58">
        <v>28.8</v>
      </c>
      <c r="L620" s="22">
        <v>25.9</v>
      </c>
      <c r="M620" s="22">
        <v>24.2</v>
      </c>
      <c r="N620" s="40">
        <f t="shared" si="31"/>
        <v>0.89930555555555547</v>
      </c>
      <c r="O620" s="40">
        <f t="shared" si="30"/>
        <v>0.84027777777777768</v>
      </c>
      <c r="P620" s="58" t="s">
        <v>139</v>
      </c>
      <c r="Q620" s="72">
        <f>VLOOKUP('All inst data'!A620,'all mice (except april 2012)'!$A$2:$G$218,7,FALSE)</f>
        <v>93</v>
      </c>
      <c r="AL620" s="65"/>
      <c r="AM620" s="65"/>
      <c r="AN620" s="65"/>
      <c r="AO620" s="65"/>
      <c r="AP620" s="65"/>
      <c r="AQ620" s="65"/>
      <c r="AR620" s="65"/>
      <c r="AS620" s="65"/>
    </row>
    <row r="621" spans="1:45" x14ac:dyDescent="0.25">
      <c r="A621" s="58">
        <v>206</v>
      </c>
      <c r="B621" s="58">
        <v>22</v>
      </c>
      <c r="C621" s="58">
        <v>9</v>
      </c>
      <c r="D621" s="58">
        <v>3</v>
      </c>
      <c r="E621" s="58">
        <v>140112</v>
      </c>
      <c r="F621" s="58">
        <v>94812</v>
      </c>
      <c r="G621" s="58" t="s">
        <v>3</v>
      </c>
      <c r="H621" s="58">
        <v>8</v>
      </c>
      <c r="I621" s="58">
        <v>2159</v>
      </c>
      <c r="J621" s="58">
        <v>500</v>
      </c>
      <c r="K621" s="58">
        <v>25.8</v>
      </c>
      <c r="L621" s="22">
        <v>22.3</v>
      </c>
      <c r="M621" s="22">
        <v>20.6</v>
      </c>
      <c r="N621" s="40">
        <f t="shared" si="31"/>
        <v>0.86434108527131781</v>
      </c>
      <c r="O621" s="40">
        <f t="shared" si="30"/>
        <v>0.79844961240310086</v>
      </c>
      <c r="P621" s="58" t="s">
        <v>139</v>
      </c>
      <c r="Q621" s="72">
        <f>VLOOKUP('All inst data'!A621,'all mice (except april 2012)'!$A$2:$G$218,7,FALSE)</f>
        <v>93</v>
      </c>
      <c r="AL621" s="65"/>
      <c r="AM621" s="65"/>
      <c r="AN621" s="65"/>
      <c r="AO621" s="65"/>
      <c r="AP621" s="65"/>
      <c r="AQ621" s="65"/>
      <c r="AR621" s="65"/>
      <c r="AS621" s="65"/>
    </row>
    <row r="622" spans="1:45" x14ac:dyDescent="0.25">
      <c r="A622" s="58">
        <v>207</v>
      </c>
      <c r="B622" s="58">
        <v>23</v>
      </c>
      <c r="C622" s="58">
        <v>9</v>
      </c>
      <c r="D622" s="58">
        <v>3</v>
      </c>
      <c r="E622" s="58">
        <v>140112</v>
      </c>
      <c r="F622" s="58">
        <v>94812</v>
      </c>
      <c r="G622" s="58" t="s">
        <v>3</v>
      </c>
      <c r="H622" s="58">
        <v>9</v>
      </c>
      <c r="I622" s="58">
        <v>2174</v>
      </c>
      <c r="J622" s="58">
        <v>500</v>
      </c>
      <c r="K622" s="58">
        <v>24.9</v>
      </c>
      <c r="L622" s="22">
        <v>22.9</v>
      </c>
      <c r="M622" s="22">
        <v>20.8</v>
      </c>
      <c r="N622" s="40">
        <f t="shared" si="31"/>
        <v>0.91967871485943775</v>
      </c>
      <c r="O622" s="40">
        <f t="shared" si="30"/>
        <v>0.83534136546184745</v>
      </c>
      <c r="P622" s="58" t="s">
        <v>139</v>
      </c>
      <c r="Q622" s="72">
        <f>VLOOKUP('All inst data'!A622,'all mice (except april 2012)'!$A$2:$G$218,7,FALSE)</f>
        <v>93</v>
      </c>
      <c r="AL622" s="65"/>
      <c r="AM622" s="65"/>
      <c r="AN622" s="65"/>
      <c r="AO622" s="65"/>
      <c r="AP622" s="65"/>
      <c r="AQ622" s="65"/>
      <c r="AR622" s="65"/>
      <c r="AS622" s="65"/>
    </row>
    <row r="623" spans="1:45" x14ac:dyDescent="0.25">
      <c r="A623" s="58">
        <v>208</v>
      </c>
      <c r="B623" s="58">
        <v>24</v>
      </c>
      <c r="C623" s="58">
        <v>9</v>
      </c>
      <c r="D623" s="58">
        <v>3</v>
      </c>
      <c r="E623" s="58">
        <v>140112</v>
      </c>
      <c r="F623" s="58">
        <v>94812</v>
      </c>
      <c r="G623" s="58" t="s">
        <v>56</v>
      </c>
      <c r="H623" s="58">
        <v>10</v>
      </c>
      <c r="I623" s="58">
        <v>1</v>
      </c>
      <c r="J623" s="58">
        <v>1</v>
      </c>
      <c r="K623" s="58">
        <v>27.4</v>
      </c>
      <c r="L623" s="22">
        <v>25.3</v>
      </c>
      <c r="M623" s="22">
        <v>22.4</v>
      </c>
      <c r="N623" s="40">
        <f t="shared" si="31"/>
        <v>0.92335766423357668</v>
      </c>
      <c r="O623" s="40">
        <f t="shared" si="30"/>
        <v>0.81751824817518248</v>
      </c>
      <c r="P623" s="58" t="s">
        <v>139</v>
      </c>
      <c r="Q623" s="72">
        <f>VLOOKUP('All inst data'!A623,'all mice (except april 2012)'!$A$2:$G$218,7,FALSE)</f>
        <v>86</v>
      </c>
    </row>
    <row r="624" spans="1:45" x14ac:dyDescent="0.25">
      <c r="A624" s="58">
        <v>209</v>
      </c>
      <c r="B624" s="58">
        <v>25</v>
      </c>
      <c r="C624" s="58">
        <v>9</v>
      </c>
      <c r="D624" s="58">
        <v>3</v>
      </c>
      <c r="E624" s="58">
        <v>140112</v>
      </c>
      <c r="F624" s="58">
        <v>94812</v>
      </c>
      <c r="G624" s="58" t="s">
        <v>56</v>
      </c>
      <c r="H624" s="58">
        <v>11</v>
      </c>
      <c r="I624" s="58">
        <v>1619</v>
      </c>
      <c r="J624" s="58">
        <v>391</v>
      </c>
      <c r="K624" s="58">
        <v>25.8</v>
      </c>
      <c r="L624" s="22">
        <v>23.2</v>
      </c>
      <c r="M624" s="22">
        <v>20.6</v>
      </c>
      <c r="N624" s="40">
        <f t="shared" si="31"/>
        <v>0.89922480620155032</v>
      </c>
      <c r="O624" s="40">
        <f t="shared" si="30"/>
        <v>0.79844961240310086</v>
      </c>
      <c r="P624" s="58" t="s">
        <v>139</v>
      </c>
      <c r="Q624" s="72">
        <f>VLOOKUP('All inst data'!A624,'all mice (except april 2012)'!$A$2:$G$218,7,FALSE)</f>
        <v>86</v>
      </c>
    </row>
    <row r="625" spans="1:17" x14ac:dyDescent="0.25">
      <c r="A625" s="58">
        <v>210</v>
      </c>
      <c r="B625" s="58">
        <v>26</v>
      </c>
      <c r="C625" s="58">
        <v>9</v>
      </c>
      <c r="D625" s="58">
        <v>3</v>
      </c>
      <c r="E625" s="58">
        <v>140112</v>
      </c>
      <c r="F625" s="58">
        <v>94812</v>
      </c>
      <c r="G625" s="58" t="s">
        <v>56</v>
      </c>
      <c r="H625" s="58">
        <v>12</v>
      </c>
      <c r="I625" s="58">
        <v>0</v>
      </c>
      <c r="J625" s="58">
        <v>0</v>
      </c>
      <c r="K625" s="58">
        <v>24.2</v>
      </c>
      <c r="L625" s="22">
        <v>22.6</v>
      </c>
      <c r="M625" s="22">
        <v>19.7</v>
      </c>
      <c r="N625" s="40">
        <f t="shared" si="31"/>
        <v>0.93388429752066127</v>
      </c>
      <c r="O625" s="40">
        <f t="shared" si="30"/>
        <v>0.81404958677685946</v>
      </c>
      <c r="P625" s="58" t="s">
        <v>139</v>
      </c>
      <c r="Q625" s="72">
        <f>VLOOKUP('All inst data'!A625,'all mice (except april 2012)'!$A$2:$G$218,7,FALSE)</f>
        <v>86</v>
      </c>
    </row>
    <row r="626" spans="1:17" x14ac:dyDescent="0.25">
      <c r="A626" s="65">
        <v>211</v>
      </c>
      <c r="B626" s="65">
        <v>1</v>
      </c>
      <c r="C626" s="22">
        <v>10</v>
      </c>
      <c r="D626" s="22">
        <v>1</v>
      </c>
      <c r="E626" s="65">
        <v>140120</v>
      </c>
      <c r="F626" s="65">
        <v>101529</v>
      </c>
      <c r="G626" s="65" t="s">
        <v>6</v>
      </c>
      <c r="H626" s="65">
        <v>1</v>
      </c>
      <c r="I626" s="65">
        <v>19</v>
      </c>
      <c r="J626" s="65">
        <v>17</v>
      </c>
      <c r="K626" s="72">
        <v>29.5</v>
      </c>
      <c r="L626" s="22">
        <v>26.8</v>
      </c>
      <c r="M626" s="22">
        <v>24</v>
      </c>
      <c r="N626" s="40">
        <f t="shared" si="31"/>
        <v>0.90847457627118644</v>
      </c>
      <c r="O626" s="40">
        <f t="shared" si="30"/>
        <v>0.81355932203389836</v>
      </c>
      <c r="P626">
        <v>3.1</v>
      </c>
      <c r="Q626" s="72">
        <f>VLOOKUP('All inst data'!A626,'all mice (except april 2012)'!$A$2:$G$218,7,FALSE)</f>
        <v>89</v>
      </c>
    </row>
    <row r="627" spans="1:17" x14ac:dyDescent="0.25">
      <c r="A627" s="65">
        <v>212</v>
      </c>
      <c r="B627" s="65">
        <v>2</v>
      </c>
      <c r="C627" s="65">
        <v>10</v>
      </c>
      <c r="D627" s="65">
        <v>1</v>
      </c>
      <c r="E627" s="65">
        <v>140120</v>
      </c>
      <c r="F627" s="65">
        <v>101530</v>
      </c>
      <c r="G627" s="65" t="s">
        <v>6</v>
      </c>
      <c r="H627" s="65">
        <v>2</v>
      </c>
      <c r="I627" s="65">
        <v>4</v>
      </c>
      <c r="J627" s="65">
        <v>4</v>
      </c>
      <c r="K627" s="72">
        <v>29.9</v>
      </c>
      <c r="L627" s="22">
        <v>27</v>
      </c>
      <c r="M627" s="22">
        <v>24.5</v>
      </c>
      <c r="N627" s="40">
        <f t="shared" si="31"/>
        <v>0.90301003344481612</v>
      </c>
      <c r="O627" s="40">
        <f t="shared" si="30"/>
        <v>0.8193979933110368</v>
      </c>
      <c r="P627">
        <v>3.1</v>
      </c>
      <c r="Q627" s="72">
        <f>VLOOKUP('All inst data'!A627,'all mice (except april 2012)'!$A$2:$G$218,7,FALSE)</f>
        <v>89</v>
      </c>
    </row>
    <row r="628" spans="1:17" x14ac:dyDescent="0.25">
      <c r="A628" s="65">
        <v>213</v>
      </c>
      <c r="B628" s="65">
        <v>3</v>
      </c>
      <c r="C628" s="65">
        <v>10</v>
      </c>
      <c r="D628" s="65">
        <v>1</v>
      </c>
      <c r="E628" s="65">
        <v>140120</v>
      </c>
      <c r="F628" s="65">
        <v>101530</v>
      </c>
      <c r="G628" s="65" t="s">
        <v>6</v>
      </c>
      <c r="H628" s="65">
        <v>3</v>
      </c>
      <c r="I628" s="65">
        <v>5</v>
      </c>
      <c r="J628" s="65">
        <v>5</v>
      </c>
      <c r="K628" s="72">
        <v>31.1</v>
      </c>
      <c r="L628" s="22">
        <v>28</v>
      </c>
      <c r="M628" s="22">
        <v>26.3</v>
      </c>
      <c r="N628" s="40">
        <f t="shared" si="31"/>
        <v>0.90032154340836013</v>
      </c>
      <c r="O628" s="40">
        <f t="shared" si="30"/>
        <v>0.84565916398713825</v>
      </c>
      <c r="P628">
        <v>3.1</v>
      </c>
      <c r="Q628" s="72">
        <f>VLOOKUP('All inst data'!A628,'all mice (except april 2012)'!$A$2:$G$218,7,FALSE)</f>
        <v>89</v>
      </c>
    </row>
    <row r="629" spans="1:17" x14ac:dyDescent="0.25">
      <c r="A629" s="65">
        <v>214</v>
      </c>
      <c r="B629" s="65">
        <v>4</v>
      </c>
      <c r="C629" s="65">
        <v>10</v>
      </c>
      <c r="D629" s="65">
        <v>1</v>
      </c>
      <c r="E629" s="65">
        <v>140120</v>
      </c>
      <c r="F629" s="65">
        <v>102035</v>
      </c>
      <c r="G629" s="65" t="s">
        <v>187</v>
      </c>
      <c r="H629" s="65">
        <v>4</v>
      </c>
      <c r="I629" s="65">
        <v>327</v>
      </c>
      <c r="J629" s="65">
        <v>125</v>
      </c>
      <c r="K629" s="72">
        <v>25.7</v>
      </c>
      <c r="L629" s="22">
        <v>22.8</v>
      </c>
      <c r="M629" s="22">
        <v>21.4</v>
      </c>
      <c r="N629" s="40">
        <f t="shared" si="31"/>
        <v>0.88715953307393003</v>
      </c>
      <c r="O629" s="40">
        <f t="shared" si="30"/>
        <v>0.83268482490272366</v>
      </c>
      <c r="P629">
        <v>2.2999999999999998</v>
      </c>
      <c r="Q629" s="72">
        <f>VLOOKUP('All inst data'!A629,'all mice (except april 2012)'!$A$2:$G$218,7,FALSE)</f>
        <v>95</v>
      </c>
    </row>
    <row r="630" spans="1:17" x14ac:dyDescent="0.25">
      <c r="A630" s="65">
        <v>215</v>
      </c>
      <c r="B630" s="65">
        <v>5</v>
      </c>
      <c r="C630" s="65">
        <v>10</v>
      </c>
      <c r="D630" s="65">
        <v>1</v>
      </c>
      <c r="E630" s="65">
        <v>140120</v>
      </c>
      <c r="F630" s="65">
        <v>102035</v>
      </c>
      <c r="G630" s="65" t="s">
        <v>187</v>
      </c>
      <c r="H630" s="65">
        <v>5</v>
      </c>
      <c r="I630" s="65">
        <v>2098</v>
      </c>
      <c r="J630" s="65">
        <v>465</v>
      </c>
      <c r="K630" s="72">
        <v>25</v>
      </c>
      <c r="L630" s="22">
        <v>23.3</v>
      </c>
      <c r="M630" s="22">
        <v>22.2</v>
      </c>
      <c r="N630" s="40">
        <f t="shared" si="31"/>
        <v>0.93200000000000005</v>
      </c>
      <c r="O630" s="40">
        <f t="shared" si="30"/>
        <v>0.88800000000000001</v>
      </c>
      <c r="P630">
        <v>2.2999999999999998</v>
      </c>
      <c r="Q630" s="72">
        <f>VLOOKUP('All inst data'!A630,'all mice (except april 2012)'!$A$2:$G$218,7,FALSE)</f>
        <v>95</v>
      </c>
    </row>
    <row r="631" spans="1:17" x14ac:dyDescent="0.25">
      <c r="A631" s="65">
        <v>216</v>
      </c>
      <c r="B631" s="65">
        <v>6</v>
      </c>
      <c r="C631" s="65">
        <v>10</v>
      </c>
      <c r="D631" s="65">
        <v>1</v>
      </c>
      <c r="E631" s="65">
        <v>140120</v>
      </c>
      <c r="F631" s="65">
        <v>102035</v>
      </c>
      <c r="G631" s="65" t="s">
        <v>187</v>
      </c>
      <c r="H631" s="65">
        <v>6</v>
      </c>
      <c r="I631" s="65">
        <v>1762</v>
      </c>
      <c r="J631" s="65">
        <v>415</v>
      </c>
      <c r="K631" s="72">
        <v>27.9</v>
      </c>
      <c r="L631" s="22">
        <v>24.8</v>
      </c>
      <c r="M631" s="22">
        <v>23.4</v>
      </c>
      <c r="N631" s="40">
        <f t="shared" si="31"/>
        <v>0.88888888888888895</v>
      </c>
      <c r="O631" s="40">
        <f t="shared" si="30"/>
        <v>0.83870967741935487</v>
      </c>
      <c r="P631">
        <v>2.2999999999999998</v>
      </c>
      <c r="Q631" s="72">
        <f>VLOOKUP('All inst data'!A631,'all mice (except april 2012)'!$A$2:$G$218,7,FALSE)</f>
        <v>95</v>
      </c>
    </row>
    <row r="632" spans="1:17" x14ac:dyDescent="0.25">
      <c r="A632" s="65">
        <v>217</v>
      </c>
      <c r="B632" s="65">
        <v>7</v>
      </c>
      <c r="C632" s="65">
        <v>10</v>
      </c>
      <c r="D632" s="65">
        <v>1</v>
      </c>
      <c r="E632" s="65">
        <v>140120</v>
      </c>
      <c r="F632" s="65">
        <v>102514</v>
      </c>
      <c r="G632" s="65" t="s">
        <v>1</v>
      </c>
      <c r="H632" s="65">
        <v>7</v>
      </c>
      <c r="I632" s="65">
        <v>13</v>
      </c>
      <c r="J632" s="65">
        <v>13</v>
      </c>
      <c r="K632" s="72">
        <v>24.1</v>
      </c>
      <c r="L632" s="22">
        <v>24.4</v>
      </c>
      <c r="M632" s="22">
        <v>21.5</v>
      </c>
      <c r="N632" s="40">
        <f t="shared" si="31"/>
        <v>1.0124481327800829</v>
      </c>
      <c r="O632" s="40">
        <f t="shared" si="30"/>
        <v>0.89211618257261405</v>
      </c>
      <c r="P632">
        <v>3</v>
      </c>
      <c r="Q632" s="72">
        <f>VLOOKUP('All inst data'!A632,'all mice (except april 2012)'!$A$2:$G$218,7,FALSE)</f>
        <v>68</v>
      </c>
    </row>
    <row r="633" spans="1:17" x14ac:dyDescent="0.25">
      <c r="A633" s="65">
        <v>218</v>
      </c>
      <c r="B633" s="65">
        <v>8</v>
      </c>
      <c r="C633" s="65">
        <v>10</v>
      </c>
      <c r="D633" s="65">
        <v>1</v>
      </c>
      <c r="E633" s="65">
        <v>140120</v>
      </c>
      <c r="F633" s="65">
        <v>102514</v>
      </c>
      <c r="G633" s="65" t="s">
        <v>1</v>
      </c>
      <c r="H633" s="65">
        <v>10</v>
      </c>
      <c r="I633" s="65">
        <v>7</v>
      </c>
      <c r="J633" s="65">
        <v>7</v>
      </c>
      <c r="K633" s="72">
        <v>23.9</v>
      </c>
      <c r="L633" s="22">
        <v>19.899999999999999</v>
      </c>
      <c r="M633" s="22">
        <v>18.899999999999999</v>
      </c>
      <c r="N633" s="40">
        <f t="shared" si="31"/>
        <v>0.83263598326359833</v>
      </c>
      <c r="O633" s="40">
        <f t="shared" si="30"/>
        <v>0.79079497907949792</v>
      </c>
      <c r="P633">
        <v>3</v>
      </c>
      <c r="Q633" s="72">
        <f>VLOOKUP('All inst data'!A633,'all mice (except april 2012)'!$A$2:$G$218,7,FALSE)</f>
        <v>68</v>
      </c>
    </row>
    <row r="634" spans="1:17" x14ac:dyDescent="0.25">
      <c r="A634" s="65">
        <v>219</v>
      </c>
      <c r="B634" s="65">
        <v>9</v>
      </c>
      <c r="C634" s="65">
        <v>10</v>
      </c>
      <c r="D634" s="65">
        <v>1</v>
      </c>
      <c r="E634" s="65">
        <v>140120</v>
      </c>
      <c r="F634" s="65">
        <v>102514</v>
      </c>
      <c r="G634" s="65" t="s">
        <v>1</v>
      </c>
      <c r="H634" s="65">
        <v>12</v>
      </c>
      <c r="I634" s="65">
        <v>8</v>
      </c>
      <c r="J634" s="65">
        <v>8</v>
      </c>
      <c r="K634" s="72">
        <v>25</v>
      </c>
      <c r="L634" s="22">
        <v>22.7</v>
      </c>
      <c r="M634" s="22">
        <v>20.9</v>
      </c>
      <c r="N634" s="40">
        <f t="shared" si="31"/>
        <v>0.90799999999999992</v>
      </c>
      <c r="O634" s="40">
        <f t="shared" si="30"/>
        <v>0.83599999999999997</v>
      </c>
      <c r="P634">
        <v>3.2</v>
      </c>
      <c r="Q634" s="72">
        <f>VLOOKUP('All inst data'!A634,'all mice (except april 2012)'!$A$2:$G$218,7,FALSE)</f>
        <v>68</v>
      </c>
    </row>
    <row r="635" spans="1:17" x14ac:dyDescent="0.25">
      <c r="A635" s="65">
        <v>211</v>
      </c>
      <c r="B635" s="65">
        <v>1</v>
      </c>
      <c r="C635" s="65">
        <v>10</v>
      </c>
      <c r="D635" s="22">
        <v>2</v>
      </c>
      <c r="E635" s="65">
        <v>140121</v>
      </c>
      <c r="F635" s="65">
        <v>93525</v>
      </c>
      <c r="G635" s="65" t="s">
        <v>6</v>
      </c>
      <c r="H635" s="65">
        <v>1</v>
      </c>
      <c r="I635" s="65">
        <v>1</v>
      </c>
      <c r="J635" s="65">
        <v>1</v>
      </c>
      <c r="K635" s="72">
        <v>29.5</v>
      </c>
      <c r="L635" s="22">
        <v>26.5</v>
      </c>
      <c r="M635" s="22">
        <v>24.6</v>
      </c>
      <c r="N635" s="40">
        <f t="shared" si="31"/>
        <v>0.89830508474576276</v>
      </c>
      <c r="O635" s="40">
        <f t="shared" si="30"/>
        <v>0.83389830508474583</v>
      </c>
      <c r="P635">
        <v>3.1</v>
      </c>
      <c r="Q635" s="72">
        <f>VLOOKUP('All inst data'!A635,'all mice (except april 2012)'!$A$2:$G$218,7,FALSE)</f>
        <v>89</v>
      </c>
    </row>
    <row r="636" spans="1:17" x14ac:dyDescent="0.25">
      <c r="A636" s="65">
        <v>212</v>
      </c>
      <c r="B636" s="65">
        <v>2</v>
      </c>
      <c r="C636" s="65">
        <v>10</v>
      </c>
      <c r="D636" s="65">
        <v>2</v>
      </c>
      <c r="E636" s="65">
        <v>140121</v>
      </c>
      <c r="F636" s="65">
        <v>93525</v>
      </c>
      <c r="G636" s="65" t="s">
        <v>6</v>
      </c>
      <c r="H636" s="65">
        <v>2</v>
      </c>
      <c r="I636" s="65">
        <v>1</v>
      </c>
      <c r="J636" s="65">
        <v>1</v>
      </c>
      <c r="K636" s="72">
        <v>29.9</v>
      </c>
      <c r="L636" s="22">
        <v>27.2</v>
      </c>
      <c r="M636" s="22">
        <v>25.2</v>
      </c>
      <c r="N636" s="40">
        <f t="shared" si="31"/>
        <v>0.90969899665551845</v>
      </c>
      <c r="O636" s="40">
        <f t="shared" si="30"/>
        <v>0.84280936454849498</v>
      </c>
      <c r="P636">
        <v>3.1</v>
      </c>
      <c r="Q636" s="72">
        <f>VLOOKUP('All inst data'!A636,'all mice (except april 2012)'!$A$2:$G$218,7,FALSE)</f>
        <v>89</v>
      </c>
    </row>
    <row r="637" spans="1:17" x14ac:dyDescent="0.25">
      <c r="A637" s="65">
        <v>213</v>
      </c>
      <c r="B637" s="65">
        <v>3</v>
      </c>
      <c r="C637" s="65">
        <v>10</v>
      </c>
      <c r="D637" s="65">
        <v>2</v>
      </c>
      <c r="E637" s="65">
        <v>140121</v>
      </c>
      <c r="F637" s="65">
        <v>93525</v>
      </c>
      <c r="G637" s="65" t="s">
        <v>6</v>
      </c>
      <c r="H637" s="65">
        <v>3</v>
      </c>
      <c r="I637" s="65">
        <v>0</v>
      </c>
      <c r="J637" s="65">
        <v>0</v>
      </c>
      <c r="K637" s="72">
        <v>31.1</v>
      </c>
      <c r="L637" s="22">
        <v>28.1</v>
      </c>
      <c r="M637" s="22">
        <v>26.4</v>
      </c>
      <c r="N637" s="40">
        <f t="shared" si="31"/>
        <v>0.90353697749196138</v>
      </c>
      <c r="O637" s="40">
        <f t="shared" si="30"/>
        <v>0.84887459807073951</v>
      </c>
      <c r="P637">
        <v>3.1</v>
      </c>
      <c r="Q637" s="72">
        <f>VLOOKUP('All inst data'!A637,'all mice (except april 2012)'!$A$2:$G$218,7,FALSE)</f>
        <v>89</v>
      </c>
    </row>
    <row r="638" spans="1:17" x14ac:dyDescent="0.25">
      <c r="A638" s="65">
        <v>214</v>
      </c>
      <c r="B638" s="65">
        <v>4</v>
      </c>
      <c r="C638" s="65">
        <v>10</v>
      </c>
      <c r="D638" s="65">
        <v>2</v>
      </c>
      <c r="E638" s="65">
        <v>140121</v>
      </c>
      <c r="F638" s="65">
        <v>93525</v>
      </c>
      <c r="G638" s="65" t="s">
        <v>187</v>
      </c>
      <c r="H638" s="65">
        <v>4</v>
      </c>
      <c r="I638" s="65">
        <v>631</v>
      </c>
      <c r="J638" s="65">
        <v>189</v>
      </c>
      <c r="K638" s="72">
        <v>25.7</v>
      </c>
      <c r="L638" s="22">
        <v>23.3</v>
      </c>
      <c r="M638" s="22">
        <v>21.8</v>
      </c>
      <c r="N638" s="40">
        <f t="shared" si="31"/>
        <v>0.9066147859922179</v>
      </c>
      <c r="O638" s="40">
        <f t="shared" si="30"/>
        <v>0.84824902723735418</v>
      </c>
      <c r="P638">
        <v>2.2999999999999998</v>
      </c>
      <c r="Q638" s="72">
        <f>VLOOKUP('All inst data'!A638,'all mice (except april 2012)'!$A$2:$G$218,7,FALSE)</f>
        <v>95</v>
      </c>
    </row>
    <row r="639" spans="1:17" x14ac:dyDescent="0.25">
      <c r="A639" s="65">
        <v>215</v>
      </c>
      <c r="B639" s="65">
        <v>5</v>
      </c>
      <c r="C639" s="65">
        <v>10</v>
      </c>
      <c r="D639" s="65">
        <v>2</v>
      </c>
      <c r="E639" s="65">
        <v>140121</v>
      </c>
      <c r="F639" s="65">
        <v>94317</v>
      </c>
      <c r="G639" s="65" t="s">
        <v>187</v>
      </c>
      <c r="H639" s="65">
        <v>5</v>
      </c>
      <c r="I639" s="65">
        <v>1936</v>
      </c>
      <c r="J639" s="65">
        <v>440</v>
      </c>
      <c r="K639" s="72">
        <v>25</v>
      </c>
      <c r="L639" s="22">
        <v>22.8</v>
      </c>
      <c r="M639" s="22">
        <v>22.4</v>
      </c>
      <c r="N639" s="40">
        <f t="shared" si="31"/>
        <v>0.91200000000000003</v>
      </c>
      <c r="O639" s="40">
        <f t="shared" si="30"/>
        <v>0.89599999999999991</v>
      </c>
      <c r="P639">
        <v>2.2999999999999998</v>
      </c>
      <c r="Q639" s="72">
        <f>VLOOKUP('All inst data'!A639,'all mice (except april 2012)'!$A$2:$G$218,7,FALSE)</f>
        <v>95</v>
      </c>
    </row>
    <row r="640" spans="1:17" x14ac:dyDescent="0.25">
      <c r="A640" s="65">
        <v>216</v>
      </c>
      <c r="B640" s="65">
        <v>6</v>
      </c>
      <c r="C640" s="65">
        <v>10</v>
      </c>
      <c r="D640" s="65">
        <v>2</v>
      </c>
      <c r="E640" s="65">
        <v>140121</v>
      </c>
      <c r="F640" s="65">
        <v>94318</v>
      </c>
      <c r="G640" s="65" t="s">
        <v>187</v>
      </c>
      <c r="H640" s="65">
        <v>6</v>
      </c>
      <c r="I640" s="65">
        <v>1859</v>
      </c>
      <c r="J640" s="65">
        <v>437</v>
      </c>
      <c r="K640" s="72">
        <v>27.9</v>
      </c>
      <c r="L640" s="22">
        <v>24.4</v>
      </c>
      <c r="M640" s="22">
        <v>23.8</v>
      </c>
      <c r="N640" s="40">
        <f t="shared" si="31"/>
        <v>0.87455197132616491</v>
      </c>
      <c r="O640" s="40">
        <f t="shared" si="30"/>
        <v>0.85304659498207891</v>
      </c>
      <c r="P640">
        <v>2.2999999999999998</v>
      </c>
      <c r="Q640" s="72">
        <f>VLOOKUP('All inst data'!A640,'all mice (except april 2012)'!$A$2:$G$218,7,FALSE)</f>
        <v>95</v>
      </c>
    </row>
    <row r="641" spans="1:17" x14ac:dyDescent="0.25">
      <c r="A641" s="65">
        <v>217</v>
      </c>
      <c r="B641" s="65">
        <v>7</v>
      </c>
      <c r="C641" s="65">
        <v>10</v>
      </c>
      <c r="D641" s="65">
        <v>2</v>
      </c>
      <c r="E641" s="65">
        <v>140121</v>
      </c>
      <c r="F641" s="65">
        <v>94318</v>
      </c>
      <c r="G641" s="65" t="s">
        <v>1</v>
      </c>
      <c r="H641" s="65">
        <v>7</v>
      </c>
      <c r="I641" s="65">
        <v>193</v>
      </c>
      <c r="J641" s="65">
        <v>108</v>
      </c>
      <c r="K641" s="72">
        <v>24.1</v>
      </c>
      <c r="L641" s="22">
        <v>24.2</v>
      </c>
      <c r="M641" s="22">
        <v>22.2</v>
      </c>
      <c r="N641" s="40">
        <f t="shared" si="31"/>
        <v>1.004149377593361</v>
      </c>
      <c r="O641" s="40">
        <f t="shared" si="30"/>
        <v>0.92116182572614103</v>
      </c>
      <c r="P641">
        <v>2.9</v>
      </c>
      <c r="Q641" s="72">
        <f>VLOOKUP('All inst data'!A641,'all mice (except april 2012)'!$A$2:$G$218,7,FALSE)</f>
        <v>68</v>
      </c>
    </row>
    <row r="642" spans="1:17" x14ac:dyDescent="0.25">
      <c r="A642" s="65">
        <v>218</v>
      </c>
      <c r="B642" s="65">
        <v>8</v>
      </c>
      <c r="C642" s="65">
        <v>10</v>
      </c>
      <c r="D642" s="65">
        <v>2</v>
      </c>
      <c r="E642" s="65">
        <v>140121</v>
      </c>
      <c r="F642" s="65">
        <v>94318</v>
      </c>
      <c r="G642" s="65" t="s">
        <v>1</v>
      </c>
      <c r="H642" s="65">
        <v>10</v>
      </c>
      <c r="I642" s="65">
        <v>2</v>
      </c>
      <c r="J642" s="65">
        <v>2</v>
      </c>
      <c r="K642" s="72">
        <v>23.9</v>
      </c>
      <c r="L642" s="22">
        <v>19.8</v>
      </c>
      <c r="M642" s="22">
        <v>18.2</v>
      </c>
      <c r="N642" s="40">
        <f t="shared" si="31"/>
        <v>0.82845188284518834</v>
      </c>
      <c r="O642" s="40">
        <f t="shared" si="30"/>
        <v>0.7615062761506276</v>
      </c>
      <c r="P642">
        <v>2.9</v>
      </c>
      <c r="Q642" s="72">
        <f>VLOOKUP('All inst data'!A642,'all mice (except april 2012)'!$A$2:$G$218,7,FALSE)</f>
        <v>68</v>
      </c>
    </row>
    <row r="643" spans="1:17" x14ac:dyDescent="0.25">
      <c r="A643" s="65">
        <v>219</v>
      </c>
      <c r="B643" s="65">
        <v>9</v>
      </c>
      <c r="C643" s="65">
        <v>10</v>
      </c>
      <c r="D643" s="65">
        <v>2</v>
      </c>
      <c r="E643" s="65">
        <v>140121</v>
      </c>
      <c r="F643" s="65">
        <v>94318</v>
      </c>
      <c r="G643" s="65" t="s">
        <v>1</v>
      </c>
      <c r="H643" s="65">
        <v>12</v>
      </c>
      <c r="I643" s="65">
        <v>1</v>
      </c>
      <c r="J643" s="65">
        <v>1</v>
      </c>
      <c r="K643" s="72">
        <v>25</v>
      </c>
      <c r="L643" s="22">
        <v>23.2</v>
      </c>
      <c r="M643" s="22">
        <v>21.2</v>
      </c>
      <c r="N643" s="40">
        <f t="shared" si="31"/>
        <v>0.92799999999999994</v>
      </c>
      <c r="O643" s="40">
        <f t="shared" si="30"/>
        <v>0.84799999999999998</v>
      </c>
      <c r="P643">
        <v>3.1</v>
      </c>
      <c r="Q643" s="72">
        <f>VLOOKUP('All inst data'!A643,'all mice (except april 2012)'!$A$2:$G$218,7,FALSE)</f>
        <v>68</v>
      </c>
    </row>
    <row r="644" spans="1:17" x14ac:dyDescent="0.25">
      <c r="A644" s="65">
        <v>211</v>
      </c>
      <c r="B644" s="65">
        <v>1</v>
      </c>
      <c r="C644" s="65">
        <v>10</v>
      </c>
      <c r="D644" s="22">
        <v>3</v>
      </c>
      <c r="E644" s="65">
        <v>140122</v>
      </c>
      <c r="F644" s="65">
        <v>142514</v>
      </c>
      <c r="G644" s="65" t="s">
        <v>6</v>
      </c>
      <c r="H644" s="65">
        <v>1</v>
      </c>
      <c r="I644" s="65">
        <v>2362</v>
      </c>
      <c r="J644" s="65">
        <v>500</v>
      </c>
      <c r="K644" s="72">
        <v>29.5</v>
      </c>
      <c r="L644" s="22">
        <v>25.8</v>
      </c>
      <c r="M644" s="22">
        <v>23.9</v>
      </c>
      <c r="N644" s="40">
        <f t="shared" si="31"/>
        <v>0.87457627118644066</v>
      </c>
      <c r="O644" s="40">
        <f t="shared" si="30"/>
        <v>0.81016949152542372</v>
      </c>
      <c r="P644" s="72" t="s">
        <v>139</v>
      </c>
      <c r="Q644" s="72">
        <f>VLOOKUP('All inst data'!A644,'all mice (except april 2012)'!$A$2:$G$218,7,FALSE)</f>
        <v>89</v>
      </c>
    </row>
    <row r="645" spans="1:17" x14ac:dyDescent="0.25">
      <c r="A645" s="65">
        <v>212</v>
      </c>
      <c r="B645" s="65">
        <v>2</v>
      </c>
      <c r="C645" s="65">
        <v>10</v>
      </c>
      <c r="D645" s="65">
        <v>3</v>
      </c>
      <c r="E645" s="65">
        <v>140122</v>
      </c>
      <c r="F645" s="65">
        <v>142514</v>
      </c>
      <c r="G645" s="65" t="s">
        <v>6</v>
      </c>
      <c r="H645" s="65">
        <v>2</v>
      </c>
      <c r="I645" s="65">
        <v>1182</v>
      </c>
      <c r="J645" s="65">
        <v>281</v>
      </c>
      <c r="K645" s="72">
        <v>29.9</v>
      </c>
      <c r="L645" s="22">
        <v>26.2</v>
      </c>
      <c r="M645" s="22">
        <v>24.4</v>
      </c>
      <c r="N645" s="40">
        <f t="shared" si="31"/>
        <v>0.87625418060200666</v>
      </c>
      <c r="O645" s="40">
        <f t="shared" si="30"/>
        <v>0.81605351170568563</v>
      </c>
      <c r="P645" s="72" t="s">
        <v>139</v>
      </c>
      <c r="Q645" s="72">
        <f>VLOOKUP('All inst data'!A645,'all mice (except april 2012)'!$A$2:$G$218,7,FALSE)</f>
        <v>89</v>
      </c>
    </row>
    <row r="646" spans="1:17" x14ac:dyDescent="0.25">
      <c r="A646" s="65">
        <v>213</v>
      </c>
      <c r="B646" s="65">
        <v>3</v>
      </c>
      <c r="C646" s="65">
        <v>10</v>
      </c>
      <c r="D646" s="65">
        <v>3</v>
      </c>
      <c r="E646" s="65">
        <v>140122</v>
      </c>
      <c r="F646" s="65">
        <v>142514</v>
      </c>
      <c r="G646" s="65" t="s">
        <v>6</v>
      </c>
      <c r="H646" s="65">
        <v>3</v>
      </c>
      <c r="I646" s="65">
        <v>6</v>
      </c>
      <c r="J646" s="65">
        <v>5</v>
      </c>
      <c r="K646" s="72">
        <v>31.1</v>
      </c>
      <c r="L646" s="22">
        <v>27.1</v>
      </c>
      <c r="M646" s="22">
        <v>24.2</v>
      </c>
      <c r="N646" s="40">
        <f t="shared" si="31"/>
        <v>0.87138263665594851</v>
      </c>
      <c r="O646" s="40">
        <f t="shared" si="30"/>
        <v>0.77813504823151125</v>
      </c>
      <c r="P646" s="72" t="s">
        <v>139</v>
      </c>
      <c r="Q646" s="72">
        <f>VLOOKUP('All inst data'!A646,'all mice (except april 2012)'!$A$2:$G$218,7,FALSE)</f>
        <v>89</v>
      </c>
    </row>
    <row r="647" spans="1:17" x14ac:dyDescent="0.25">
      <c r="A647" s="65">
        <v>214</v>
      </c>
      <c r="B647" s="65">
        <v>4</v>
      </c>
      <c r="C647" s="65">
        <v>10</v>
      </c>
      <c r="D647" s="65">
        <v>3</v>
      </c>
      <c r="E647" s="65">
        <v>140122</v>
      </c>
      <c r="F647" s="65">
        <v>143328</v>
      </c>
      <c r="G647" s="65" t="s">
        <v>187</v>
      </c>
      <c r="H647" s="65">
        <v>4</v>
      </c>
      <c r="I647" s="65">
        <v>2169</v>
      </c>
      <c r="J647" s="65">
        <v>500</v>
      </c>
      <c r="K647" s="72">
        <v>25.7</v>
      </c>
      <c r="L647" s="22">
        <v>22.3</v>
      </c>
      <c r="M647" s="22">
        <v>21</v>
      </c>
      <c r="N647" s="40">
        <f t="shared" si="31"/>
        <v>0.86770428015564205</v>
      </c>
      <c r="O647" s="40">
        <f t="shared" si="30"/>
        <v>0.81712062256809337</v>
      </c>
      <c r="P647" s="72" t="s">
        <v>139</v>
      </c>
      <c r="Q647" s="72">
        <f>VLOOKUP('All inst data'!A647,'all mice (except april 2012)'!$A$2:$G$218,7,FALSE)</f>
        <v>95</v>
      </c>
    </row>
    <row r="648" spans="1:17" x14ac:dyDescent="0.25">
      <c r="A648" s="65">
        <v>215</v>
      </c>
      <c r="B648" s="65">
        <v>5</v>
      </c>
      <c r="C648" s="65">
        <v>10</v>
      </c>
      <c r="D648" s="65">
        <v>3</v>
      </c>
      <c r="E648" s="65">
        <v>140122</v>
      </c>
      <c r="F648" s="65">
        <v>143328</v>
      </c>
      <c r="G648" s="65" t="s">
        <v>187</v>
      </c>
      <c r="H648" s="65">
        <v>5</v>
      </c>
      <c r="I648" s="65">
        <v>2201</v>
      </c>
      <c r="J648" s="65">
        <v>500</v>
      </c>
      <c r="K648" s="72">
        <v>25</v>
      </c>
      <c r="L648" s="22">
        <v>23</v>
      </c>
      <c r="M648" s="22">
        <v>21.6</v>
      </c>
      <c r="N648" s="40">
        <f t="shared" si="31"/>
        <v>0.92</v>
      </c>
      <c r="O648" s="40">
        <f t="shared" si="30"/>
        <v>0.8640000000000001</v>
      </c>
      <c r="P648" s="72" t="s">
        <v>139</v>
      </c>
      <c r="Q648" s="72">
        <f>VLOOKUP('All inst data'!A648,'all mice (except april 2012)'!$A$2:$G$218,7,FALSE)</f>
        <v>95</v>
      </c>
    </row>
    <row r="649" spans="1:17" x14ac:dyDescent="0.25">
      <c r="A649" s="65">
        <v>216</v>
      </c>
      <c r="B649" s="65">
        <v>6</v>
      </c>
      <c r="C649" s="65">
        <v>10</v>
      </c>
      <c r="D649" s="65">
        <v>3</v>
      </c>
      <c r="E649" s="65">
        <v>140122</v>
      </c>
      <c r="F649" s="65">
        <v>143328</v>
      </c>
      <c r="G649" s="65" t="s">
        <v>187</v>
      </c>
      <c r="H649" s="65">
        <v>6</v>
      </c>
      <c r="I649" s="65">
        <v>2168</v>
      </c>
      <c r="J649" s="65">
        <v>500</v>
      </c>
      <c r="K649" s="72">
        <v>27.9</v>
      </c>
      <c r="L649" s="22">
        <v>24.1</v>
      </c>
      <c r="M649" s="22">
        <v>22.6</v>
      </c>
      <c r="N649" s="40">
        <f t="shared" si="31"/>
        <v>0.86379928315412191</v>
      </c>
      <c r="O649" s="40">
        <f t="shared" si="30"/>
        <v>0.8100358422939069</v>
      </c>
      <c r="P649" s="72" t="s">
        <v>139</v>
      </c>
      <c r="Q649" s="72">
        <f>VLOOKUP('All inst data'!A649,'all mice (except april 2012)'!$A$2:$G$218,7,FALSE)</f>
        <v>95</v>
      </c>
    </row>
    <row r="650" spans="1:17" x14ac:dyDescent="0.25">
      <c r="A650" s="65">
        <v>217</v>
      </c>
      <c r="B650" s="65">
        <v>7</v>
      </c>
      <c r="C650" s="65">
        <v>10</v>
      </c>
      <c r="D650" s="65">
        <v>3</v>
      </c>
      <c r="E650" s="65">
        <v>140122</v>
      </c>
      <c r="F650" s="65">
        <v>142908</v>
      </c>
      <c r="G650" s="65" t="s">
        <v>1</v>
      </c>
      <c r="H650" s="65">
        <v>7</v>
      </c>
      <c r="I650" s="65">
        <v>2200</v>
      </c>
      <c r="J650" s="65">
        <v>500</v>
      </c>
      <c r="K650" s="72">
        <v>24.1</v>
      </c>
      <c r="L650" s="22">
        <v>23.4</v>
      </c>
      <c r="M650" s="22">
        <v>21</v>
      </c>
      <c r="N650" s="40">
        <f t="shared" si="31"/>
        <v>0.97095435684647291</v>
      </c>
      <c r="O650" s="40">
        <f t="shared" si="30"/>
        <v>0.87136929460580903</v>
      </c>
      <c r="P650" s="72" t="s">
        <v>139</v>
      </c>
      <c r="Q650" s="72">
        <f>VLOOKUP('All inst data'!A650,'all mice (except april 2012)'!$A$2:$G$218,7,FALSE)</f>
        <v>68</v>
      </c>
    </row>
    <row r="651" spans="1:17" x14ac:dyDescent="0.25">
      <c r="A651" s="65">
        <v>218</v>
      </c>
      <c r="B651" s="65">
        <v>8</v>
      </c>
      <c r="C651" s="65">
        <v>10</v>
      </c>
      <c r="D651" s="65">
        <v>3</v>
      </c>
      <c r="E651" s="65">
        <v>140122</v>
      </c>
      <c r="F651" s="65">
        <v>142909</v>
      </c>
      <c r="G651" s="65" t="s">
        <v>1</v>
      </c>
      <c r="H651" s="65">
        <v>10</v>
      </c>
      <c r="I651" s="65">
        <v>548</v>
      </c>
      <c r="J651" s="65">
        <v>175</v>
      </c>
      <c r="K651" s="72">
        <v>23.9</v>
      </c>
      <c r="L651" s="22">
        <v>19</v>
      </c>
      <c r="M651" s="22">
        <v>17</v>
      </c>
      <c r="N651" s="40">
        <f t="shared" si="31"/>
        <v>0.79497907949790803</v>
      </c>
      <c r="O651" s="40">
        <f t="shared" si="30"/>
        <v>0.71129707112970719</v>
      </c>
      <c r="P651" s="72" t="s">
        <v>139</v>
      </c>
      <c r="Q651" s="72">
        <f>VLOOKUP('All inst data'!A651,'all mice (except april 2012)'!$A$2:$G$218,7,FALSE)</f>
        <v>68</v>
      </c>
    </row>
    <row r="652" spans="1:17" x14ac:dyDescent="0.25">
      <c r="A652" s="65">
        <v>219</v>
      </c>
      <c r="B652" s="65">
        <v>9</v>
      </c>
      <c r="C652" s="65">
        <v>10</v>
      </c>
      <c r="D652" s="65">
        <v>3</v>
      </c>
      <c r="E652" s="65">
        <v>140122</v>
      </c>
      <c r="F652" s="65">
        <v>142909</v>
      </c>
      <c r="G652" s="65" t="s">
        <v>1</v>
      </c>
      <c r="H652" s="65">
        <v>12</v>
      </c>
      <c r="I652" s="65">
        <v>640</v>
      </c>
      <c r="J652" s="65">
        <v>197</v>
      </c>
      <c r="K652" s="72">
        <v>25</v>
      </c>
      <c r="L652" s="22">
        <v>22.5</v>
      </c>
      <c r="M652" s="22">
        <v>20.5</v>
      </c>
      <c r="N652" s="40">
        <f t="shared" si="31"/>
        <v>0.9</v>
      </c>
      <c r="O652" s="40">
        <f t="shared" si="30"/>
        <v>0.82</v>
      </c>
      <c r="P652" s="72" t="s">
        <v>139</v>
      </c>
      <c r="Q652" s="72">
        <f>VLOOKUP('All inst data'!A652,'all mice (except april 2012)'!$A$2:$G$218,7,FALSE)</f>
        <v>68</v>
      </c>
    </row>
    <row r="653" spans="1:17" x14ac:dyDescent="0.25">
      <c r="A653" s="22">
        <v>220</v>
      </c>
      <c r="B653" s="72">
        <v>1</v>
      </c>
      <c r="C653" s="22">
        <v>11</v>
      </c>
      <c r="D653" s="22">
        <v>1</v>
      </c>
      <c r="E653" s="72">
        <v>140312</v>
      </c>
      <c r="F653" s="72">
        <v>90512</v>
      </c>
      <c r="G653" s="72" t="s">
        <v>424</v>
      </c>
      <c r="H653" s="72">
        <v>1</v>
      </c>
      <c r="I653" s="72">
        <v>3</v>
      </c>
      <c r="J653" s="72">
        <v>3</v>
      </c>
      <c r="K653" s="7">
        <v>20.2</v>
      </c>
      <c r="Q653" s="72">
        <v>79</v>
      </c>
    </row>
    <row r="654" spans="1:17" ht="13.5" customHeight="1" x14ac:dyDescent="0.25">
      <c r="A654" s="22">
        <v>221</v>
      </c>
      <c r="B654" s="72">
        <v>2</v>
      </c>
      <c r="C654" s="72">
        <v>11</v>
      </c>
      <c r="D654" s="72">
        <v>1</v>
      </c>
      <c r="E654" s="72">
        <v>140312</v>
      </c>
      <c r="F654" s="72">
        <v>90512</v>
      </c>
      <c r="G654" s="72" t="s">
        <v>424</v>
      </c>
      <c r="H654" s="72">
        <v>2</v>
      </c>
      <c r="I654" s="72">
        <v>2</v>
      </c>
      <c r="J654" s="72">
        <v>2</v>
      </c>
      <c r="K654" s="7">
        <v>24</v>
      </c>
      <c r="Q654" s="72">
        <v>79</v>
      </c>
    </row>
    <row r="655" spans="1:17" x14ac:dyDescent="0.25">
      <c r="A655" s="72">
        <v>222</v>
      </c>
      <c r="B655" s="72">
        <v>3</v>
      </c>
      <c r="C655" s="72">
        <v>11</v>
      </c>
      <c r="D655" s="72">
        <v>1</v>
      </c>
      <c r="E655" s="72">
        <v>140312</v>
      </c>
      <c r="F655" s="72">
        <v>90513</v>
      </c>
      <c r="G655" s="72" t="s">
        <v>424</v>
      </c>
      <c r="H655" s="72">
        <v>3</v>
      </c>
      <c r="I655" s="72">
        <v>344</v>
      </c>
      <c r="J655" s="72">
        <v>132</v>
      </c>
      <c r="K655" s="7">
        <v>21.4</v>
      </c>
      <c r="Q655" s="72">
        <v>79</v>
      </c>
    </row>
    <row r="656" spans="1:17" x14ac:dyDescent="0.25">
      <c r="A656" s="72">
        <v>223</v>
      </c>
      <c r="B656" s="72">
        <v>4</v>
      </c>
      <c r="C656" s="72">
        <v>11</v>
      </c>
      <c r="D656" s="72">
        <v>1</v>
      </c>
      <c r="E656" s="72">
        <v>140312</v>
      </c>
      <c r="F656" s="72">
        <v>90513</v>
      </c>
      <c r="G656" s="72" t="s">
        <v>129</v>
      </c>
      <c r="H656" s="72">
        <v>4</v>
      </c>
      <c r="I656" s="72">
        <v>18</v>
      </c>
      <c r="J656" s="72">
        <v>18</v>
      </c>
      <c r="K656" s="7">
        <v>24.5</v>
      </c>
      <c r="Q656" s="72">
        <v>132</v>
      </c>
    </row>
    <row r="657" spans="1:17" x14ac:dyDescent="0.25">
      <c r="A657" s="72">
        <v>224</v>
      </c>
      <c r="B657" s="72">
        <v>5</v>
      </c>
      <c r="C657" s="72">
        <v>11</v>
      </c>
      <c r="D657" s="72">
        <v>1</v>
      </c>
      <c r="E657" s="72">
        <v>140312</v>
      </c>
      <c r="F657" s="72">
        <v>90513</v>
      </c>
      <c r="G657" s="72" t="s">
        <v>129</v>
      </c>
      <c r="H657" s="72">
        <v>5</v>
      </c>
      <c r="I657" s="72">
        <v>3</v>
      </c>
      <c r="J657" s="72">
        <v>3</v>
      </c>
      <c r="K657" s="7">
        <v>27.2</v>
      </c>
      <c r="Q657" s="72">
        <v>132</v>
      </c>
    </row>
    <row r="658" spans="1:17" x14ac:dyDescent="0.25">
      <c r="A658" s="72">
        <v>225</v>
      </c>
      <c r="B658" s="72">
        <v>6</v>
      </c>
      <c r="C658" s="72">
        <v>11</v>
      </c>
      <c r="D658" s="72">
        <v>1</v>
      </c>
      <c r="E658" s="72">
        <v>140312</v>
      </c>
      <c r="F658" s="72">
        <v>93106</v>
      </c>
      <c r="G658" s="72" t="s">
        <v>129</v>
      </c>
      <c r="H658" s="72">
        <v>6</v>
      </c>
      <c r="I658" s="72">
        <v>5</v>
      </c>
      <c r="J658" s="72">
        <v>5</v>
      </c>
      <c r="K658" s="7">
        <v>29.3</v>
      </c>
      <c r="Q658" s="72">
        <v>132</v>
      </c>
    </row>
    <row r="659" spans="1:17" x14ac:dyDescent="0.25">
      <c r="A659" s="72">
        <v>226</v>
      </c>
      <c r="B659" s="72">
        <v>7</v>
      </c>
      <c r="C659" s="72">
        <v>11</v>
      </c>
      <c r="D659" s="72">
        <v>1</v>
      </c>
      <c r="E659" s="72">
        <v>140312</v>
      </c>
      <c r="F659" s="72">
        <v>90513</v>
      </c>
      <c r="G659" s="72" t="s">
        <v>423</v>
      </c>
      <c r="H659" s="72">
        <v>7</v>
      </c>
      <c r="I659" s="72">
        <v>105</v>
      </c>
      <c r="J659" s="72">
        <v>76</v>
      </c>
      <c r="K659" s="7">
        <v>26</v>
      </c>
      <c r="Q659" s="72">
        <v>69</v>
      </c>
    </row>
    <row r="660" spans="1:17" x14ac:dyDescent="0.25">
      <c r="A660" s="72">
        <v>227</v>
      </c>
      <c r="B660" s="72">
        <v>8</v>
      </c>
      <c r="C660" s="72">
        <v>11</v>
      </c>
      <c r="D660" s="72">
        <v>1</v>
      </c>
      <c r="E660" s="72">
        <v>140312</v>
      </c>
      <c r="F660" s="72">
        <v>93106</v>
      </c>
      <c r="G660" s="72" t="s">
        <v>423</v>
      </c>
      <c r="H660" s="72">
        <v>8</v>
      </c>
      <c r="I660" s="72">
        <v>1</v>
      </c>
      <c r="J660" s="72">
        <v>1</v>
      </c>
      <c r="K660" s="7">
        <v>26.1</v>
      </c>
      <c r="Q660" s="72">
        <v>69</v>
      </c>
    </row>
    <row r="661" spans="1:17" x14ac:dyDescent="0.25">
      <c r="A661" s="72">
        <v>228</v>
      </c>
      <c r="B661" s="72">
        <v>9</v>
      </c>
      <c r="C661" s="72">
        <v>11</v>
      </c>
      <c r="D661" s="72">
        <v>1</v>
      </c>
      <c r="E661" s="72">
        <v>140312</v>
      </c>
      <c r="F661" s="72">
        <v>91741</v>
      </c>
      <c r="G661" s="72" t="s">
        <v>366</v>
      </c>
      <c r="H661" s="72">
        <v>9</v>
      </c>
      <c r="I661" s="72">
        <v>0</v>
      </c>
      <c r="J661" s="72">
        <v>0</v>
      </c>
      <c r="K661" s="7">
        <v>21.3</v>
      </c>
      <c r="Q661" s="72">
        <v>67</v>
      </c>
    </row>
    <row r="662" spans="1:17" x14ac:dyDescent="0.25">
      <c r="A662" s="72">
        <v>229</v>
      </c>
      <c r="B662" s="72">
        <v>10</v>
      </c>
      <c r="C662" s="72">
        <v>11</v>
      </c>
      <c r="D662" s="72">
        <v>1</v>
      </c>
      <c r="E662" s="72">
        <v>140312</v>
      </c>
      <c r="F662" s="72">
        <v>91741</v>
      </c>
      <c r="G662" s="72" t="s">
        <v>366</v>
      </c>
      <c r="H662" s="72">
        <v>10</v>
      </c>
      <c r="I662" s="72">
        <v>2</v>
      </c>
      <c r="J662" s="72">
        <v>2</v>
      </c>
      <c r="K662" s="7">
        <v>21.6</v>
      </c>
      <c r="Q662" s="72">
        <v>67</v>
      </c>
    </row>
    <row r="663" spans="1:17" x14ac:dyDescent="0.25">
      <c r="A663" s="72">
        <v>230</v>
      </c>
      <c r="B663" s="72">
        <v>11</v>
      </c>
      <c r="C663" s="72">
        <v>11</v>
      </c>
      <c r="D663" s="72">
        <v>1</v>
      </c>
      <c r="E663" s="72">
        <v>140312</v>
      </c>
      <c r="F663" s="72">
        <v>91741</v>
      </c>
      <c r="G663" s="72" t="s">
        <v>449</v>
      </c>
      <c r="H663" s="72">
        <v>11</v>
      </c>
      <c r="I663" s="72">
        <v>2</v>
      </c>
      <c r="J663" s="72">
        <v>2</v>
      </c>
      <c r="K663" s="7">
        <v>30.7</v>
      </c>
      <c r="Q663" s="72">
        <v>91</v>
      </c>
    </row>
    <row r="664" spans="1:17" x14ac:dyDescent="0.25">
      <c r="A664" s="72">
        <v>231</v>
      </c>
      <c r="B664" s="72">
        <v>12</v>
      </c>
      <c r="C664" s="72">
        <v>11</v>
      </c>
      <c r="D664" s="72">
        <v>1</v>
      </c>
      <c r="E664" s="72">
        <v>140312</v>
      </c>
      <c r="F664" s="72">
        <v>91741</v>
      </c>
      <c r="G664" s="72" t="s">
        <v>449</v>
      </c>
      <c r="H664" s="72">
        <v>12</v>
      </c>
      <c r="I664" s="72">
        <v>1064</v>
      </c>
      <c r="J664" s="72">
        <v>276</v>
      </c>
      <c r="K664" s="84">
        <v>29.9</v>
      </c>
      <c r="Q664" s="72">
        <v>91</v>
      </c>
    </row>
    <row r="665" spans="1:17" x14ac:dyDescent="0.25">
      <c r="A665" s="72">
        <v>220</v>
      </c>
      <c r="B665" s="72">
        <v>1</v>
      </c>
      <c r="C665" s="72">
        <v>11</v>
      </c>
      <c r="D665" s="22">
        <v>2</v>
      </c>
      <c r="E665" s="72">
        <v>140313</v>
      </c>
      <c r="F665" s="72">
        <v>90414</v>
      </c>
      <c r="G665" s="72" t="s">
        <v>424</v>
      </c>
      <c r="H665" s="72">
        <v>1</v>
      </c>
      <c r="I665" s="72">
        <v>0</v>
      </c>
      <c r="J665" s="72">
        <v>0</v>
      </c>
      <c r="K665" s="7">
        <v>20.2</v>
      </c>
      <c r="Q665" s="72">
        <v>79</v>
      </c>
    </row>
    <row r="666" spans="1:17" x14ac:dyDescent="0.25">
      <c r="A666" s="72">
        <v>221</v>
      </c>
      <c r="B666" s="72">
        <v>2</v>
      </c>
      <c r="C666" s="72">
        <v>11</v>
      </c>
      <c r="D666" s="72">
        <v>2</v>
      </c>
      <c r="E666" s="72">
        <v>140313</v>
      </c>
      <c r="F666" s="72">
        <v>90415</v>
      </c>
      <c r="G666" s="72" t="s">
        <v>424</v>
      </c>
      <c r="H666" s="72">
        <v>2</v>
      </c>
      <c r="I666" s="72">
        <v>0</v>
      </c>
      <c r="J666" s="72">
        <v>0</v>
      </c>
      <c r="K666" s="7">
        <v>24</v>
      </c>
      <c r="Q666" s="72">
        <v>79</v>
      </c>
    </row>
    <row r="667" spans="1:17" x14ac:dyDescent="0.25">
      <c r="A667" s="72">
        <v>222</v>
      </c>
      <c r="B667" s="72">
        <v>3</v>
      </c>
      <c r="C667" s="72">
        <v>11</v>
      </c>
      <c r="D667" s="72">
        <v>2</v>
      </c>
      <c r="E667" s="72">
        <v>140313</v>
      </c>
      <c r="F667" s="72">
        <v>90415</v>
      </c>
      <c r="G667" s="72" t="s">
        <v>424</v>
      </c>
      <c r="H667" s="72">
        <v>3</v>
      </c>
      <c r="I667" s="72">
        <v>190</v>
      </c>
      <c r="J667" s="72">
        <v>104</v>
      </c>
      <c r="K667" s="7">
        <v>21.4</v>
      </c>
      <c r="Q667" s="72">
        <v>79</v>
      </c>
    </row>
    <row r="668" spans="1:17" x14ac:dyDescent="0.25">
      <c r="A668" s="72">
        <v>223</v>
      </c>
      <c r="B668" s="72">
        <v>4</v>
      </c>
      <c r="C668" s="72">
        <v>11</v>
      </c>
      <c r="D668" s="72">
        <v>2</v>
      </c>
      <c r="E668" s="72">
        <v>140313</v>
      </c>
      <c r="F668" s="72">
        <v>90415</v>
      </c>
      <c r="G668" s="72" t="s">
        <v>129</v>
      </c>
      <c r="H668" s="72">
        <v>4</v>
      </c>
      <c r="I668" s="72">
        <v>13</v>
      </c>
      <c r="J668" s="72">
        <v>11</v>
      </c>
      <c r="K668" s="7">
        <v>24.5</v>
      </c>
      <c r="Q668" s="72">
        <v>132</v>
      </c>
    </row>
    <row r="669" spans="1:17" x14ac:dyDescent="0.25">
      <c r="A669" s="72">
        <v>224</v>
      </c>
      <c r="B669" s="72">
        <v>5</v>
      </c>
      <c r="C669" s="72">
        <v>11</v>
      </c>
      <c r="D669" s="72">
        <v>2</v>
      </c>
      <c r="E669" s="72">
        <v>140313</v>
      </c>
      <c r="F669" s="72">
        <v>90416</v>
      </c>
      <c r="G669" s="72" t="s">
        <v>129</v>
      </c>
      <c r="H669" s="72">
        <v>5</v>
      </c>
      <c r="I669" s="72">
        <v>1</v>
      </c>
      <c r="J669" s="72">
        <v>1</v>
      </c>
      <c r="K669" s="7">
        <v>27.2</v>
      </c>
      <c r="Q669" s="72">
        <v>132</v>
      </c>
    </row>
    <row r="670" spans="1:17" x14ac:dyDescent="0.25">
      <c r="A670" s="72">
        <v>225</v>
      </c>
      <c r="B670" s="72">
        <v>6</v>
      </c>
      <c r="C670" s="72">
        <v>11</v>
      </c>
      <c r="D670" s="72">
        <v>2</v>
      </c>
      <c r="E670" s="72">
        <v>140313</v>
      </c>
      <c r="F670" s="72">
        <v>90416</v>
      </c>
      <c r="G670" s="72" t="s">
        <v>129</v>
      </c>
      <c r="H670" s="72">
        <v>6</v>
      </c>
      <c r="I670" s="72">
        <v>1</v>
      </c>
      <c r="J670" s="72">
        <v>1</v>
      </c>
      <c r="K670" s="7">
        <v>29.3</v>
      </c>
      <c r="Q670" s="72">
        <v>132</v>
      </c>
    </row>
    <row r="671" spans="1:17" x14ac:dyDescent="0.25">
      <c r="A671" s="72">
        <v>226</v>
      </c>
      <c r="B671" s="72">
        <v>7</v>
      </c>
      <c r="C671" s="72">
        <v>11</v>
      </c>
      <c r="D671" s="72">
        <v>2</v>
      </c>
      <c r="E671" s="72">
        <v>140313</v>
      </c>
      <c r="F671" s="72">
        <v>91709</v>
      </c>
      <c r="G671" s="72" t="s">
        <v>423</v>
      </c>
      <c r="H671" s="72">
        <v>7</v>
      </c>
      <c r="I671" s="72">
        <v>167</v>
      </c>
      <c r="J671" s="72">
        <v>102</v>
      </c>
      <c r="K671" s="7">
        <v>26</v>
      </c>
      <c r="Q671" s="72">
        <v>69</v>
      </c>
    </row>
    <row r="672" spans="1:17" x14ac:dyDescent="0.25">
      <c r="A672" s="72">
        <v>227</v>
      </c>
      <c r="B672" s="72">
        <v>8</v>
      </c>
      <c r="C672" s="72">
        <v>11</v>
      </c>
      <c r="D672" s="72">
        <v>2</v>
      </c>
      <c r="E672" s="72">
        <v>140313</v>
      </c>
      <c r="F672" s="72">
        <v>91709</v>
      </c>
      <c r="G672" s="72" t="s">
        <v>423</v>
      </c>
      <c r="H672" s="72">
        <v>8</v>
      </c>
      <c r="I672" s="72">
        <v>0</v>
      </c>
      <c r="J672" s="72">
        <v>0</v>
      </c>
      <c r="K672" s="7">
        <v>26.1</v>
      </c>
      <c r="Q672" s="72">
        <v>69</v>
      </c>
    </row>
    <row r="673" spans="1:27" x14ac:dyDescent="0.25">
      <c r="A673" s="72">
        <v>228</v>
      </c>
      <c r="B673" s="72">
        <v>9</v>
      </c>
      <c r="C673" s="72">
        <v>11</v>
      </c>
      <c r="D673" s="72">
        <v>2</v>
      </c>
      <c r="E673" s="72">
        <v>140313</v>
      </c>
      <c r="F673" s="72">
        <v>91709</v>
      </c>
      <c r="G673" s="72" t="s">
        <v>366</v>
      </c>
      <c r="H673" s="72">
        <v>9</v>
      </c>
      <c r="I673" s="72">
        <v>0</v>
      </c>
      <c r="J673" s="72">
        <v>0</v>
      </c>
      <c r="K673" s="7">
        <v>21.3</v>
      </c>
      <c r="Q673" s="72">
        <v>67</v>
      </c>
    </row>
    <row r="674" spans="1:27" x14ac:dyDescent="0.25">
      <c r="A674" s="72">
        <v>229</v>
      </c>
      <c r="B674" s="72">
        <v>10</v>
      </c>
      <c r="C674" s="72">
        <v>11</v>
      </c>
      <c r="D674" s="72">
        <v>2</v>
      </c>
      <c r="E674" s="72">
        <v>140313</v>
      </c>
      <c r="F674" s="72">
        <v>91709</v>
      </c>
      <c r="G674" s="72" t="s">
        <v>366</v>
      </c>
      <c r="H674" s="72">
        <v>10</v>
      </c>
      <c r="I674" s="72">
        <v>0</v>
      </c>
      <c r="J674" s="72">
        <v>0</v>
      </c>
      <c r="K674" s="7">
        <v>21.6</v>
      </c>
      <c r="Q674" s="72">
        <v>67</v>
      </c>
    </row>
    <row r="675" spans="1:27" x14ac:dyDescent="0.25">
      <c r="A675" s="72">
        <v>230</v>
      </c>
      <c r="B675" s="72">
        <v>11</v>
      </c>
      <c r="C675" s="72">
        <v>11</v>
      </c>
      <c r="D675" s="72">
        <v>2</v>
      </c>
      <c r="E675" s="72">
        <v>140313</v>
      </c>
      <c r="F675" s="72">
        <v>91710</v>
      </c>
      <c r="G675" s="72" t="s">
        <v>449</v>
      </c>
      <c r="H675" s="72">
        <v>11</v>
      </c>
      <c r="I675" s="72">
        <v>1</v>
      </c>
      <c r="J675" s="72">
        <v>1</v>
      </c>
      <c r="K675" s="7">
        <v>30.7</v>
      </c>
      <c r="Q675" s="72">
        <v>91</v>
      </c>
    </row>
    <row r="676" spans="1:27" x14ac:dyDescent="0.25">
      <c r="A676" s="72">
        <v>231</v>
      </c>
      <c r="B676" s="72">
        <v>12</v>
      </c>
      <c r="C676" s="72">
        <v>11</v>
      </c>
      <c r="D676" s="72">
        <v>2</v>
      </c>
      <c r="E676" s="72">
        <v>140313</v>
      </c>
      <c r="F676" s="72">
        <v>91710</v>
      </c>
      <c r="G676" s="72" t="s">
        <v>449</v>
      </c>
      <c r="H676" s="72">
        <v>12</v>
      </c>
      <c r="I676" s="72">
        <v>262</v>
      </c>
      <c r="J676" s="72">
        <v>118</v>
      </c>
      <c r="K676" s="84">
        <v>29.9</v>
      </c>
      <c r="Q676" s="72">
        <v>91</v>
      </c>
    </row>
    <row r="677" spans="1:27" x14ac:dyDescent="0.25">
      <c r="A677" s="72">
        <v>220</v>
      </c>
      <c r="B677" s="72">
        <v>1</v>
      </c>
      <c r="C677" s="72">
        <v>11</v>
      </c>
      <c r="D677" s="22">
        <v>3</v>
      </c>
      <c r="E677" s="72">
        <v>140314</v>
      </c>
      <c r="F677" s="72">
        <v>94400</v>
      </c>
      <c r="G677" s="72" t="s">
        <v>424</v>
      </c>
      <c r="H677" s="72">
        <v>1</v>
      </c>
      <c r="I677" s="72">
        <v>2</v>
      </c>
      <c r="J677" s="72">
        <v>2</v>
      </c>
      <c r="K677" s="7">
        <v>20.2</v>
      </c>
      <c r="P677" s="72" t="s">
        <v>139</v>
      </c>
      <c r="Q677" s="72">
        <v>79</v>
      </c>
    </row>
    <row r="678" spans="1:27" x14ac:dyDescent="0.25">
      <c r="A678" s="72">
        <v>221</v>
      </c>
      <c r="B678" s="72">
        <v>2</v>
      </c>
      <c r="C678" s="72">
        <v>11</v>
      </c>
      <c r="D678" s="72">
        <v>3</v>
      </c>
      <c r="E678" s="72">
        <v>140314</v>
      </c>
      <c r="F678" s="72">
        <v>94400</v>
      </c>
      <c r="G678" s="72" t="s">
        <v>424</v>
      </c>
      <c r="H678" s="72">
        <v>2</v>
      </c>
      <c r="I678" s="72">
        <v>0</v>
      </c>
      <c r="J678" s="72">
        <v>0</v>
      </c>
      <c r="K678" s="7">
        <v>24</v>
      </c>
      <c r="P678" s="72" t="s">
        <v>139</v>
      </c>
      <c r="Q678" s="72">
        <v>79</v>
      </c>
    </row>
    <row r="679" spans="1:27" x14ac:dyDescent="0.25">
      <c r="A679" s="72">
        <v>222</v>
      </c>
      <c r="B679" s="72">
        <v>3</v>
      </c>
      <c r="C679" s="72">
        <v>11</v>
      </c>
      <c r="D679" s="72">
        <v>3</v>
      </c>
      <c r="E679" s="72">
        <v>140314</v>
      </c>
      <c r="F679" s="72">
        <v>94400</v>
      </c>
      <c r="G679" s="72" t="s">
        <v>424</v>
      </c>
      <c r="H679" s="72">
        <v>3</v>
      </c>
      <c r="I679" s="72">
        <v>751</v>
      </c>
      <c r="J679" s="72">
        <v>217</v>
      </c>
      <c r="K679" s="7">
        <v>21.4</v>
      </c>
      <c r="P679" s="72" t="s">
        <v>139</v>
      </c>
      <c r="Q679" s="72">
        <v>79</v>
      </c>
    </row>
    <row r="680" spans="1:27" x14ac:dyDescent="0.25">
      <c r="A680" s="72">
        <v>223</v>
      </c>
      <c r="B680" s="72">
        <v>4</v>
      </c>
      <c r="C680" s="72">
        <v>11</v>
      </c>
      <c r="D680" s="72">
        <v>3</v>
      </c>
      <c r="E680" s="72">
        <v>140314</v>
      </c>
      <c r="F680" s="72">
        <v>94400</v>
      </c>
      <c r="G680" s="72" t="s">
        <v>129</v>
      </c>
      <c r="H680" s="72">
        <v>4</v>
      </c>
      <c r="I680" s="72">
        <v>740</v>
      </c>
      <c r="J680" s="72">
        <v>214</v>
      </c>
      <c r="K680" s="7">
        <v>24.5</v>
      </c>
      <c r="P680" s="72" t="s">
        <v>139</v>
      </c>
      <c r="Q680" s="72">
        <v>132</v>
      </c>
    </row>
    <row r="681" spans="1:27" x14ac:dyDescent="0.25">
      <c r="A681" s="72">
        <v>224</v>
      </c>
      <c r="B681" s="72">
        <v>5</v>
      </c>
      <c r="C681" s="72">
        <v>11</v>
      </c>
      <c r="D681" s="72">
        <v>3</v>
      </c>
      <c r="E681" s="72">
        <v>140314</v>
      </c>
      <c r="F681" s="72">
        <v>94400</v>
      </c>
      <c r="G681" s="72" t="s">
        <v>129</v>
      </c>
      <c r="H681" s="72">
        <v>5</v>
      </c>
      <c r="I681" s="72">
        <v>1</v>
      </c>
      <c r="J681" s="72">
        <v>1</v>
      </c>
      <c r="K681" s="7">
        <v>27.2</v>
      </c>
      <c r="P681" s="72" t="s">
        <v>139</v>
      </c>
      <c r="Q681" s="72">
        <v>132</v>
      </c>
    </row>
    <row r="682" spans="1:27" x14ac:dyDescent="0.25">
      <c r="A682" s="72">
        <v>225</v>
      </c>
      <c r="B682" s="72">
        <v>6</v>
      </c>
      <c r="C682" s="72">
        <v>11</v>
      </c>
      <c r="D682" s="72">
        <v>3</v>
      </c>
      <c r="E682" s="72">
        <v>140314</v>
      </c>
      <c r="F682" s="72">
        <v>94400</v>
      </c>
      <c r="G682" s="72" t="s">
        <v>129</v>
      </c>
      <c r="H682" s="72">
        <v>6</v>
      </c>
      <c r="I682" s="72">
        <v>0</v>
      </c>
      <c r="J682" s="72">
        <v>0</v>
      </c>
      <c r="K682" s="7">
        <v>29.3</v>
      </c>
      <c r="P682" s="72" t="s">
        <v>139</v>
      </c>
      <c r="Q682" s="72">
        <v>132</v>
      </c>
    </row>
    <row r="683" spans="1:27" x14ac:dyDescent="0.25">
      <c r="A683" s="72">
        <v>226</v>
      </c>
      <c r="B683" s="72">
        <v>7</v>
      </c>
      <c r="C683" s="72">
        <v>11</v>
      </c>
      <c r="D683" s="72">
        <v>3</v>
      </c>
      <c r="E683" s="72">
        <v>140314</v>
      </c>
      <c r="F683" s="72">
        <v>95252</v>
      </c>
      <c r="G683" s="72" t="s">
        <v>423</v>
      </c>
      <c r="H683" s="72">
        <v>7</v>
      </c>
      <c r="I683" s="72">
        <v>268</v>
      </c>
      <c r="J683" s="72">
        <v>120</v>
      </c>
      <c r="K683" s="7">
        <v>26</v>
      </c>
      <c r="P683" s="72" t="s">
        <v>139</v>
      </c>
      <c r="Q683" s="72">
        <v>69</v>
      </c>
      <c r="T683" s="72"/>
      <c r="U683" s="72"/>
      <c r="V683" s="72"/>
      <c r="W683" s="72"/>
      <c r="X683" s="72"/>
      <c r="Y683" s="72"/>
      <c r="Z683" s="72"/>
      <c r="AA683" s="72"/>
    </row>
    <row r="684" spans="1:27" x14ac:dyDescent="0.25">
      <c r="A684" s="72">
        <v>227</v>
      </c>
      <c r="B684" s="72">
        <v>8</v>
      </c>
      <c r="C684" s="72">
        <v>11</v>
      </c>
      <c r="D684" s="72">
        <v>3</v>
      </c>
      <c r="E684" s="72">
        <v>140314</v>
      </c>
      <c r="F684" s="72">
        <v>95252</v>
      </c>
      <c r="G684" s="72" t="s">
        <v>423</v>
      </c>
      <c r="H684" s="72">
        <v>8</v>
      </c>
      <c r="I684" s="72">
        <v>1</v>
      </c>
      <c r="J684" s="72">
        <v>1</v>
      </c>
      <c r="K684" s="7">
        <v>26.1</v>
      </c>
      <c r="P684" s="72" t="s">
        <v>139</v>
      </c>
      <c r="Q684" s="72">
        <v>69</v>
      </c>
      <c r="T684" s="72"/>
      <c r="U684" s="72"/>
      <c r="V684" s="72"/>
      <c r="W684" s="72"/>
      <c r="X684" s="72"/>
      <c r="Y684" s="72"/>
      <c r="Z684" s="72"/>
      <c r="AA684" s="72"/>
    </row>
    <row r="685" spans="1:27" x14ac:dyDescent="0.25">
      <c r="A685" s="72">
        <v>228</v>
      </c>
      <c r="B685" s="72">
        <v>9</v>
      </c>
      <c r="C685" s="72">
        <v>11</v>
      </c>
      <c r="D685" s="72">
        <v>3</v>
      </c>
      <c r="E685" s="72">
        <v>140314</v>
      </c>
      <c r="F685" s="72">
        <v>95252</v>
      </c>
      <c r="G685" s="72" t="s">
        <v>366</v>
      </c>
      <c r="H685" s="72">
        <v>9</v>
      </c>
      <c r="I685" s="72">
        <v>1</v>
      </c>
      <c r="J685" s="72">
        <v>1</v>
      </c>
      <c r="K685" s="7">
        <v>21.3</v>
      </c>
      <c r="P685" s="72" t="s">
        <v>139</v>
      </c>
      <c r="Q685" s="72">
        <v>67</v>
      </c>
      <c r="T685" s="72"/>
      <c r="U685" s="72"/>
      <c r="V685" s="72"/>
      <c r="W685" s="72"/>
      <c r="X685" s="72"/>
      <c r="Y685" s="72"/>
      <c r="Z685" s="72"/>
      <c r="AA685" s="72"/>
    </row>
    <row r="686" spans="1:27" x14ac:dyDescent="0.25">
      <c r="A686" s="72">
        <v>229</v>
      </c>
      <c r="B686" s="72">
        <v>10</v>
      </c>
      <c r="C686" s="72">
        <v>11</v>
      </c>
      <c r="D686" s="72">
        <v>3</v>
      </c>
      <c r="E686" s="72">
        <v>140314</v>
      </c>
      <c r="F686" s="72">
        <v>95253</v>
      </c>
      <c r="G686" s="72" t="s">
        <v>366</v>
      </c>
      <c r="H686" s="72">
        <v>10</v>
      </c>
      <c r="I686" s="72">
        <v>0</v>
      </c>
      <c r="J686" s="72">
        <v>0</v>
      </c>
      <c r="K686" s="7">
        <v>21.6</v>
      </c>
      <c r="P686" s="72" t="s">
        <v>139</v>
      </c>
      <c r="Q686" s="72">
        <v>67</v>
      </c>
      <c r="T686" s="72"/>
      <c r="U686" s="72"/>
      <c r="V686" s="72"/>
      <c r="W686" s="72"/>
      <c r="X686" s="72"/>
      <c r="Y686" s="72"/>
      <c r="Z686" s="72"/>
      <c r="AA686" s="72"/>
    </row>
    <row r="687" spans="1:27" x14ac:dyDescent="0.25">
      <c r="A687" s="72">
        <v>230</v>
      </c>
      <c r="B687" s="72">
        <v>11</v>
      </c>
      <c r="C687" s="72">
        <v>11</v>
      </c>
      <c r="D687" s="72">
        <v>3</v>
      </c>
      <c r="E687" s="72">
        <v>140314</v>
      </c>
      <c r="F687" s="72">
        <v>95253</v>
      </c>
      <c r="G687" s="72" t="s">
        <v>449</v>
      </c>
      <c r="H687" s="72">
        <v>11</v>
      </c>
      <c r="I687" s="72">
        <v>0</v>
      </c>
      <c r="J687" s="72">
        <v>0</v>
      </c>
      <c r="K687" s="7">
        <v>30.7</v>
      </c>
      <c r="P687" s="72" t="s">
        <v>139</v>
      </c>
      <c r="Q687" s="72">
        <v>91</v>
      </c>
      <c r="T687" s="72"/>
      <c r="U687" s="72"/>
      <c r="V687" s="72"/>
      <c r="W687" s="72"/>
      <c r="X687" s="72"/>
      <c r="Y687" s="72"/>
      <c r="AA687" s="72"/>
    </row>
    <row r="688" spans="1:27" x14ac:dyDescent="0.25">
      <c r="A688" s="72">
        <v>231</v>
      </c>
      <c r="B688" s="72">
        <v>12</v>
      </c>
      <c r="C688" s="72">
        <v>11</v>
      </c>
      <c r="D688" s="72">
        <v>3</v>
      </c>
      <c r="E688" s="72">
        <v>140314</v>
      </c>
      <c r="F688" s="72">
        <v>95253</v>
      </c>
      <c r="G688" s="72" t="s">
        <v>449</v>
      </c>
      <c r="H688" s="72">
        <v>12</v>
      </c>
      <c r="I688" s="72">
        <v>2122</v>
      </c>
      <c r="J688" s="72">
        <v>467</v>
      </c>
      <c r="K688" s="84">
        <v>29.9</v>
      </c>
      <c r="P688" s="72" t="s">
        <v>139</v>
      </c>
      <c r="Q688" s="72">
        <v>91</v>
      </c>
      <c r="T688" s="72"/>
      <c r="U688" s="72"/>
      <c r="V688" s="72"/>
      <c r="W688" s="72"/>
      <c r="X688" s="72"/>
      <c r="Y688" s="72"/>
      <c r="AA688" s="72"/>
    </row>
    <row r="689" spans="1:27" x14ac:dyDescent="0.25">
      <c r="A689" s="72">
        <v>232</v>
      </c>
      <c r="B689" s="72">
        <v>1</v>
      </c>
      <c r="C689" s="22">
        <v>12</v>
      </c>
      <c r="D689" s="72">
        <v>1</v>
      </c>
      <c r="E689" s="72">
        <v>140319</v>
      </c>
      <c r="F689" s="72">
        <v>91547</v>
      </c>
      <c r="G689" s="72" t="s">
        <v>425</v>
      </c>
      <c r="H689" s="72">
        <v>1</v>
      </c>
      <c r="I689" s="72">
        <v>350</v>
      </c>
      <c r="J689" s="72">
        <v>138</v>
      </c>
      <c r="K689" s="84">
        <v>19.100000000000001</v>
      </c>
      <c r="Q689" s="83">
        <v>63</v>
      </c>
      <c r="T689" s="72"/>
      <c r="U689" s="72"/>
      <c r="V689" s="72"/>
      <c r="W689" s="72"/>
      <c r="X689" s="72"/>
      <c r="Y689" s="72"/>
    </row>
    <row r="690" spans="1:27" x14ac:dyDescent="0.25">
      <c r="A690" s="72">
        <v>233</v>
      </c>
      <c r="B690" s="72">
        <v>2</v>
      </c>
      <c r="C690" s="72">
        <v>12</v>
      </c>
      <c r="D690" s="72">
        <v>1</v>
      </c>
      <c r="E690" s="72">
        <v>140319</v>
      </c>
      <c r="F690" s="72">
        <v>91547</v>
      </c>
      <c r="G690" s="72" t="s">
        <v>425</v>
      </c>
      <c r="H690" s="72">
        <v>2</v>
      </c>
      <c r="I690" s="72">
        <v>828</v>
      </c>
      <c r="J690" s="72">
        <v>230</v>
      </c>
      <c r="K690" s="84">
        <v>18.3</v>
      </c>
      <c r="Q690" s="83">
        <v>63</v>
      </c>
      <c r="T690" s="72"/>
      <c r="U690" s="72"/>
      <c r="V690" s="72"/>
      <c r="W690" s="72"/>
      <c r="X690" s="72"/>
      <c r="Y690" s="72"/>
    </row>
    <row r="691" spans="1:27" x14ac:dyDescent="0.25">
      <c r="A691" s="72">
        <v>234</v>
      </c>
      <c r="B691" s="72">
        <v>3</v>
      </c>
      <c r="C691" s="72">
        <v>12</v>
      </c>
      <c r="D691" s="72">
        <v>1</v>
      </c>
      <c r="E691" s="72">
        <v>140319</v>
      </c>
      <c r="F691" s="72">
        <v>91547</v>
      </c>
      <c r="G691" s="72" t="s">
        <v>426</v>
      </c>
      <c r="H691" s="72">
        <v>3</v>
      </c>
      <c r="I691" s="72">
        <v>1712</v>
      </c>
      <c r="J691" s="72">
        <v>351</v>
      </c>
      <c r="K691" s="84">
        <v>24.8</v>
      </c>
      <c r="Q691" s="83">
        <v>70</v>
      </c>
      <c r="T691" s="72"/>
      <c r="U691" s="72"/>
      <c r="V691" s="72"/>
      <c r="W691" s="72"/>
      <c r="X691" s="72"/>
      <c r="Y691" s="72"/>
    </row>
    <row r="692" spans="1:27" x14ac:dyDescent="0.25">
      <c r="A692" s="72">
        <v>235</v>
      </c>
      <c r="B692" s="72">
        <v>4</v>
      </c>
      <c r="C692" s="72">
        <v>12</v>
      </c>
      <c r="D692" s="72">
        <v>1</v>
      </c>
      <c r="E692" s="72">
        <v>140319</v>
      </c>
      <c r="F692" s="72">
        <v>91547</v>
      </c>
      <c r="G692" s="72" t="s">
        <v>426</v>
      </c>
      <c r="H692" s="72">
        <v>4</v>
      </c>
      <c r="I692" s="72">
        <v>1700</v>
      </c>
      <c r="J692" s="72">
        <v>371</v>
      </c>
      <c r="K692" s="84">
        <v>24.1</v>
      </c>
      <c r="Q692" s="83">
        <v>70</v>
      </c>
      <c r="T692" s="72"/>
      <c r="U692" s="72"/>
      <c r="V692" s="72"/>
      <c r="W692" s="72"/>
      <c r="X692" s="72"/>
      <c r="Y692" s="72"/>
    </row>
    <row r="693" spans="1:27" x14ac:dyDescent="0.25">
      <c r="A693" s="72">
        <v>236</v>
      </c>
      <c r="B693" s="72">
        <v>5</v>
      </c>
      <c r="C693" s="72">
        <v>12</v>
      </c>
      <c r="D693" s="72">
        <v>1</v>
      </c>
      <c r="E693" s="72">
        <v>140319</v>
      </c>
      <c r="F693" s="72">
        <v>91548</v>
      </c>
      <c r="G693" s="72" t="s">
        <v>449</v>
      </c>
      <c r="H693" s="72">
        <v>5</v>
      </c>
      <c r="I693" s="72">
        <v>0</v>
      </c>
      <c r="J693" s="72">
        <v>0</v>
      </c>
      <c r="K693" s="84">
        <v>31.3</v>
      </c>
      <c r="Q693" s="83">
        <v>98</v>
      </c>
      <c r="T693" s="72"/>
      <c r="U693" s="72"/>
      <c r="V693" s="72"/>
      <c r="W693" s="72"/>
      <c r="X693" s="72"/>
      <c r="Y693" s="72"/>
    </row>
    <row r="694" spans="1:27" x14ac:dyDescent="0.25">
      <c r="A694" s="72">
        <v>237</v>
      </c>
      <c r="B694" s="72">
        <v>6</v>
      </c>
      <c r="C694" s="72">
        <v>12</v>
      </c>
      <c r="D694" s="72">
        <v>1</v>
      </c>
      <c r="E694" s="72">
        <v>140319</v>
      </c>
      <c r="F694" s="72">
        <v>91548</v>
      </c>
      <c r="G694" s="72" t="s">
        <v>449</v>
      </c>
      <c r="H694" s="72">
        <v>6</v>
      </c>
      <c r="I694" s="72">
        <v>2</v>
      </c>
      <c r="J694" s="72">
        <v>2</v>
      </c>
      <c r="K694" s="84">
        <v>34.1</v>
      </c>
      <c r="Q694" s="83">
        <v>98</v>
      </c>
      <c r="T694" s="72"/>
      <c r="U694" s="72"/>
      <c r="V694" s="72"/>
      <c r="W694" s="72"/>
      <c r="X694" s="72"/>
      <c r="Y694" s="72"/>
    </row>
    <row r="695" spans="1:27" x14ac:dyDescent="0.25">
      <c r="A695" s="72">
        <v>238</v>
      </c>
      <c r="B695" s="72">
        <v>7</v>
      </c>
      <c r="C695" s="72">
        <v>12</v>
      </c>
      <c r="D695" s="72">
        <v>1</v>
      </c>
      <c r="E695" s="72">
        <v>140319</v>
      </c>
      <c r="F695" s="72">
        <v>91548</v>
      </c>
      <c r="G695" s="55" t="s">
        <v>423</v>
      </c>
      <c r="H695" s="72">
        <v>7</v>
      </c>
      <c r="I695" s="72">
        <v>1</v>
      </c>
      <c r="J695" s="72">
        <v>1</v>
      </c>
      <c r="K695" s="84">
        <v>20.5</v>
      </c>
      <c r="Q695" s="83">
        <v>76</v>
      </c>
      <c r="T695" s="72"/>
      <c r="U695" s="72"/>
      <c r="V695" s="72"/>
      <c r="W695" s="72"/>
      <c r="X695" s="72"/>
      <c r="Y695" s="72"/>
    </row>
    <row r="696" spans="1:27" x14ac:dyDescent="0.25">
      <c r="A696" s="72">
        <v>239</v>
      </c>
      <c r="B696" s="72">
        <v>8</v>
      </c>
      <c r="C696" s="72">
        <v>12</v>
      </c>
      <c r="D696" s="72">
        <v>1</v>
      </c>
      <c r="E696" s="72">
        <v>140319</v>
      </c>
      <c r="F696" s="72">
        <v>91548</v>
      </c>
      <c r="G696" s="55" t="s">
        <v>423</v>
      </c>
      <c r="H696" s="72">
        <v>8</v>
      </c>
      <c r="I696" s="72">
        <v>2</v>
      </c>
      <c r="J696" s="72">
        <v>2</v>
      </c>
      <c r="K696" s="84">
        <v>24.2</v>
      </c>
      <c r="Q696" s="83">
        <v>76</v>
      </c>
      <c r="T696" s="72"/>
      <c r="U696" s="72"/>
      <c r="V696" s="72"/>
      <c r="W696" s="72"/>
      <c r="X696" s="72"/>
      <c r="Y696" s="72"/>
    </row>
    <row r="697" spans="1:27" x14ac:dyDescent="0.25">
      <c r="A697" s="72">
        <v>240</v>
      </c>
      <c r="B697" s="72">
        <v>9</v>
      </c>
      <c r="C697" s="72">
        <v>12</v>
      </c>
      <c r="D697" s="72">
        <v>1</v>
      </c>
      <c r="E697" s="72">
        <v>140319</v>
      </c>
      <c r="F697" s="72">
        <v>91656</v>
      </c>
      <c r="G697" s="72" t="s">
        <v>56</v>
      </c>
      <c r="H697" s="72">
        <v>9</v>
      </c>
      <c r="I697" s="72">
        <v>9</v>
      </c>
      <c r="J697" s="72">
        <v>8</v>
      </c>
      <c r="K697" s="84">
        <v>28.8</v>
      </c>
      <c r="Q697" s="72">
        <v>84</v>
      </c>
      <c r="T697" s="72"/>
      <c r="U697" s="72"/>
      <c r="V697" s="72"/>
      <c r="W697" s="72"/>
      <c r="X697" s="72"/>
      <c r="Y697" s="72"/>
    </row>
    <row r="698" spans="1:27" x14ac:dyDescent="0.25">
      <c r="A698" s="72">
        <v>241</v>
      </c>
      <c r="B698" s="72">
        <v>10</v>
      </c>
      <c r="C698" s="72">
        <v>12</v>
      </c>
      <c r="D698" s="72">
        <v>1</v>
      </c>
      <c r="E698" s="72">
        <v>140319</v>
      </c>
      <c r="F698" s="72">
        <v>91656</v>
      </c>
      <c r="G698" s="72" t="s">
        <v>56</v>
      </c>
      <c r="H698" s="72">
        <v>10</v>
      </c>
      <c r="I698" s="72">
        <v>1</v>
      </c>
      <c r="J698" s="72">
        <v>1</v>
      </c>
      <c r="K698" s="84">
        <v>26.8</v>
      </c>
      <c r="Q698" s="72">
        <v>84</v>
      </c>
      <c r="T698" s="72"/>
      <c r="U698" s="72"/>
      <c r="V698" s="72"/>
      <c r="W698" s="72"/>
      <c r="X698" s="72"/>
      <c r="Y698" s="72"/>
    </row>
    <row r="699" spans="1:27" x14ac:dyDescent="0.25">
      <c r="A699" s="72">
        <v>242</v>
      </c>
      <c r="B699" s="72">
        <v>11</v>
      </c>
      <c r="C699" s="72">
        <v>12</v>
      </c>
      <c r="D699" s="72">
        <v>1</v>
      </c>
      <c r="E699" s="72">
        <v>140319</v>
      </c>
      <c r="F699" s="72">
        <v>91656</v>
      </c>
      <c r="G699" s="72" t="s">
        <v>427</v>
      </c>
      <c r="H699" s="72">
        <v>11</v>
      </c>
      <c r="I699" s="72">
        <v>8</v>
      </c>
      <c r="J699" s="72">
        <v>8</v>
      </c>
      <c r="K699" s="84">
        <v>26.7</v>
      </c>
      <c r="Q699" s="72">
        <v>65</v>
      </c>
      <c r="T699" s="72"/>
      <c r="U699" s="72"/>
      <c r="V699" s="72"/>
      <c r="W699" s="72"/>
      <c r="X699" s="72"/>
      <c r="Y699" s="72"/>
    </row>
    <row r="700" spans="1:27" x14ac:dyDescent="0.25">
      <c r="A700" s="72">
        <v>243</v>
      </c>
      <c r="B700" s="72">
        <v>12</v>
      </c>
      <c r="C700" s="72">
        <v>12</v>
      </c>
      <c r="D700" s="72">
        <v>1</v>
      </c>
      <c r="E700" s="72">
        <v>140319</v>
      </c>
      <c r="F700" s="72">
        <v>91656</v>
      </c>
      <c r="G700" s="72" t="s">
        <v>427</v>
      </c>
      <c r="H700" s="72">
        <v>12</v>
      </c>
      <c r="I700" s="72">
        <v>2</v>
      </c>
      <c r="J700" s="72">
        <v>2</v>
      </c>
      <c r="K700" s="84">
        <v>20.8</v>
      </c>
      <c r="Q700" s="72">
        <v>65</v>
      </c>
      <c r="T700" s="72"/>
      <c r="U700" s="72"/>
      <c r="V700" s="72"/>
      <c r="W700" s="72"/>
      <c r="X700" s="72"/>
      <c r="Y700" s="72"/>
    </row>
    <row r="701" spans="1:27" x14ac:dyDescent="0.25">
      <c r="A701" s="72">
        <v>244</v>
      </c>
      <c r="B701" s="72">
        <v>13</v>
      </c>
      <c r="C701" s="72">
        <v>12</v>
      </c>
      <c r="D701" s="72">
        <v>1</v>
      </c>
      <c r="E701" s="72">
        <v>140319</v>
      </c>
      <c r="F701" s="72">
        <v>92015</v>
      </c>
      <c r="G701" s="72" t="s">
        <v>428</v>
      </c>
      <c r="H701" s="72">
        <v>13</v>
      </c>
      <c r="I701" s="72">
        <v>5</v>
      </c>
      <c r="J701" s="72">
        <v>5</v>
      </c>
      <c r="K701" s="84">
        <v>19.899999999999999</v>
      </c>
      <c r="Q701" s="72">
        <v>69</v>
      </c>
    </row>
    <row r="702" spans="1:27" x14ac:dyDescent="0.25">
      <c r="A702" s="72">
        <v>245</v>
      </c>
      <c r="B702" s="72">
        <v>14</v>
      </c>
      <c r="C702" s="72">
        <v>12</v>
      </c>
      <c r="D702" s="72">
        <v>1</v>
      </c>
      <c r="E702" s="72">
        <v>140319</v>
      </c>
      <c r="F702" s="72">
        <v>92015</v>
      </c>
      <c r="G702" s="72" t="s">
        <v>428</v>
      </c>
      <c r="H702" s="72">
        <v>14</v>
      </c>
      <c r="I702" s="72">
        <v>4</v>
      </c>
      <c r="J702" s="72">
        <v>3</v>
      </c>
      <c r="K702" s="84">
        <v>21.7</v>
      </c>
      <c r="Q702" s="72">
        <v>69</v>
      </c>
      <c r="T702" s="72"/>
      <c r="U702" s="72"/>
      <c r="V702" s="72"/>
      <c r="W702" s="72"/>
      <c r="X702" s="72"/>
      <c r="Y702" s="72"/>
      <c r="AA702" s="72"/>
    </row>
    <row r="703" spans="1:27" x14ac:dyDescent="0.25">
      <c r="A703" s="72">
        <v>246</v>
      </c>
      <c r="B703" s="72">
        <v>15</v>
      </c>
      <c r="C703" s="72">
        <v>12</v>
      </c>
      <c r="D703" s="72">
        <v>1</v>
      </c>
      <c r="E703" s="72">
        <v>140319</v>
      </c>
      <c r="F703" s="72">
        <v>92015</v>
      </c>
      <c r="G703" s="72" t="s">
        <v>411</v>
      </c>
      <c r="H703" s="72">
        <v>15</v>
      </c>
      <c r="I703" s="72">
        <v>444</v>
      </c>
      <c r="J703" s="72">
        <v>156</v>
      </c>
      <c r="K703" s="84">
        <v>35.4</v>
      </c>
      <c r="Q703" s="72">
        <v>63</v>
      </c>
      <c r="T703" s="72"/>
      <c r="U703" s="72"/>
      <c r="V703" s="72"/>
      <c r="W703" s="72"/>
      <c r="X703" s="72"/>
      <c r="Y703" s="72"/>
      <c r="AA703" s="72"/>
    </row>
    <row r="704" spans="1:27" x14ac:dyDescent="0.25">
      <c r="A704" s="72">
        <v>247</v>
      </c>
      <c r="B704" s="72">
        <v>16</v>
      </c>
      <c r="C704" s="72">
        <v>12</v>
      </c>
      <c r="D704" s="72">
        <v>1</v>
      </c>
      <c r="E704" s="72">
        <v>140319</v>
      </c>
      <c r="F704" s="72">
        <v>92015</v>
      </c>
      <c r="G704" s="72" t="s">
        <v>411</v>
      </c>
      <c r="H704" s="72">
        <v>16</v>
      </c>
      <c r="I704" s="72">
        <v>494</v>
      </c>
      <c r="J704" s="72">
        <v>164</v>
      </c>
      <c r="K704" s="84">
        <v>33.9</v>
      </c>
      <c r="Q704" s="72">
        <v>63</v>
      </c>
      <c r="T704" s="72"/>
      <c r="U704" s="72"/>
      <c r="V704" s="72"/>
      <c r="W704" s="72"/>
      <c r="X704" s="72"/>
      <c r="Y704" s="72"/>
      <c r="AA704" s="72"/>
    </row>
    <row r="705" spans="1:27" x14ac:dyDescent="0.25">
      <c r="A705" s="72">
        <v>232</v>
      </c>
      <c r="B705" s="72">
        <v>1</v>
      </c>
      <c r="C705" s="72">
        <v>12</v>
      </c>
      <c r="D705" s="72">
        <v>2</v>
      </c>
      <c r="E705" s="72">
        <v>140320</v>
      </c>
      <c r="F705" s="72">
        <v>100502</v>
      </c>
      <c r="G705" s="72" t="s">
        <v>425</v>
      </c>
      <c r="H705" s="72">
        <v>1</v>
      </c>
      <c r="I705" s="72">
        <v>631</v>
      </c>
      <c r="J705" s="72">
        <v>192</v>
      </c>
      <c r="K705" s="84">
        <v>19.100000000000001</v>
      </c>
      <c r="Q705" s="83">
        <v>63</v>
      </c>
      <c r="T705" s="72"/>
      <c r="U705" s="72"/>
      <c r="V705" s="72"/>
      <c r="W705" s="72"/>
      <c r="X705" s="72"/>
      <c r="Y705" s="72"/>
      <c r="AA705" s="72"/>
    </row>
    <row r="706" spans="1:27" x14ac:dyDescent="0.25">
      <c r="A706" s="72">
        <v>233</v>
      </c>
      <c r="B706" s="72">
        <v>2</v>
      </c>
      <c r="C706" s="72">
        <v>12</v>
      </c>
      <c r="D706" s="72">
        <v>2</v>
      </c>
      <c r="E706" s="72">
        <v>140320</v>
      </c>
      <c r="F706" s="72">
        <v>100503</v>
      </c>
      <c r="G706" s="72" t="s">
        <v>425</v>
      </c>
      <c r="H706" s="72">
        <v>2</v>
      </c>
      <c r="I706" s="72">
        <v>966</v>
      </c>
      <c r="J706" s="72">
        <v>255</v>
      </c>
      <c r="K706" s="84">
        <v>18.3</v>
      </c>
      <c r="Q706" s="83">
        <v>63</v>
      </c>
      <c r="T706" s="72"/>
      <c r="U706" s="72"/>
      <c r="V706" s="72"/>
      <c r="W706" s="72"/>
      <c r="X706" s="72"/>
      <c r="Y706" s="72"/>
      <c r="AA706" s="72"/>
    </row>
    <row r="707" spans="1:27" x14ac:dyDescent="0.25">
      <c r="A707" s="72">
        <v>234</v>
      </c>
      <c r="B707" s="72">
        <v>3</v>
      </c>
      <c r="C707" s="72">
        <v>12</v>
      </c>
      <c r="D707" s="72">
        <v>2</v>
      </c>
      <c r="E707" s="72">
        <v>140320</v>
      </c>
      <c r="F707" s="72">
        <v>100503</v>
      </c>
      <c r="G707" s="72" t="s">
        <v>426</v>
      </c>
      <c r="H707" s="72">
        <v>3</v>
      </c>
      <c r="I707" s="72">
        <v>2543</v>
      </c>
      <c r="J707" s="72">
        <v>500</v>
      </c>
      <c r="K707" s="84">
        <v>24.8</v>
      </c>
      <c r="Q707" s="83">
        <v>70</v>
      </c>
      <c r="T707" s="72"/>
      <c r="U707" s="72"/>
      <c r="V707" s="72"/>
      <c r="W707" s="72"/>
      <c r="X707" s="72"/>
      <c r="Y707" s="72"/>
      <c r="AA707" s="72"/>
    </row>
    <row r="708" spans="1:27" x14ac:dyDescent="0.25">
      <c r="A708" s="72">
        <v>235</v>
      </c>
      <c r="B708" s="72">
        <v>4</v>
      </c>
      <c r="C708" s="72">
        <v>12</v>
      </c>
      <c r="D708" s="72">
        <v>2</v>
      </c>
      <c r="E708" s="72">
        <v>140320</v>
      </c>
      <c r="F708" s="72">
        <v>100503</v>
      </c>
      <c r="G708" s="72" t="s">
        <v>426</v>
      </c>
      <c r="H708" s="72">
        <v>4</v>
      </c>
      <c r="I708" s="72">
        <v>2752</v>
      </c>
      <c r="J708" s="72">
        <v>500</v>
      </c>
      <c r="K708" s="84">
        <v>24.1</v>
      </c>
      <c r="Q708" s="83">
        <v>70</v>
      </c>
      <c r="T708" s="72"/>
      <c r="U708" s="72"/>
      <c r="V708" s="72"/>
      <c r="W708" s="72"/>
      <c r="X708" s="72"/>
      <c r="Y708" s="72"/>
      <c r="AA708" s="72"/>
    </row>
    <row r="709" spans="1:27" x14ac:dyDescent="0.25">
      <c r="A709" s="72">
        <v>236</v>
      </c>
      <c r="B709" s="72">
        <v>5</v>
      </c>
      <c r="C709" s="72">
        <v>12</v>
      </c>
      <c r="D709" s="72">
        <v>2</v>
      </c>
      <c r="E709" s="72">
        <v>140320</v>
      </c>
      <c r="F709" s="72">
        <v>100852</v>
      </c>
      <c r="G709" s="72" t="s">
        <v>449</v>
      </c>
      <c r="H709" s="72">
        <v>5</v>
      </c>
      <c r="I709" s="72">
        <v>0</v>
      </c>
      <c r="J709" s="72">
        <v>0</v>
      </c>
      <c r="K709" s="84">
        <v>31.3</v>
      </c>
      <c r="Q709" s="83">
        <v>98</v>
      </c>
      <c r="T709" s="72"/>
      <c r="U709" s="72"/>
      <c r="V709" s="72"/>
      <c r="W709" s="72"/>
      <c r="X709" s="72"/>
      <c r="Y709" s="72"/>
      <c r="AA709" s="72"/>
    </row>
    <row r="710" spans="1:27" x14ac:dyDescent="0.25">
      <c r="A710" s="72">
        <v>237</v>
      </c>
      <c r="B710" s="72">
        <v>6</v>
      </c>
      <c r="C710" s="72">
        <v>12</v>
      </c>
      <c r="D710" s="72">
        <v>2</v>
      </c>
      <c r="E710" s="72">
        <v>140320</v>
      </c>
      <c r="F710" s="72">
        <v>100852</v>
      </c>
      <c r="G710" s="72" t="s">
        <v>449</v>
      </c>
      <c r="H710" s="72">
        <v>6</v>
      </c>
      <c r="I710" s="72">
        <v>1</v>
      </c>
      <c r="J710" s="72">
        <v>1</v>
      </c>
      <c r="K710" s="84">
        <v>34.1</v>
      </c>
      <c r="Q710" s="83">
        <v>98</v>
      </c>
      <c r="T710" s="72"/>
      <c r="U710" s="72"/>
      <c r="V710" s="72"/>
      <c r="W710" s="72"/>
      <c r="X710" s="72"/>
      <c r="Y710" s="72"/>
      <c r="AA710" s="72"/>
    </row>
    <row r="711" spans="1:27" x14ac:dyDescent="0.25">
      <c r="A711" s="72">
        <v>238</v>
      </c>
      <c r="B711" s="72">
        <v>7</v>
      </c>
      <c r="C711" s="72">
        <v>12</v>
      </c>
      <c r="D711" s="72">
        <v>2</v>
      </c>
      <c r="E711" s="72">
        <v>140320</v>
      </c>
      <c r="F711" s="72">
        <v>100852</v>
      </c>
      <c r="G711" s="55" t="s">
        <v>423</v>
      </c>
      <c r="H711" s="72">
        <v>7</v>
      </c>
      <c r="I711" s="72">
        <v>0</v>
      </c>
      <c r="J711" s="72">
        <v>0</v>
      </c>
      <c r="K711" s="84">
        <v>20.5</v>
      </c>
      <c r="Q711" s="83">
        <v>76</v>
      </c>
      <c r="T711" s="72"/>
      <c r="U711" s="72"/>
      <c r="V711" s="72"/>
      <c r="W711" s="72"/>
      <c r="X711" s="72"/>
      <c r="Y711" s="72"/>
      <c r="AA711" s="72"/>
    </row>
    <row r="712" spans="1:27" x14ac:dyDescent="0.25">
      <c r="A712" s="72">
        <v>239</v>
      </c>
      <c r="B712" s="72">
        <v>8</v>
      </c>
      <c r="C712" s="72">
        <v>12</v>
      </c>
      <c r="D712" s="72">
        <v>2</v>
      </c>
      <c r="E712" s="72">
        <v>140320</v>
      </c>
      <c r="F712" s="72">
        <v>100852</v>
      </c>
      <c r="G712" s="55" t="s">
        <v>423</v>
      </c>
      <c r="H712" s="72">
        <v>8</v>
      </c>
      <c r="I712" s="72">
        <v>1</v>
      </c>
      <c r="J712" s="72">
        <v>1</v>
      </c>
      <c r="K712" s="84">
        <v>24.2</v>
      </c>
      <c r="Q712" s="83">
        <v>76</v>
      </c>
      <c r="T712" s="72"/>
      <c r="U712" s="72"/>
      <c r="V712" s="72"/>
      <c r="W712" s="72"/>
      <c r="X712" s="72"/>
      <c r="Y712" s="72"/>
      <c r="AA712" s="72"/>
    </row>
    <row r="713" spans="1:27" x14ac:dyDescent="0.25">
      <c r="A713" s="72">
        <v>240</v>
      </c>
      <c r="B713" s="72">
        <v>9</v>
      </c>
      <c r="C713" s="72">
        <v>12</v>
      </c>
      <c r="D713" s="72">
        <v>2</v>
      </c>
      <c r="E713" s="72">
        <v>140320</v>
      </c>
      <c r="F713" s="72">
        <v>101449</v>
      </c>
      <c r="G713" s="72" t="s">
        <v>56</v>
      </c>
      <c r="H713" s="72">
        <v>9</v>
      </c>
      <c r="I713" s="72">
        <v>4</v>
      </c>
      <c r="J713" s="72">
        <v>4</v>
      </c>
      <c r="K713" s="84">
        <v>28.8</v>
      </c>
      <c r="Q713" s="72">
        <v>84</v>
      </c>
      <c r="T713" s="72"/>
      <c r="U713" s="72"/>
      <c r="V713" s="72"/>
      <c r="W713" s="72"/>
      <c r="X713" s="72"/>
      <c r="Y713" s="72"/>
      <c r="AA713" s="72"/>
    </row>
    <row r="714" spans="1:27" x14ac:dyDescent="0.25">
      <c r="A714" s="72">
        <v>241</v>
      </c>
      <c r="B714" s="72">
        <v>10</v>
      </c>
      <c r="C714" s="72">
        <v>12</v>
      </c>
      <c r="D714" s="72">
        <v>2</v>
      </c>
      <c r="E714" s="72">
        <v>140320</v>
      </c>
      <c r="F714" s="72">
        <v>101449</v>
      </c>
      <c r="G714" s="72" t="s">
        <v>56</v>
      </c>
      <c r="H714" s="72">
        <v>10</v>
      </c>
      <c r="I714" s="72">
        <v>1</v>
      </c>
      <c r="J714" s="72">
        <v>1</v>
      </c>
      <c r="K714" s="84">
        <v>26.8</v>
      </c>
      <c r="Q714" s="72">
        <v>84</v>
      </c>
    </row>
    <row r="715" spans="1:27" x14ac:dyDescent="0.25">
      <c r="A715" s="72">
        <v>242</v>
      </c>
      <c r="B715" s="72">
        <v>11</v>
      </c>
      <c r="C715" s="72">
        <v>12</v>
      </c>
      <c r="D715" s="72">
        <v>2</v>
      </c>
      <c r="E715" s="72">
        <v>140320</v>
      </c>
      <c r="F715" s="72">
        <v>101449</v>
      </c>
      <c r="G715" s="72" t="s">
        <v>427</v>
      </c>
      <c r="H715" s="72">
        <v>11</v>
      </c>
      <c r="I715" s="72">
        <v>1017</v>
      </c>
      <c r="J715" s="72">
        <v>269</v>
      </c>
      <c r="K715" s="84">
        <v>26.7</v>
      </c>
      <c r="Q715" s="72">
        <v>65</v>
      </c>
      <c r="T715" s="72"/>
      <c r="U715" s="72"/>
      <c r="V715" s="72"/>
      <c r="W715" s="72"/>
      <c r="X715" s="72"/>
      <c r="Y715" s="72"/>
      <c r="AA715" s="72"/>
    </row>
    <row r="716" spans="1:27" x14ac:dyDescent="0.25">
      <c r="A716" s="72">
        <v>243</v>
      </c>
      <c r="B716" s="72">
        <v>12</v>
      </c>
      <c r="C716" s="72">
        <v>12</v>
      </c>
      <c r="D716" s="72">
        <v>2</v>
      </c>
      <c r="E716" s="72">
        <v>140320</v>
      </c>
      <c r="F716" s="72">
        <v>101449</v>
      </c>
      <c r="G716" s="72" t="s">
        <v>427</v>
      </c>
      <c r="H716" s="72">
        <v>12</v>
      </c>
      <c r="I716" s="72">
        <v>0</v>
      </c>
      <c r="J716" s="72">
        <v>0</v>
      </c>
      <c r="K716" s="84">
        <v>20.8</v>
      </c>
      <c r="Q716" s="72">
        <v>65</v>
      </c>
      <c r="T716" s="72"/>
      <c r="U716" s="72"/>
      <c r="V716" s="72"/>
      <c r="W716" s="72"/>
      <c r="X716" s="72"/>
      <c r="Y716" s="72"/>
      <c r="AA716" s="72"/>
    </row>
    <row r="717" spans="1:27" x14ac:dyDescent="0.25">
      <c r="A717" s="72">
        <v>244</v>
      </c>
      <c r="B717" s="72">
        <v>13</v>
      </c>
      <c r="C717" s="72">
        <v>12</v>
      </c>
      <c r="D717" s="72">
        <v>2</v>
      </c>
      <c r="E717" s="72">
        <v>140320</v>
      </c>
      <c r="F717" s="72">
        <v>95519</v>
      </c>
      <c r="G717" s="72" t="s">
        <v>428</v>
      </c>
      <c r="H717" s="72">
        <v>13</v>
      </c>
      <c r="I717" s="72">
        <v>1</v>
      </c>
      <c r="J717" s="72">
        <v>1</v>
      </c>
      <c r="K717" s="84">
        <v>19.899999999999999</v>
      </c>
      <c r="Q717" s="72">
        <v>69</v>
      </c>
      <c r="T717" s="72"/>
      <c r="U717" s="72"/>
      <c r="V717" s="72"/>
      <c r="W717" s="72"/>
      <c r="X717" s="72"/>
      <c r="Y717" s="72"/>
      <c r="AA717" s="72"/>
    </row>
    <row r="718" spans="1:27" x14ac:dyDescent="0.25">
      <c r="A718" s="72">
        <v>245</v>
      </c>
      <c r="B718" s="72">
        <v>14</v>
      </c>
      <c r="C718" s="72">
        <v>12</v>
      </c>
      <c r="D718" s="72">
        <v>2</v>
      </c>
      <c r="E718" s="72">
        <v>140320</v>
      </c>
      <c r="F718" s="72">
        <v>95519</v>
      </c>
      <c r="G718" s="72" t="s">
        <v>428</v>
      </c>
      <c r="H718" s="72">
        <v>14</v>
      </c>
      <c r="I718" s="72">
        <v>6</v>
      </c>
      <c r="J718" s="72">
        <v>3</v>
      </c>
      <c r="K718" s="84">
        <v>21.7</v>
      </c>
      <c r="Q718" s="72">
        <v>69</v>
      </c>
      <c r="T718" s="72"/>
      <c r="U718" s="72"/>
      <c r="V718" s="72"/>
      <c r="W718" s="72"/>
      <c r="X718" s="72"/>
      <c r="Y718" s="72"/>
      <c r="AA718" s="72"/>
    </row>
    <row r="719" spans="1:27" x14ac:dyDescent="0.25">
      <c r="A719" s="72">
        <v>246</v>
      </c>
      <c r="B719" s="72">
        <v>15</v>
      </c>
      <c r="C719" s="72">
        <v>12</v>
      </c>
      <c r="D719" s="72">
        <v>2</v>
      </c>
      <c r="E719" s="72">
        <v>140320</v>
      </c>
      <c r="F719" s="72">
        <v>95519</v>
      </c>
      <c r="G719" s="72" t="s">
        <v>411</v>
      </c>
      <c r="H719" s="72">
        <v>15</v>
      </c>
      <c r="I719" s="72">
        <v>460</v>
      </c>
      <c r="J719" s="72">
        <v>159</v>
      </c>
      <c r="K719" s="84">
        <v>35.4</v>
      </c>
      <c r="Q719" s="72">
        <v>63</v>
      </c>
      <c r="T719" s="72"/>
      <c r="U719" s="72"/>
      <c r="V719" s="72"/>
      <c r="W719" s="72"/>
      <c r="X719" s="72"/>
      <c r="Y719" s="72"/>
      <c r="AA719" s="72"/>
    </row>
    <row r="720" spans="1:27" x14ac:dyDescent="0.25">
      <c r="A720" s="72">
        <v>247</v>
      </c>
      <c r="B720" s="72">
        <v>16</v>
      </c>
      <c r="C720" s="72">
        <v>12</v>
      </c>
      <c r="D720" s="72">
        <v>2</v>
      </c>
      <c r="E720" s="72">
        <v>140320</v>
      </c>
      <c r="F720" s="72">
        <v>95519</v>
      </c>
      <c r="G720" s="72" t="s">
        <v>411</v>
      </c>
      <c r="H720" s="72">
        <v>16</v>
      </c>
      <c r="I720" s="72">
        <v>516</v>
      </c>
      <c r="J720" s="72">
        <v>170</v>
      </c>
      <c r="K720" s="84">
        <v>33.9</v>
      </c>
      <c r="Q720" s="72">
        <v>63</v>
      </c>
      <c r="T720" s="72"/>
      <c r="U720" s="72"/>
      <c r="V720" s="72"/>
      <c r="W720" s="72"/>
      <c r="X720" s="72"/>
      <c r="Y720" s="72"/>
      <c r="AA720" s="72"/>
    </row>
    <row r="721" spans="1:27" x14ac:dyDescent="0.25">
      <c r="A721" s="72">
        <v>232</v>
      </c>
      <c r="B721" s="72">
        <v>1</v>
      </c>
      <c r="C721" s="72">
        <v>12</v>
      </c>
      <c r="D721" s="22">
        <v>3</v>
      </c>
      <c r="E721" s="72">
        <v>140321</v>
      </c>
      <c r="F721" s="72">
        <v>145101</v>
      </c>
      <c r="G721" s="72" t="s">
        <v>425</v>
      </c>
      <c r="H721" s="72">
        <v>1</v>
      </c>
      <c r="I721" s="72">
        <v>1198</v>
      </c>
      <c r="J721" s="72">
        <v>295</v>
      </c>
      <c r="K721" s="84">
        <v>19.100000000000001</v>
      </c>
      <c r="P721" s="72" t="s">
        <v>139</v>
      </c>
      <c r="Q721" s="83">
        <v>63</v>
      </c>
      <c r="T721" s="72"/>
      <c r="U721" s="72"/>
      <c r="V721" s="72"/>
      <c r="W721" s="72"/>
      <c r="X721" s="72"/>
      <c r="Y721" s="72"/>
      <c r="AA721" s="72"/>
    </row>
    <row r="722" spans="1:27" x14ac:dyDescent="0.25">
      <c r="A722" s="72">
        <v>233</v>
      </c>
      <c r="B722" s="72">
        <v>2</v>
      </c>
      <c r="C722" s="72">
        <v>12</v>
      </c>
      <c r="D722" s="72">
        <v>3</v>
      </c>
      <c r="E722" s="72">
        <v>140321</v>
      </c>
      <c r="F722" s="72">
        <v>145101</v>
      </c>
      <c r="G722" s="72" t="s">
        <v>425</v>
      </c>
      <c r="H722" s="72">
        <v>2</v>
      </c>
      <c r="I722" s="72">
        <v>867</v>
      </c>
      <c r="J722" s="72">
        <v>230</v>
      </c>
      <c r="K722" s="84">
        <v>18.3</v>
      </c>
      <c r="P722" s="72" t="s">
        <v>139</v>
      </c>
      <c r="Q722" s="83">
        <v>63</v>
      </c>
      <c r="T722" s="72"/>
      <c r="U722" s="72"/>
      <c r="V722" s="72"/>
      <c r="W722" s="72"/>
      <c r="X722" s="72"/>
      <c r="Y722" s="72"/>
      <c r="AA722" s="72"/>
    </row>
    <row r="723" spans="1:27" x14ac:dyDescent="0.25">
      <c r="A723" s="72">
        <v>234</v>
      </c>
      <c r="B723" s="72">
        <v>3</v>
      </c>
      <c r="C723" s="72">
        <v>12</v>
      </c>
      <c r="D723" s="72">
        <v>3</v>
      </c>
      <c r="E723" s="72">
        <v>140321</v>
      </c>
      <c r="F723" s="72">
        <v>145558</v>
      </c>
      <c r="G723" s="72" t="s">
        <v>426</v>
      </c>
      <c r="H723" s="72">
        <v>3</v>
      </c>
      <c r="I723" s="72">
        <v>2328</v>
      </c>
      <c r="J723" s="72">
        <v>500</v>
      </c>
      <c r="K723" s="84">
        <v>24.8</v>
      </c>
      <c r="P723" s="72" t="s">
        <v>139</v>
      </c>
      <c r="Q723" s="83">
        <v>70</v>
      </c>
      <c r="T723" s="72"/>
      <c r="U723" s="72"/>
      <c r="V723" s="72"/>
      <c r="W723" s="72"/>
      <c r="X723" s="72"/>
      <c r="Y723" s="72"/>
      <c r="AA723" s="72"/>
    </row>
    <row r="724" spans="1:27" x14ac:dyDescent="0.25">
      <c r="A724" s="72">
        <v>235</v>
      </c>
      <c r="B724" s="72">
        <v>4</v>
      </c>
      <c r="C724" s="72">
        <v>12</v>
      </c>
      <c r="D724" s="72">
        <v>3</v>
      </c>
      <c r="E724" s="72">
        <v>140321</v>
      </c>
      <c r="F724" s="72">
        <v>145559</v>
      </c>
      <c r="G724" s="72" t="s">
        <v>426</v>
      </c>
      <c r="H724" s="72">
        <v>4</v>
      </c>
      <c r="I724" s="72">
        <v>2666</v>
      </c>
      <c r="J724" s="72">
        <v>500</v>
      </c>
      <c r="K724" s="84">
        <v>24.1</v>
      </c>
      <c r="P724" s="72" t="s">
        <v>139</v>
      </c>
      <c r="Q724" s="83">
        <v>70</v>
      </c>
      <c r="T724" s="72"/>
      <c r="U724" s="72"/>
      <c r="V724" s="72"/>
      <c r="W724" s="72"/>
      <c r="X724" s="72"/>
      <c r="Y724" s="72"/>
      <c r="AA724" s="72"/>
    </row>
    <row r="725" spans="1:27" x14ac:dyDescent="0.25">
      <c r="A725" s="72">
        <v>236</v>
      </c>
      <c r="B725" s="72">
        <v>5</v>
      </c>
      <c r="C725" s="72">
        <v>12</v>
      </c>
      <c r="D725" s="72">
        <v>3</v>
      </c>
      <c r="E725" s="72">
        <v>140321</v>
      </c>
      <c r="F725" s="72">
        <v>135232</v>
      </c>
      <c r="G725" s="72" t="s">
        <v>449</v>
      </c>
      <c r="H725" s="72">
        <v>5</v>
      </c>
      <c r="I725" s="72">
        <v>3</v>
      </c>
      <c r="J725" s="72">
        <v>3</v>
      </c>
      <c r="K725" s="84">
        <v>31.3</v>
      </c>
      <c r="P725" s="72" t="s">
        <v>139</v>
      </c>
      <c r="Q725" s="83">
        <v>98</v>
      </c>
      <c r="T725" s="72"/>
      <c r="U725" s="72"/>
      <c r="V725" s="72"/>
      <c r="W725" s="72"/>
      <c r="X725" s="72"/>
      <c r="Y725" s="72"/>
      <c r="AA725" s="72"/>
    </row>
    <row r="726" spans="1:27" x14ac:dyDescent="0.25">
      <c r="A726" s="72">
        <v>237</v>
      </c>
      <c r="B726" s="72">
        <v>6</v>
      </c>
      <c r="C726" s="72">
        <v>12</v>
      </c>
      <c r="D726" s="72">
        <v>3</v>
      </c>
      <c r="E726" s="72">
        <v>140321</v>
      </c>
      <c r="F726" s="72">
        <v>135232</v>
      </c>
      <c r="G726" s="72" t="s">
        <v>449</v>
      </c>
      <c r="H726" s="72">
        <v>6</v>
      </c>
      <c r="I726" s="72">
        <v>1</v>
      </c>
      <c r="J726" s="72">
        <v>1</v>
      </c>
      <c r="K726" s="84">
        <v>34.1</v>
      </c>
      <c r="P726" s="72" t="s">
        <v>139</v>
      </c>
      <c r="Q726" s="83">
        <v>98</v>
      </c>
      <c r="T726" s="72"/>
      <c r="U726" s="72"/>
      <c r="V726" s="72"/>
      <c r="W726" s="72"/>
      <c r="X726" s="72"/>
      <c r="Y726" s="72"/>
      <c r="AA726" s="72"/>
    </row>
    <row r="727" spans="1:27" x14ac:dyDescent="0.25">
      <c r="A727" s="72">
        <v>238</v>
      </c>
      <c r="B727" s="72">
        <v>7</v>
      </c>
      <c r="C727" s="72">
        <v>12</v>
      </c>
      <c r="D727" s="72">
        <v>3</v>
      </c>
      <c r="E727" s="72">
        <v>140321</v>
      </c>
      <c r="F727" s="72">
        <v>135124</v>
      </c>
      <c r="G727" s="55" t="s">
        <v>423</v>
      </c>
      <c r="H727" s="72">
        <v>7</v>
      </c>
      <c r="I727" s="72">
        <v>28</v>
      </c>
      <c r="J727" s="72">
        <v>28</v>
      </c>
      <c r="K727" s="84">
        <v>20.5</v>
      </c>
      <c r="P727" s="72" t="s">
        <v>139</v>
      </c>
      <c r="Q727" s="83">
        <v>76</v>
      </c>
    </row>
    <row r="728" spans="1:27" x14ac:dyDescent="0.25">
      <c r="A728" s="72">
        <v>239</v>
      </c>
      <c r="B728" s="72">
        <v>8</v>
      </c>
      <c r="C728" s="72">
        <v>12</v>
      </c>
      <c r="D728" s="72">
        <v>3</v>
      </c>
      <c r="E728" s="72">
        <v>140321</v>
      </c>
      <c r="F728" s="72">
        <v>130810</v>
      </c>
      <c r="G728" s="55" t="s">
        <v>423</v>
      </c>
      <c r="H728" s="72">
        <v>8</v>
      </c>
      <c r="I728" s="72">
        <v>9</v>
      </c>
      <c r="J728" s="72">
        <v>9</v>
      </c>
      <c r="K728" s="84">
        <v>24.2</v>
      </c>
      <c r="P728" s="72" t="s">
        <v>139</v>
      </c>
      <c r="Q728" s="83">
        <v>76</v>
      </c>
    </row>
    <row r="729" spans="1:27" x14ac:dyDescent="0.25">
      <c r="A729" s="72">
        <v>240</v>
      </c>
      <c r="B729" s="72">
        <v>9</v>
      </c>
      <c r="C729" s="72">
        <v>12</v>
      </c>
      <c r="D729" s="72">
        <v>3</v>
      </c>
      <c r="E729" s="72">
        <v>140321</v>
      </c>
      <c r="F729" s="72">
        <v>130810</v>
      </c>
      <c r="G729" s="72" t="s">
        <v>56</v>
      </c>
      <c r="H729" s="72">
        <v>9</v>
      </c>
      <c r="I729" s="72">
        <v>151</v>
      </c>
      <c r="J729" s="72">
        <v>99</v>
      </c>
      <c r="K729" s="84">
        <v>28.8</v>
      </c>
      <c r="P729" s="72" t="s">
        <v>139</v>
      </c>
      <c r="Q729" s="72">
        <v>84</v>
      </c>
    </row>
    <row r="730" spans="1:27" x14ac:dyDescent="0.25">
      <c r="A730" s="72">
        <v>241</v>
      </c>
      <c r="B730" s="72">
        <v>10</v>
      </c>
      <c r="C730" s="72">
        <v>12</v>
      </c>
      <c r="D730" s="72">
        <v>3</v>
      </c>
      <c r="E730" s="72">
        <v>140321</v>
      </c>
      <c r="F730" s="72">
        <v>130810</v>
      </c>
      <c r="G730" s="72" t="s">
        <v>56</v>
      </c>
      <c r="H730" s="72">
        <v>10</v>
      </c>
      <c r="I730" s="72">
        <v>1</v>
      </c>
      <c r="J730" s="72">
        <v>1</v>
      </c>
      <c r="K730" s="84">
        <v>26.8</v>
      </c>
      <c r="P730" s="72" t="s">
        <v>139</v>
      </c>
      <c r="Q730" s="72">
        <v>84</v>
      </c>
    </row>
    <row r="731" spans="1:27" x14ac:dyDescent="0.25">
      <c r="A731" s="72">
        <v>242</v>
      </c>
      <c r="B731" s="72">
        <v>11</v>
      </c>
      <c r="C731" s="72">
        <v>12</v>
      </c>
      <c r="D731" s="72">
        <v>3</v>
      </c>
      <c r="E731" s="72">
        <v>140321</v>
      </c>
      <c r="F731" s="72">
        <v>123229</v>
      </c>
      <c r="G731" s="72" t="s">
        <v>427</v>
      </c>
      <c r="H731" s="72">
        <v>11</v>
      </c>
      <c r="I731" s="72">
        <v>2240</v>
      </c>
      <c r="J731" s="72">
        <v>500</v>
      </c>
      <c r="K731" s="84">
        <v>26.7</v>
      </c>
      <c r="P731" s="72" t="s">
        <v>139</v>
      </c>
      <c r="Q731" s="72">
        <v>65</v>
      </c>
    </row>
    <row r="732" spans="1:27" x14ac:dyDescent="0.25">
      <c r="A732" s="72">
        <v>243</v>
      </c>
      <c r="B732" s="72">
        <v>12</v>
      </c>
      <c r="C732" s="72">
        <v>12</v>
      </c>
      <c r="D732" s="72">
        <v>3</v>
      </c>
      <c r="E732" s="72">
        <v>140321</v>
      </c>
      <c r="F732" s="72">
        <v>123230</v>
      </c>
      <c r="G732" s="72" t="s">
        <v>427</v>
      </c>
      <c r="H732" s="72">
        <v>12</v>
      </c>
      <c r="I732" s="72">
        <v>1</v>
      </c>
      <c r="J732" s="72">
        <v>1</v>
      </c>
      <c r="K732" s="84">
        <v>20.8</v>
      </c>
      <c r="P732" s="72" t="s">
        <v>139</v>
      </c>
      <c r="Q732" s="72">
        <v>65</v>
      </c>
    </row>
    <row r="733" spans="1:27" x14ac:dyDescent="0.25">
      <c r="A733" s="72">
        <v>244</v>
      </c>
      <c r="B733" s="72">
        <v>13</v>
      </c>
      <c r="C733" s="72">
        <v>12</v>
      </c>
      <c r="D733" s="72">
        <v>3</v>
      </c>
      <c r="E733" s="72">
        <v>140321</v>
      </c>
      <c r="F733" s="72">
        <v>123146</v>
      </c>
      <c r="G733" s="72" t="s">
        <v>428</v>
      </c>
      <c r="H733" s="72">
        <v>13</v>
      </c>
      <c r="I733" s="72">
        <v>118</v>
      </c>
      <c r="J733" s="72">
        <v>76</v>
      </c>
      <c r="K733" s="84">
        <v>19.899999999999999</v>
      </c>
      <c r="P733" s="72" t="s">
        <v>139</v>
      </c>
      <c r="Q733" s="72">
        <v>69</v>
      </c>
    </row>
    <row r="734" spans="1:27" x14ac:dyDescent="0.25">
      <c r="A734" s="72">
        <v>245</v>
      </c>
      <c r="B734" s="72">
        <v>14</v>
      </c>
      <c r="C734" s="72">
        <v>12</v>
      </c>
      <c r="D734" s="72">
        <v>3</v>
      </c>
      <c r="E734" s="72">
        <v>140321</v>
      </c>
      <c r="F734" s="72">
        <v>123146</v>
      </c>
      <c r="G734" s="72" t="s">
        <v>428</v>
      </c>
      <c r="H734" s="72">
        <v>14</v>
      </c>
      <c r="I734" s="72">
        <v>1</v>
      </c>
      <c r="J734" s="72">
        <v>1</v>
      </c>
      <c r="K734" s="84">
        <v>21.7</v>
      </c>
      <c r="P734" s="72" t="s">
        <v>139</v>
      </c>
      <c r="Q734" s="72">
        <v>69</v>
      </c>
    </row>
    <row r="735" spans="1:27" x14ac:dyDescent="0.25">
      <c r="A735" s="72">
        <v>246</v>
      </c>
      <c r="B735" s="72">
        <v>15</v>
      </c>
      <c r="C735" s="72">
        <v>12</v>
      </c>
      <c r="D735" s="72">
        <v>3</v>
      </c>
      <c r="E735" s="72">
        <v>140321</v>
      </c>
      <c r="F735" s="72">
        <v>114821</v>
      </c>
      <c r="G735" s="72" t="s">
        <v>411</v>
      </c>
      <c r="H735" s="72">
        <v>15</v>
      </c>
      <c r="I735" s="72">
        <v>558</v>
      </c>
      <c r="J735" s="72">
        <v>180</v>
      </c>
      <c r="K735" s="84">
        <v>35.4</v>
      </c>
      <c r="P735" s="72" t="s">
        <v>139</v>
      </c>
      <c r="Q735" s="72">
        <v>63</v>
      </c>
    </row>
    <row r="736" spans="1:27" x14ac:dyDescent="0.25">
      <c r="A736" s="72">
        <v>247</v>
      </c>
      <c r="B736" s="72">
        <v>16</v>
      </c>
      <c r="C736" s="72">
        <v>12</v>
      </c>
      <c r="D736" s="72">
        <v>3</v>
      </c>
      <c r="E736" s="72">
        <v>140321</v>
      </c>
      <c r="F736" s="72">
        <v>114821</v>
      </c>
      <c r="G736" s="72" t="s">
        <v>411</v>
      </c>
      <c r="H736" s="72">
        <v>16</v>
      </c>
      <c r="I736" s="72">
        <v>619</v>
      </c>
      <c r="J736" s="72">
        <v>192</v>
      </c>
      <c r="K736" s="84">
        <v>33.9</v>
      </c>
      <c r="P736" s="72" t="s">
        <v>139</v>
      </c>
      <c r="Q736" s="72">
        <v>63</v>
      </c>
    </row>
    <row r="737" spans="1:17" x14ac:dyDescent="0.25">
      <c r="A737" s="72">
        <v>248</v>
      </c>
      <c r="B737" s="72">
        <v>1</v>
      </c>
      <c r="C737" s="22">
        <v>13</v>
      </c>
      <c r="D737" s="72">
        <v>1</v>
      </c>
      <c r="E737" s="72">
        <v>140322</v>
      </c>
      <c r="F737" s="72">
        <v>133921</v>
      </c>
      <c r="G737" s="72" t="s">
        <v>428</v>
      </c>
      <c r="H737" s="72">
        <v>1</v>
      </c>
      <c r="I737" s="72">
        <v>7</v>
      </c>
      <c r="J737" s="72">
        <v>7</v>
      </c>
      <c r="K737" s="97">
        <v>20</v>
      </c>
      <c r="Q737" s="55">
        <v>72</v>
      </c>
    </row>
    <row r="738" spans="1:17" x14ac:dyDescent="0.25">
      <c r="A738" s="72">
        <v>249</v>
      </c>
      <c r="B738" s="72">
        <v>2</v>
      </c>
      <c r="C738" s="72">
        <v>13</v>
      </c>
      <c r="D738" s="72">
        <v>1</v>
      </c>
      <c r="E738" s="72">
        <v>140322</v>
      </c>
      <c r="F738" s="72">
        <v>132828</v>
      </c>
      <c r="G738" s="72" t="s">
        <v>428</v>
      </c>
      <c r="H738" s="72">
        <v>2</v>
      </c>
      <c r="I738" s="72">
        <v>3</v>
      </c>
      <c r="J738" s="72">
        <v>3</v>
      </c>
      <c r="K738" s="97">
        <v>22.8</v>
      </c>
      <c r="Q738" s="55">
        <v>72</v>
      </c>
    </row>
    <row r="739" spans="1:17" x14ac:dyDescent="0.25">
      <c r="A739" s="72">
        <v>250</v>
      </c>
      <c r="B739" s="72">
        <v>3</v>
      </c>
      <c r="C739" s="72">
        <v>13</v>
      </c>
      <c r="D739" s="72">
        <v>1</v>
      </c>
      <c r="E739" s="72">
        <v>140322</v>
      </c>
      <c r="F739" s="72">
        <v>132703</v>
      </c>
      <c r="G739" s="72" t="s">
        <v>411</v>
      </c>
      <c r="H739" s="72">
        <v>3</v>
      </c>
      <c r="I739" s="72">
        <v>347</v>
      </c>
      <c r="J739" s="72">
        <v>139</v>
      </c>
      <c r="K739" s="97">
        <v>33.299999999999997</v>
      </c>
      <c r="Q739" s="55">
        <v>66</v>
      </c>
    </row>
    <row r="740" spans="1:17" x14ac:dyDescent="0.25">
      <c r="A740" s="72">
        <v>251</v>
      </c>
      <c r="B740" s="72">
        <v>4</v>
      </c>
      <c r="C740" s="72">
        <v>13</v>
      </c>
      <c r="D740" s="72">
        <v>1</v>
      </c>
      <c r="E740" s="72">
        <v>140322</v>
      </c>
      <c r="F740" s="72">
        <v>132703</v>
      </c>
      <c r="G740" s="72" t="s">
        <v>411</v>
      </c>
      <c r="H740" s="72">
        <v>4</v>
      </c>
      <c r="I740" s="72">
        <v>182</v>
      </c>
      <c r="J740" s="72">
        <v>102</v>
      </c>
      <c r="K740" s="97">
        <v>40.799999999999997</v>
      </c>
      <c r="Q740" s="55">
        <v>66</v>
      </c>
    </row>
    <row r="741" spans="1:17" x14ac:dyDescent="0.25">
      <c r="A741" s="72">
        <v>252</v>
      </c>
      <c r="B741" s="72">
        <v>5</v>
      </c>
      <c r="C741" s="72">
        <v>13</v>
      </c>
      <c r="D741" s="72">
        <v>1</v>
      </c>
      <c r="E741" s="72">
        <v>140322</v>
      </c>
      <c r="F741" s="72">
        <v>133320</v>
      </c>
      <c r="G741" s="72" t="s">
        <v>425</v>
      </c>
      <c r="H741" s="72">
        <v>5</v>
      </c>
      <c r="I741" s="72">
        <v>1175</v>
      </c>
      <c r="J741" s="72">
        <v>299</v>
      </c>
      <c r="K741" s="97">
        <v>19</v>
      </c>
      <c r="Q741" s="55">
        <v>66</v>
      </c>
    </row>
    <row r="742" spans="1:17" x14ac:dyDescent="0.25">
      <c r="A742" s="72">
        <v>253</v>
      </c>
      <c r="B742" s="72">
        <v>6</v>
      </c>
      <c r="C742" s="72">
        <v>13</v>
      </c>
      <c r="D742" s="72">
        <v>1</v>
      </c>
      <c r="E742" s="72">
        <v>140322</v>
      </c>
      <c r="F742" s="72">
        <v>133411</v>
      </c>
      <c r="G742" s="72" t="s">
        <v>425</v>
      </c>
      <c r="H742" s="72">
        <v>6</v>
      </c>
      <c r="I742" s="72">
        <v>833</v>
      </c>
      <c r="J742" s="72">
        <v>225</v>
      </c>
      <c r="K742" s="97">
        <v>19.2</v>
      </c>
      <c r="Q742" s="55">
        <v>66</v>
      </c>
    </row>
    <row r="743" spans="1:17" x14ac:dyDescent="0.25">
      <c r="A743" s="72">
        <v>254</v>
      </c>
      <c r="B743" s="72">
        <v>7</v>
      </c>
      <c r="C743" s="72">
        <v>13</v>
      </c>
      <c r="D743" s="72">
        <v>1</v>
      </c>
      <c r="E743" s="72">
        <v>140322</v>
      </c>
      <c r="F743" s="72">
        <v>133320</v>
      </c>
      <c r="G743" s="72" t="s">
        <v>425</v>
      </c>
      <c r="H743" s="72">
        <v>7</v>
      </c>
      <c r="I743" s="72">
        <v>6</v>
      </c>
      <c r="J743" s="72">
        <v>6</v>
      </c>
      <c r="K743" s="97">
        <v>18.399999999999999</v>
      </c>
      <c r="Q743" s="55">
        <v>66</v>
      </c>
    </row>
    <row r="744" spans="1:17" x14ac:dyDescent="0.25">
      <c r="A744" s="72">
        <v>255</v>
      </c>
      <c r="B744" s="72">
        <v>8</v>
      </c>
      <c r="C744" s="72">
        <v>13</v>
      </c>
      <c r="D744" s="72">
        <v>1</v>
      </c>
      <c r="E744" s="72">
        <v>140322</v>
      </c>
      <c r="F744" s="72">
        <v>132704</v>
      </c>
      <c r="G744" s="72" t="s">
        <v>437</v>
      </c>
      <c r="H744" s="72">
        <v>8</v>
      </c>
      <c r="I744" s="72">
        <v>3</v>
      </c>
      <c r="J744" s="72">
        <v>3</v>
      </c>
      <c r="K744" s="97">
        <v>26.7</v>
      </c>
      <c r="Q744" s="55">
        <v>65</v>
      </c>
    </row>
    <row r="745" spans="1:17" x14ac:dyDescent="0.25">
      <c r="A745" s="72">
        <v>256</v>
      </c>
      <c r="B745" s="72">
        <v>9</v>
      </c>
      <c r="C745" s="72">
        <v>13</v>
      </c>
      <c r="D745" s="72">
        <v>1</v>
      </c>
      <c r="E745" s="72">
        <v>140322</v>
      </c>
      <c r="F745" s="72">
        <v>131840</v>
      </c>
      <c r="G745" s="72" t="s">
        <v>437</v>
      </c>
      <c r="H745" s="72">
        <v>9</v>
      </c>
      <c r="I745" s="72">
        <v>0</v>
      </c>
      <c r="J745" s="72">
        <v>0</v>
      </c>
      <c r="K745" s="97">
        <v>27.7</v>
      </c>
      <c r="Q745" s="55">
        <v>65</v>
      </c>
    </row>
    <row r="746" spans="1:17" x14ac:dyDescent="0.25">
      <c r="A746" s="72">
        <v>257</v>
      </c>
      <c r="B746" s="72">
        <v>10</v>
      </c>
      <c r="C746" s="72">
        <v>13</v>
      </c>
      <c r="D746" s="72">
        <v>1</v>
      </c>
      <c r="E746" s="72">
        <v>140322</v>
      </c>
      <c r="F746" s="72">
        <v>131840</v>
      </c>
      <c r="G746" s="72" t="s">
        <v>437</v>
      </c>
      <c r="H746" s="72">
        <v>10</v>
      </c>
      <c r="I746" s="72">
        <v>22</v>
      </c>
      <c r="J746" s="72">
        <v>20</v>
      </c>
      <c r="K746" s="97">
        <v>23.5</v>
      </c>
      <c r="Q746" s="55">
        <v>65</v>
      </c>
    </row>
    <row r="747" spans="1:17" x14ac:dyDescent="0.25">
      <c r="A747" s="72">
        <v>258</v>
      </c>
      <c r="B747" s="72">
        <v>11</v>
      </c>
      <c r="C747" s="72">
        <v>13</v>
      </c>
      <c r="D747" s="72">
        <v>1</v>
      </c>
      <c r="E747" s="72">
        <v>140322</v>
      </c>
      <c r="F747" s="72">
        <v>131705</v>
      </c>
      <c r="G747" s="72" t="s">
        <v>438</v>
      </c>
      <c r="H747" s="72">
        <v>11</v>
      </c>
      <c r="I747" s="72">
        <v>4</v>
      </c>
      <c r="J747" s="72">
        <v>4</v>
      </c>
      <c r="K747" s="85">
        <v>25.4</v>
      </c>
      <c r="Q747" s="55">
        <v>74</v>
      </c>
    </row>
    <row r="748" spans="1:17" x14ac:dyDescent="0.25">
      <c r="A748" s="72">
        <v>259</v>
      </c>
      <c r="B748" s="72">
        <v>12</v>
      </c>
      <c r="C748" s="72">
        <v>13</v>
      </c>
      <c r="D748" s="72">
        <v>1</v>
      </c>
      <c r="E748" s="72">
        <v>140322</v>
      </c>
      <c r="F748" s="72">
        <v>131705</v>
      </c>
      <c r="G748" s="72" t="s">
        <v>439</v>
      </c>
      <c r="H748" s="72">
        <v>12</v>
      </c>
      <c r="I748" s="72">
        <v>626</v>
      </c>
      <c r="J748" s="72">
        <v>192</v>
      </c>
      <c r="K748" s="85">
        <v>24.8</v>
      </c>
      <c r="Q748" s="55">
        <v>61</v>
      </c>
    </row>
    <row r="749" spans="1:17" x14ac:dyDescent="0.25">
      <c r="A749" s="72">
        <v>260</v>
      </c>
      <c r="B749" s="72">
        <v>13</v>
      </c>
      <c r="C749" s="72">
        <v>13</v>
      </c>
      <c r="D749" s="72">
        <v>1</v>
      </c>
      <c r="E749" s="72">
        <v>140322</v>
      </c>
      <c r="F749" s="72">
        <v>131518</v>
      </c>
      <c r="G749" s="72" t="s">
        <v>439</v>
      </c>
      <c r="H749" s="72">
        <v>13</v>
      </c>
      <c r="I749" s="72">
        <v>449</v>
      </c>
      <c r="J749" s="72">
        <v>155</v>
      </c>
      <c r="K749" s="85">
        <v>19.8</v>
      </c>
      <c r="Q749" s="55">
        <v>61</v>
      </c>
    </row>
    <row r="750" spans="1:17" x14ac:dyDescent="0.25">
      <c r="A750" s="72">
        <v>261</v>
      </c>
      <c r="B750" s="72">
        <v>14</v>
      </c>
      <c r="C750" s="72">
        <v>13</v>
      </c>
      <c r="D750" s="72">
        <v>1</v>
      </c>
      <c r="E750" s="72">
        <v>140322</v>
      </c>
      <c r="F750" s="72">
        <v>130818</v>
      </c>
      <c r="G750" s="72" t="s">
        <v>440</v>
      </c>
      <c r="H750" s="72">
        <v>14</v>
      </c>
      <c r="I750" s="72">
        <v>1700</v>
      </c>
      <c r="J750" s="72">
        <v>384</v>
      </c>
      <c r="K750" s="85">
        <v>20.2</v>
      </c>
      <c r="Q750" s="55">
        <v>74</v>
      </c>
    </row>
    <row r="751" spans="1:17" x14ac:dyDescent="0.25">
      <c r="A751" s="72">
        <v>262</v>
      </c>
      <c r="B751" s="72">
        <v>15</v>
      </c>
      <c r="C751" s="72">
        <v>13</v>
      </c>
      <c r="D751" s="72">
        <v>1</v>
      </c>
      <c r="E751" s="72">
        <v>140322</v>
      </c>
      <c r="F751" s="72">
        <v>130818</v>
      </c>
      <c r="G751" s="72" t="s">
        <v>440</v>
      </c>
      <c r="H751" s="72">
        <v>15</v>
      </c>
      <c r="I751" s="72">
        <v>1</v>
      </c>
      <c r="J751" s="72">
        <v>1</v>
      </c>
      <c r="K751" s="85">
        <v>21.3</v>
      </c>
      <c r="Q751" s="55">
        <v>74</v>
      </c>
    </row>
    <row r="752" spans="1:17" x14ac:dyDescent="0.25">
      <c r="A752" s="72">
        <v>263</v>
      </c>
      <c r="B752" s="72">
        <v>16</v>
      </c>
      <c r="C752" s="72">
        <v>13</v>
      </c>
      <c r="D752" s="72">
        <v>1</v>
      </c>
      <c r="E752" s="72">
        <v>140322</v>
      </c>
      <c r="F752" s="72">
        <v>130818</v>
      </c>
      <c r="G752" s="72" t="s">
        <v>440</v>
      </c>
      <c r="H752" s="72">
        <v>16</v>
      </c>
      <c r="I752" s="72">
        <v>879</v>
      </c>
      <c r="J752" s="72">
        <v>241</v>
      </c>
      <c r="K752" s="85">
        <v>23</v>
      </c>
      <c r="Q752" s="55">
        <v>74</v>
      </c>
    </row>
    <row r="753" spans="1:17" x14ac:dyDescent="0.25">
      <c r="A753" s="72">
        <v>248</v>
      </c>
      <c r="B753" s="72">
        <v>1</v>
      </c>
      <c r="C753" s="72">
        <v>13</v>
      </c>
      <c r="D753" s="22">
        <v>2</v>
      </c>
      <c r="E753" s="72">
        <v>140323</v>
      </c>
      <c r="F753" s="72">
        <v>143944</v>
      </c>
      <c r="G753" s="72" t="s">
        <v>428</v>
      </c>
      <c r="H753" s="72">
        <v>1</v>
      </c>
      <c r="I753" s="72">
        <v>0</v>
      </c>
      <c r="J753" s="72">
        <v>0</v>
      </c>
      <c r="K753" s="97">
        <v>20</v>
      </c>
      <c r="Q753" s="55">
        <v>72</v>
      </c>
    </row>
    <row r="754" spans="1:17" x14ac:dyDescent="0.25">
      <c r="A754" s="72">
        <v>249</v>
      </c>
      <c r="B754" s="72">
        <v>2</v>
      </c>
      <c r="C754" s="72">
        <v>13</v>
      </c>
      <c r="D754" s="72">
        <v>2</v>
      </c>
      <c r="E754" s="72">
        <v>140323</v>
      </c>
      <c r="F754" s="72">
        <v>143944</v>
      </c>
      <c r="G754" s="72" t="s">
        <v>428</v>
      </c>
      <c r="H754" s="72">
        <v>2</v>
      </c>
      <c r="I754" s="72">
        <v>0</v>
      </c>
      <c r="J754" s="72">
        <v>0</v>
      </c>
      <c r="K754" s="97">
        <v>22.8</v>
      </c>
      <c r="Q754" s="55">
        <v>72</v>
      </c>
    </row>
    <row r="755" spans="1:17" x14ac:dyDescent="0.25">
      <c r="A755" s="72">
        <v>250</v>
      </c>
      <c r="B755" s="72">
        <v>3</v>
      </c>
      <c r="C755" s="72">
        <v>13</v>
      </c>
      <c r="D755" s="72">
        <v>2</v>
      </c>
      <c r="E755" s="72">
        <v>140323</v>
      </c>
      <c r="F755" s="72">
        <v>143944</v>
      </c>
      <c r="G755" s="72" t="s">
        <v>411</v>
      </c>
      <c r="H755" s="72">
        <v>3</v>
      </c>
      <c r="I755" s="72">
        <v>305</v>
      </c>
      <c r="J755" s="72">
        <v>129</v>
      </c>
      <c r="K755" s="97">
        <v>33.299999999999997</v>
      </c>
      <c r="Q755" s="55">
        <v>66</v>
      </c>
    </row>
    <row r="756" spans="1:17" x14ac:dyDescent="0.25">
      <c r="A756" s="72">
        <v>251</v>
      </c>
      <c r="B756" s="72">
        <v>4</v>
      </c>
      <c r="C756" s="72">
        <v>13</v>
      </c>
      <c r="D756" s="72">
        <v>2</v>
      </c>
      <c r="E756" s="72">
        <v>140323</v>
      </c>
      <c r="F756" s="72">
        <v>143944</v>
      </c>
      <c r="G756" s="72" t="s">
        <v>411</v>
      </c>
      <c r="H756" s="72">
        <v>4</v>
      </c>
      <c r="I756" s="72">
        <v>294</v>
      </c>
      <c r="J756" s="72">
        <v>126</v>
      </c>
      <c r="K756" s="97">
        <v>40.799999999999997</v>
      </c>
      <c r="Q756" s="55">
        <v>66</v>
      </c>
    </row>
    <row r="757" spans="1:17" x14ac:dyDescent="0.25">
      <c r="A757" s="72">
        <v>252</v>
      </c>
      <c r="B757" s="72">
        <v>5</v>
      </c>
      <c r="C757" s="72">
        <v>13</v>
      </c>
      <c r="D757" s="72">
        <v>2</v>
      </c>
      <c r="E757" s="72">
        <v>140323</v>
      </c>
      <c r="F757" s="72">
        <v>144650</v>
      </c>
      <c r="G757" s="72" t="s">
        <v>425</v>
      </c>
      <c r="H757" s="72">
        <v>5</v>
      </c>
      <c r="I757" s="72">
        <v>967</v>
      </c>
      <c r="J757" s="72">
        <v>257</v>
      </c>
      <c r="K757" s="97">
        <v>19</v>
      </c>
      <c r="Q757" s="55">
        <v>66</v>
      </c>
    </row>
    <row r="758" spans="1:17" x14ac:dyDescent="0.25">
      <c r="A758" s="72">
        <v>253</v>
      </c>
      <c r="B758" s="72">
        <v>6</v>
      </c>
      <c r="C758" s="72">
        <v>13</v>
      </c>
      <c r="D758" s="72">
        <v>2</v>
      </c>
      <c r="E758" s="72">
        <v>140323</v>
      </c>
      <c r="F758" s="72">
        <v>144650</v>
      </c>
      <c r="G758" s="72" t="s">
        <v>425</v>
      </c>
      <c r="H758" s="72">
        <v>6</v>
      </c>
      <c r="I758" s="72">
        <v>787</v>
      </c>
      <c r="J758" s="72">
        <v>218</v>
      </c>
      <c r="K758" s="97">
        <v>19.2</v>
      </c>
      <c r="Q758" s="55">
        <v>66</v>
      </c>
    </row>
    <row r="759" spans="1:17" x14ac:dyDescent="0.25">
      <c r="A759" s="72">
        <v>254</v>
      </c>
      <c r="B759" s="72">
        <v>7</v>
      </c>
      <c r="C759" s="72">
        <v>13</v>
      </c>
      <c r="D759" s="72">
        <v>2</v>
      </c>
      <c r="E759" s="72">
        <v>140323</v>
      </c>
      <c r="F759" s="72">
        <v>144650</v>
      </c>
      <c r="G759" s="72" t="s">
        <v>425</v>
      </c>
      <c r="H759" s="72">
        <v>7</v>
      </c>
      <c r="I759" s="72">
        <v>1</v>
      </c>
      <c r="J759" s="72">
        <v>1</v>
      </c>
      <c r="K759" s="97">
        <v>18.399999999999999</v>
      </c>
      <c r="Q759" s="55">
        <v>66</v>
      </c>
    </row>
    <row r="760" spans="1:17" x14ac:dyDescent="0.25">
      <c r="A760" s="72">
        <v>255</v>
      </c>
      <c r="B760" s="72">
        <v>8</v>
      </c>
      <c r="C760" s="72">
        <v>13</v>
      </c>
      <c r="D760" s="72">
        <v>2</v>
      </c>
      <c r="E760" s="72">
        <v>140323</v>
      </c>
      <c r="F760" s="72">
        <v>144650</v>
      </c>
      <c r="G760" s="72" t="s">
        <v>437</v>
      </c>
      <c r="H760" s="72">
        <v>8</v>
      </c>
      <c r="I760" s="72">
        <v>0</v>
      </c>
      <c r="J760" s="72">
        <v>0</v>
      </c>
      <c r="K760" s="97">
        <v>26.7</v>
      </c>
      <c r="Q760" s="55">
        <v>65</v>
      </c>
    </row>
    <row r="761" spans="1:17" x14ac:dyDescent="0.25">
      <c r="A761" s="72">
        <v>256</v>
      </c>
      <c r="B761" s="72">
        <v>9</v>
      </c>
      <c r="C761" s="72">
        <v>13</v>
      </c>
      <c r="D761" s="72">
        <v>2</v>
      </c>
      <c r="E761" s="72">
        <v>140323</v>
      </c>
      <c r="F761" s="72">
        <v>151244</v>
      </c>
      <c r="G761" s="72" t="s">
        <v>437</v>
      </c>
      <c r="H761" s="72">
        <v>9</v>
      </c>
      <c r="I761" s="72">
        <v>2</v>
      </c>
      <c r="J761" s="72">
        <v>2</v>
      </c>
      <c r="K761" s="97">
        <v>27.7</v>
      </c>
      <c r="Q761" s="55">
        <v>65</v>
      </c>
    </row>
    <row r="762" spans="1:17" x14ac:dyDescent="0.25">
      <c r="A762" s="72">
        <v>257</v>
      </c>
      <c r="B762" s="72">
        <v>10</v>
      </c>
      <c r="C762" s="72">
        <v>13</v>
      </c>
      <c r="D762" s="72">
        <v>2</v>
      </c>
      <c r="E762" s="72">
        <v>140323</v>
      </c>
      <c r="F762" s="72">
        <v>145517</v>
      </c>
      <c r="G762" s="72" t="s">
        <v>437</v>
      </c>
      <c r="H762" s="72">
        <v>10</v>
      </c>
      <c r="I762" s="72">
        <v>9</v>
      </c>
      <c r="J762" s="72">
        <v>8</v>
      </c>
      <c r="K762" s="97">
        <v>23.5</v>
      </c>
      <c r="Q762" s="55">
        <v>65</v>
      </c>
    </row>
    <row r="763" spans="1:17" x14ac:dyDescent="0.25">
      <c r="A763" s="72">
        <v>258</v>
      </c>
      <c r="B763" s="72">
        <v>11</v>
      </c>
      <c r="C763" s="72">
        <v>13</v>
      </c>
      <c r="D763" s="72">
        <v>2</v>
      </c>
      <c r="E763" s="72">
        <v>140323</v>
      </c>
      <c r="F763" s="72">
        <v>145517</v>
      </c>
      <c r="G763" s="72" t="s">
        <v>438</v>
      </c>
      <c r="H763" s="72">
        <v>11</v>
      </c>
      <c r="I763" s="72">
        <v>0</v>
      </c>
      <c r="J763" s="72">
        <v>0</v>
      </c>
      <c r="K763" s="85">
        <v>25.4</v>
      </c>
      <c r="Q763" s="55">
        <v>74</v>
      </c>
    </row>
    <row r="764" spans="1:17" x14ac:dyDescent="0.25">
      <c r="A764" s="72">
        <v>259</v>
      </c>
      <c r="B764" s="72">
        <v>12</v>
      </c>
      <c r="C764" s="72">
        <v>13</v>
      </c>
      <c r="D764" s="72">
        <v>2</v>
      </c>
      <c r="E764" s="72">
        <v>140323</v>
      </c>
      <c r="F764" s="72">
        <v>145517</v>
      </c>
      <c r="G764" s="72" t="s">
        <v>439</v>
      </c>
      <c r="H764" s="72">
        <v>12</v>
      </c>
      <c r="I764" s="72">
        <v>609</v>
      </c>
      <c r="J764" s="72">
        <v>188</v>
      </c>
      <c r="K764" s="85">
        <v>24.8</v>
      </c>
      <c r="Q764" s="55">
        <v>61</v>
      </c>
    </row>
    <row r="765" spans="1:17" x14ac:dyDescent="0.25">
      <c r="A765" s="72">
        <v>260</v>
      </c>
      <c r="B765" s="72">
        <v>13</v>
      </c>
      <c r="C765" s="72">
        <v>13</v>
      </c>
      <c r="D765" s="72">
        <v>2</v>
      </c>
      <c r="E765" s="72">
        <v>140323</v>
      </c>
      <c r="F765" s="72">
        <v>150249</v>
      </c>
      <c r="G765" s="72" t="s">
        <v>439</v>
      </c>
      <c r="H765" s="72">
        <v>13</v>
      </c>
      <c r="I765" s="72">
        <v>575</v>
      </c>
      <c r="J765" s="72">
        <v>179</v>
      </c>
      <c r="K765" s="85">
        <v>19.8</v>
      </c>
      <c r="Q765" s="55">
        <v>61</v>
      </c>
    </row>
    <row r="766" spans="1:17" x14ac:dyDescent="0.25">
      <c r="A766" s="72">
        <v>261</v>
      </c>
      <c r="B766" s="72">
        <v>14</v>
      </c>
      <c r="C766" s="72">
        <v>13</v>
      </c>
      <c r="D766" s="72">
        <v>2</v>
      </c>
      <c r="E766" s="72">
        <v>140323</v>
      </c>
      <c r="F766" s="72">
        <v>150249</v>
      </c>
      <c r="G766" s="72" t="s">
        <v>440</v>
      </c>
      <c r="H766" s="72">
        <v>14</v>
      </c>
      <c r="I766" s="72">
        <v>2043</v>
      </c>
      <c r="J766" s="72">
        <v>445</v>
      </c>
      <c r="K766" s="85">
        <v>20.2</v>
      </c>
      <c r="Q766" s="55">
        <v>74</v>
      </c>
    </row>
    <row r="767" spans="1:17" x14ac:dyDescent="0.25">
      <c r="A767" s="72">
        <v>262</v>
      </c>
      <c r="B767" s="72">
        <v>15</v>
      </c>
      <c r="C767" s="72">
        <v>13</v>
      </c>
      <c r="D767" s="72">
        <v>2</v>
      </c>
      <c r="E767" s="72">
        <v>140323</v>
      </c>
      <c r="F767" s="72">
        <v>150249</v>
      </c>
      <c r="G767" s="72" t="s">
        <v>440</v>
      </c>
      <c r="H767" s="72">
        <v>15</v>
      </c>
      <c r="I767" s="72">
        <v>1</v>
      </c>
      <c r="J767" s="72">
        <v>1</v>
      </c>
      <c r="K767" s="85">
        <v>21.3</v>
      </c>
      <c r="Q767" s="55">
        <v>74</v>
      </c>
    </row>
    <row r="768" spans="1:17" x14ac:dyDescent="0.25">
      <c r="A768" s="72">
        <v>263</v>
      </c>
      <c r="B768" s="72">
        <v>16</v>
      </c>
      <c r="C768" s="72">
        <v>13</v>
      </c>
      <c r="D768" s="72">
        <v>2</v>
      </c>
      <c r="E768" s="72">
        <v>140323</v>
      </c>
      <c r="F768" s="72">
        <v>150249</v>
      </c>
      <c r="G768" s="72" t="s">
        <v>440</v>
      </c>
      <c r="H768" s="72">
        <v>16</v>
      </c>
      <c r="I768" s="72">
        <v>2188</v>
      </c>
      <c r="J768" s="72">
        <v>500</v>
      </c>
      <c r="K768" s="85">
        <v>23</v>
      </c>
      <c r="Q768" s="55">
        <v>74</v>
      </c>
    </row>
    <row r="769" spans="1:17" x14ac:dyDescent="0.25">
      <c r="A769" s="72">
        <v>248</v>
      </c>
      <c r="B769" s="72">
        <v>1</v>
      </c>
      <c r="C769" s="72">
        <v>13</v>
      </c>
      <c r="D769" s="72">
        <v>3</v>
      </c>
      <c r="E769" s="72">
        <v>140324</v>
      </c>
      <c r="F769" s="72">
        <v>132140</v>
      </c>
      <c r="G769" s="72" t="s">
        <v>428</v>
      </c>
      <c r="H769" s="72">
        <v>1</v>
      </c>
      <c r="I769" s="72">
        <v>2</v>
      </c>
      <c r="J769" s="72">
        <v>2</v>
      </c>
      <c r="K769" s="97">
        <v>20</v>
      </c>
      <c r="P769" s="72" t="s">
        <v>139</v>
      </c>
      <c r="Q769" s="55">
        <v>72</v>
      </c>
    </row>
    <row r="770" spans="1:17" x14ac:dyDescent="0.25">
      <c r="A770" s="72">
        <v>249</v>
      </c>
      <c r="B770" s="72">
        <v>2</v>
      </c>
      <c r="C770" s="72">
        <v>13</v>
      </c>
      <c r="D770" s="72">
        <v>3</v>
      </c>
      <c r="E770" s="72">
        <v>140324</v>
      </c>
      <c r="F770" s="72">
        <v>132140</v>
      </c>
      <c r="G770" s="72" t="s">
        <v>428</v>
      </c>
      <c r="H770" s="72">
        <v>2</v>
      </c>
      <c r="I770" s="72">
        <v>0</v>
      </c>
      <c r="J770" s="72">
        <v>0</v>
      </c>
      <c r="K770" s="97">
        <v>22.8</v>
      </c>
      <c r="P770" s="72" t="s">
        <v>139</v>
      </c>
      <c r="Q770" s="55">
        <v>72</v>
      </c>
    </row>
    <row r="771" spans="1:17" x14ac:dyDescent="0.25">
      <c r="A771" s="72">
        <v>250</v>
      </c>
      <c r="B771" s="72">
        <v>3</v>
      </c>
      <c r="C771" s="72">
        <v>13</v>
      </c>
      <c r="D771" s="72">
        <v>3</v>
      </c>
      <c r="E771" s="72">
        <v>140324</v>
      </c>
      <c r="F771" s="72">
        <v>132140</v>
      </c>
      <c r="G771" s="72" t="s">
        <v>411</v>
      </c>
      <c r="H771" s="72">
        <v>3</v>
      </c>
      <c r="I771" s="72">
        <v>189</v>
      </c>
      <c r="J771" s="72">
        <v>107</v>
      </c>
      <c r="K771" s="97">
        <v>33.299999999999997</v>
      </c>
      <c r="P771" s="72" t="s">
        <v>139</v>
      </c>
      <c r="Q771" s="55">
        <v>66</v>
      </c>
    </row>
    <row r="772" spans="1:17" x14ac:dyDescent="0.25">
      <c r="A772" s="72">
        <v>251</v>
      </c>
      <c r="B772" s="72">
        <v>4</v>
      </c>
      <c r="C772" s="72">
        <v>13</v>
      </c>
      <c r="D772" s="72">
        <v>3</v>
      </c>
      <c r="E772" s="72">
        <v>140324</v>
      </c>
      <c r="F772" s="72">
        <v>132141</v>
      </c>
      <c r="G772" s="72" t="s">
        <v>411</v>
      </c>
      <c r="H772" s="72">
        <v>4</v>
      </c>
      <c r="I772" s="72">
        <v>182</v>
      </c>
      <c r="J772" s="72">
        <v>102</v>
      </c>
      <c r="K772" s="97">
        <v>40.799999999999997</v>
      </c>
      <c r="P772" s="72" t="s">
        <v>139</v>
      </c>
      <c r="Q772" s="55">
        <v>66</v>
      </c>
    </row>
    <row r="773" spans="1:17" x14ac:dyDescent="0.25">
      <c r="A773" s="72">
        <v>252</v>
      </c>
      <c r="B773" s="72">
        <v>5</v>
      </c>
      <c r="C773" s="72">
        <v>13</v>
      </c>
      <c r="D773" s="72">
        <v>3</v>
      </c>
      <c r="E773" s="72">
        <v>140324</v>
      </c>
      <c r="F773" s="72">
        <v>132141</v>
      </c>
      <c r="G773" s="72" t="s">
        <v>425</v>
      </c>
      <c r="H773" s="72">
        <v>5</v>
      </c>
      <c r="I773" s="72">
        <v>741</v>
      </c>
      <c r="J773" s="72">
        <v>212</v>
      </c>
      <c r="K773" s="97">
        <v>19</v>
      </c>
      <c r="P773" s="72" t="s">
        <v>139</v>
      </c>
      <c r="Q773" s="55">
        <v>66</v>
      </c>
    </row>
    <row r="774" spans="1:17" x14ac:dyDescent="0.25">
      <c r="A774" s="72">
        <v>253</v>
      </c>
      <c r="B774" s="72">
        <v>6</v>
      </c>
      <c r="C774" s="72">
        <v>13</v>
      </c>
      <c r="D774" s="72">
        <v>3</v>
      </c>
      <c r="E774" s="72">
        <v>140324</v>
      </c>
      <c r="F774" s="72">
        <v>132141</v>
      </c>
      <c r="G774" s="72" t="s">
        <v>425</v>
      </c>
      <c r="H774" s="72">
        <v>6</v>
      </c>
      <c r="I774" s="72">
        <v>745</v>
      </c>
      <c r="J774" s="72">
        <v>212</v>
      </c>
      <c r="K774" s="97">
        <v>19.2</v>
      </c>
      <c r="P774" s="72" t="s">
        <v>139</v>
      </c>
      <c r="Q774" s="55">
        <v>66</v>
      </c>
    </row>
    <row r="775" spans="1:17" x14ac:dyDescent="0.25">
      <c r="A775" s="72">
        <v>254</v>
      </c>
      <c r="B775" s="72">
        <v>7</v>
      </c>
      <c r="C775" s="72">
        <v>13</v>
      </c>
      <c r="D775" s="72">
        <v>3</v>
      </c>
      <c r="E775" s="72">
        <v>140324</v>
      </c>
      <c r="F775" s="72">
        <v>132141</v>
      </c>
      <c r="G775" s="72" t="s">
        <v>425</v>
      </c>
      <c r="H775" s="72">
        <v>7</v>
      </c>
      <c r="I775" s="72">
        <v>6</v>
      </c>
      <c r="J775" s="72">
        <v>6</v>
      </c>
      <c r="K775" s="97">
        <v>18.399999999999999</v>
      </c>
      <c r="P775" s="72" t="s">
        <v>139</v>
      </c>
      <c r="Q775" s="55">
        <v>66</v>
      </c>
    </row>
    <row r="776" spans="1:17" x14ac:dyDescent="0.25">
      <c r="A776" s="72">
        <v>255</v>
      </c>
      <c r="B776" s="72">
        <v>8</v>
      </c>
      <c r="C776" s="72">
        <v>13</v>
      </c>
      <c r="D776" s="72">
        <v>3</v>
      </c>
      <c r="E776" s="72">
        <v>140324</v>
      </c>
      <c r="F776" s="72">
        <v>132141</v>
      </c>
      <c r="G776" s="72" t="s">
        <v>437</v>
      </c>
      <c r="H776" s="72">
        <v>8</v>
      </c>
      <c r="I776" s="72">
        <v>0</v>
      </c>
      <c r="J776" s="72">
        <v>0</v>
      </c>
      <c r="K776" s="97">
        <v>26.7</v>
      </c>
      <c r="P776" s="72" t="s">
        <v>139</v>
      </c>
      <c r="Q776" s="55">
        <v>65</v>
      </c>
    </row>
    <row r="777" spans="1:17" x14ac:dyDescent="0.25">
      <c r="A777" s="72">
        <v>256</v>
      </c>
      <c r="B777" s="72">
        <v>9</v>
      </c>
      <c r="C777" s="72">
        <v>13</v>
      </c>
      <c r="D777" s="72">
        <v>3</v>
      </c>
      <c r="E777" s="72">
        <v>140324</v>
      </c>
      <c r="F777" s="72">
        <v>132141</v>
      </c>
      <c r="G777" s="72" t="s">
        <v>437</v>
      </c>
      <c r="H777" s="72">
        <v>9</v>
      </c>
      <c r="I777" s="72">
        <v>0</v>
      </c>
      <c r="J777" s="72">
        <v>0</v>
      </c>
      <c r="K777" s="97">
        <v>27.7</v>
      </c>
      <c r="P777" s="72" t="s">
        <v>139</v>
      </c>
      <c r="Q777" s="55">
        <v>65</v>
      </c>
    </row>
    <row r="778" spans="1:17" x14ac:dyDescent="0.25">
      <c r="A778" s="72">
        <v>257</v>
      </c>
      <c r="B778" s="72">
        <v>10</v>
      </c>
      <c r="C778" s="72">
        <v>13</v>
      </c>
      <c r="D778" s="72">
        <v>3</v>
      </c>
      <c r="E778" s="72">
        <v>140324</v>
      </c>
      <c r="F778" s="72">
        <v>132142</v>
      </c>
      <c r="G778" s="72" t="s">
        <v>437</v>
      </c>
      <c r="H778" s="72">
        <v>10</v>
      </c>
      <c r="I778" s="72">
        <v>17</v>
      </c>
      <c r="J778" s="72">
        <v>17</v>
      </c>
      <c r="K778" s="97">
        <v>23.5</v>
      </c>
      <c r="P778" s="72" t="s">
        <v>139</v>
      </c>
      <c r="Q778" s="55">
        <v>65</v>
      </c>
    </row>
    <row r="779" spans="1:17" x14ac:dyDescent="0.25">
      <c r="A779" s="72">
        <v>258</v>
      </c>
      <c r="B779" s="72">
        <v>11</v>
      </c>
      <c r="C779" s="72">
        <v>13</v>
      </c>
      <c r="D779" s="72">
        <v>3</v>
      </c>
      <c r="E779" s="72">
        <v>140324</v>
      </c>
      <c r="F779" s="72">
        <v>132142</v>
      </c>
      <c r="G779" s="72" t="s">
        <v>438</v>
      </c>
      <c r="H779" s="72">
        <v>11</v>
      </c>
      <c r="I779" s="72">
        <v>7</v>
      </c>
      <c r="J779" s="72">
        <v>7</v>
      </c>
      <c r="K779" s="85">
        <v>25.4</v>
      </c>
      <c r="P779" s="72" t="s">
        <v>139</v>
      </c>
      <c r="Q779" s="55">
        <v>74</v>
      </c>
    </row>
    <row r="780" spans="1:17" x14ac:dyDescent="0.25">
      <c r="A780" s="72">
        <v>259</v>
      </c>
      <c r="B780" s="72">
        <v>12</v>
      </c>
      <c r="C780" s="72">
        <v>13</v>
      </c>
      <c r="D780" s="72">
        <v>3</v>
      </c>
      <c r="E780" s="72">
        <v>140324</v>
      </c>
      <c r="F780" s="72">
        <v>132142</v>
      </c>
      <c r="G780" s="72" t="s">
        <v>439</v>
      </c>
      <c r="H780" s="72">
        <v>12</v>
      </c>
      <c r="I780" s="72">
        <v>316</v>
      </c>
      <c r="J780" s="72">
        <v>130</v>
      </c>
      <c r="K780" s="85">
        <v>24.8</v>
      </c>
      <c r="P780" s="72" t="s">
        <v>139</v>
      </c>
      <c r="Q780" s="55">
        <v>61</v>
      </c>
    </row>
    <row r="781" spans="1:17" x14ac:dyDescent="0.25">
      <c r="A781" s="72">
        <v>260</v>
      </c>
      <c r="B781" s="72">
        <v>13</v>
      </c>
      <c r="C781" s="72">
        <v>13</v>
      </c>
      <c r="D781" s="72">
        <v>3</v>
      </c>
      <c r="E781" s="72">
        <v>140324</v>
      </c>
      <c r="F781" s="72">
        <v>132355</v>
      </c>
      <c r="G781" s="72" t="s">
        <v>439</v>
      </c>
      <c r="H781" s="72">
        <v>13</v>
      </c>
      <c r="I781" s="72">
        <v>504</v>
      </c>
      <c r="J781" s="72">
        <v>166</v>
      </c>
      <c r="K781" s="85">
        <v>19.8</v>
      </c>
      <c r="P781" s="72" t="s">
        <v>139</v>
      </c>
      <c r="Q781" s="55">
        <v>61</v>
      </c>
    </row>
    <row r="782" spans="1:17" x14ac:dyDescent="0.25">
      <c r="A782" s="72">
        <v>261</v>
      </c>
      <c r="B782" s="72">
        <v>14</v>
      </c>
      <c r="C782" s="72">
        <v>13</v>
      </c>
      <c r="D782" s="72">
        <v>3</v>
      </c>
      <c r="E782" s="72">
        <v>140324</v>
      </c>
      <c r="F782" s="72">
        <v>132355</v>
      </c>
      <c r="G782" s="72" t="s">
        <v>440</v>
      </c>
      <c r="H782" s="72">
        <v>14</v>
      </c>
      <c r="I782" s="72">
        <v>2283</v>
      </c>
      <c r="J782" s="72">
        <v>493</v>
      </c>
      <c r="K782" s="85">
        <v>20.2</v>
      </c>
      <c r="P782" s="72" t="s">
        <v>139</v>
      </c>
      <c r="Q782" s="55">
        <v>74</v>
      </c>
    </row>
    <row r="783" spans="1:17" x14ac:dyDescent="0.25">
      <c r="A783" s="72">
        <v>262</v>
      </c>
      <c r="B783" s="72">
        <v>15</v>
      </c>
      <c r="C783" s="72">
        <v>13</v>
      </c>
      <c r="D783" s="72">
        <v>3</v>
      </c>
      <c r="E783" s="72">
        <v>140324</v>
      </c>
      <c r="F783" s="72">
        <v>132355</v>
      </c>
      <c r="G783" s="72" t="s">
        <v>440</v>
      </c>
      <c r="H783" s="72">
        <v>15</v>
      </c>
      <c r="I783" s="72">
        <v>540</v>
      </c>
      <c r="J783" s="72">
        <v>175</v>
      </c>
      <c r="K783" s="85">
        <v>21.3</v>
      </c>
      <c r="P783" s="72" t="s">
        <v>139</v>
      </c>
      <c r="Q783" s="55">
        <v>74</v>
      </c>
    </row>
    <row r="784" spans="1:17" ht="14.25" customHeight="1" x14ac:dyDescent="0.25">
      <c r="A784" s="72">
        <v>263</v>
      </c>
      <c r="B784" s="72">
        <v>16</v>
      </c>
      <c r="C784" s="72">
        <v>13</v>
      </c>
      <c r="D784" s="72">
        <v>3</v>
      </c>
      <c r="E784" s="72">
        <v>140324</v>
      </c>
      <c r="F784" s="72">
        <v>132355</v>
      </c>
      <c r="G784" s="72" t="s">
        <v>440</v>
      </c>
      <c r="H784" s="72">
        <v>16</v>
      </c>
      <c r="I784" s="72">
        <v>1857</v>
      </c>
      <c r="J784" s="72">
        <v>435</v>
      </c>
      <c r="K784" s="85">
        <v>23</v>
      </c>
      <c r="P784" s="72" t="s">
        <v>139</v>
      </c>
      <c r="Q784" s="55">
        <v>74</v>
      </c>
    </row>
    <row r="785" spans="1:18" x14ac:dyDescent="0.25">
      <c r="A785" s="22">
        <v>264</v>
      </c>
      <c r="B785" s="72">
        <v>1</v>
      </c>
      <c r="C785" s="22">
        <v>14</v>
      </c>
      <c r="D785" s="22">
        <v>1</v>
      </c>
      <c r="E785" s="72">
        <v>140409</v>
      </c>
      <c r="F785" s="72">
        <v>101844</v>
      </c>
      <c r="G785" s="72" t="s">
        <v>145</v>
      </c>
      <c r="H785" s="72">
        <v>1</v>
      </c>
      <c r="I785" s="72">
        <v>1837</v>
      </c>
      <c r="J785" s="72">
        <v>433</v>
      </c>
      <c r="K785" s="85">
        <v>22.2</v>
      </c>
      <c r="Q785" s="55">
        <v>76</v>
      </c>
    </row>
    <row r="786" spans="1:18" x14ac:dyDescent="0.25">
      <c r="A786" s="22">
        <v>265</v>
      </c>
      <c r="B786" s="72">
        <v>2</v>
      </c>
      <c r="C786" s="72">
        <v>14</v>
      </c>
      <c r="D786" s="72">
        <v>1</v>
      </c>
      <c r="E786" s="72">
        <v>140409</v>
      </c>
      <c r="F786" s="72">
        <v>101844</v>
      </c>
      <c r="G786" s="72" t="s">
        <v>145</v>
      </c>
      <c r="H786" s="72">
        <v>2</v>
      </c>
      <c r="I786" s="72">
        <v>1908</v>
      </c>
      <c r="J786" s="72">
        <v>449</v>
      </c>
      <c r="K786" s="85">
        <v>23.3</v>
      </c>
      <c r="Q786" s="55">
        <v>76</v>
      </c>
    </row>
    <row r="787" spans="1:18" x14ac:dyDescent="0.25">
      <c r="A787" s="72">
        <v>266</v>
      </c>
      <c r="B787" s="72">
        <v>3</v>
      </c>
      <c r="C787" s="72">
        <v>14</v>
      </c>
      <c r="D787" s="72">
        <v>1</v>
      </c>
      <c r="E787" s="72">
        <v>140409</v>
      </c>
      <c r="F787" s="72">
        <v>101844</v>
      </c>
      <c r="G787" s="72" t="s">
        <v>450</v>
      </c>
      <c r="H787" s="72">
        <v>3</v>
      </c>
      <c r="I787" s="72">
        <v>532</v>
      </c>
      <c r="J787" s="72">
        <v>174</v>
      </c>
      <c r="K787" s="85">
        <v>25.8</v>
      </c>
      <c r="Q787" s="55">
        <v>71</v>
      </c>
    </row>
    <row r="788" spans="1:18" x14ac:dyDescent="0.25">
      <c r="A788" s="72">
        <v>267</v>
      </c>
      <c r="B788" s="72">
        <v>4</v>
      </c>
      <c r="C788" s="72">
        <v>14</v>
      </c>
      <c r="D788" s="72">
        <v>1</v>
      </c>
      <c r="E788" s="72">
        <v>140409</v>
      </c>
      <c r="F788" s="72">
        <v>101844</v>
      </c>
      <c r="G788" s="72" t="s">
        <v>450</v>
      </c>
      <c r="H788" s="72">
        <v>4</v>
      </c>
      <c r="I788" s="72">
        <v>198</v>
      </c>
      <c r="J788" s="72">
        <v>109</v>
      </c>
      <c r="K788" s="85">
        <v>26.1</v>
      </c>
      <c r="Q788" s="55">
        <v>71</v>
      </c>
    </row>
    <row r="789" spans="1:18" x14ac:dyDescent="0.25">
      <c r="A789" s="72">
        <v>268</v>
      </c>
      <c r="B789" s="72">
        <v>5</v>
      </c>
      <c r="C789" s="72">
        <v>14</v>
      </c>
      <c r="D789" s="72">
        <v>1</v>
      </c>
      <c r="E789" s="72">
        <v>140409</v>
      </c>
      <c r="F789" s="72">
        <v>101844</v>
      </c>
      <c r="G789" s="72" t="s">
        <v>453</v>
      </c>
      <c r="H789" s="72">
        <v>5</v>
      </c>
      <c r="I789" s="72">
        <v>1629</v>
      </c>
      <c r="J789" s="72">
        <v>384</v>
      </c>
      <c r="K789" s="85">
        <v>19.7</v>
      </c>
      <c r="Q789" s="55">
        <v>71</v>
      </c>
    </row>
    <row r="790" spans="1:18" x14ac:dyDescent="0.25">
      <c r="A790" s="72">
        <v>269</v>
      </c>
      <c r="B790" s="72">
        <v>6</v>
      </c>
      <c r="C790" s="72">
        <v>14</v>
      </c>
      <c r="D790" s="72">
        <v>1</v>
      </c>
      <c r="E790" s="72">
        <v>140409</v>
      </c>
      <c r="F790" s="72">
        <v>101845</v>
      </c>
      <c r="G790" s="72" t="s">
        <v>453</v>
      </c>
      <c r="H790" s="72">
        <v>6</v>
      </c>
      <c r="I790" s="72">
        <v>799</v>
      </c>
      <c r="J790" s="72">
        <v>224</v>
      </c>
      <c r="K790" s="85">
        <v>24.7</v>
      </c>
      <c r="Q790" s="55">
        <v>71</v>
      </c>
    </row>
    <row r="791" spans="1:18" x14ac:dyDescent="0.25">
      <c r="A791" s="72">
        <v>270</v>
      </c>
      <c r="B791" s="72">
        <v>7</v>
      </c>
      <c r="C791" s="72">
        <v>14</v>
      </c>
      <c r="D791" s="72">
        <v>1</v>
      </c>
      <c r="E791" s="72">
        <v>140409</v>
      </c>
      <c r="F791" s="72">
        <v>101845</v>
      </c>
      <c r="G791" s="72" t="s">
        <v>452</v>
      </c>
      <c r="H791" s="72">
        <v>7</v>
      </c>
      <c r="I791" s="72">
        <v>3</v>
      </c>
      <c r="J791" s="72">
        <v>3</v>
      </c>
      <c r="K791" s="85">
        <v>25.5</v>
      </c>
      <c r="Q791" s="55">
        <v>63</v>
      </c>
    </row>
    <row r="792" spans="1:18" x14ac:dyDescent="0.25">
      <c r="A792" s="72">
        <v>271</v>
      </c>
      <c r="B792" s="72">
        <v>8</v>
      </c>
      <c r="C792" s="72">
        <v>14</v>
      </c>
      <c r="D792" s="72">
        <v>1</v>
      </c>
      <c r="E792" s="72">
        <v>140409</v>
      </c>
      <c r="F792" s="72">
        <v>101845</v>
      </c>
      <c r="G792" s="72" t="s">
        <v>452</v>
      </c>
      <c r="H792" s="72">
        <v>8</v>
      </c>
      <c r="I792" s="72">
        <v>3</v>
      </c>
      <c r="J792" s="72">
        <v>3</v>
      </c>
      <c r="K792" s="85">
        <v>24.8</v>
      </c>
      <c r="Q792" s="55">
        <v>63</v>
      </c>
    </row>
    <row r="793" spans="1:18" x14ac:dyDescent="0.25">
      <c r="A793" s="72">
        <v>272</v>
      </c>
      <c r="B793" s="72">
        <v>9</v>
      </c>
      <c r="C793" s="72">
        <v>14</v>
      </c>
      <c r="D793" s="72">
        <v>1</v>
      </c>
      <c r="E793" s="72">
        <v>140409</v>
      </c>
      <c r="F793" s="72">
        <v>101845</v>
      </c>
      <c r="G793" s="72" t="s">
        <v>439</v>
      </c>
      <c r="H793" s="72">
        <v>9</v>
      </c>
      <c r="I793" s="72">
        <v>1898</v>
      </c>
      <c r="J793" s="72">
        <v>445</v>
      </c>
      <c r="K793" s="85">
        <v>22.4</v>
      </c>
      <c r="Q793" s="55">
        <v>79</v>
      </c>
    </row>
    <row r="794" spans="1:18" x14ac:dyDescent="0.25">
      <c r="A794" s="72">
        <v>273</v>
      </c>
      <c r="B794" s="72">
        <v>10</v>
      </c>
      <c r="C794" s="72">
        <v>14</v>
      </c>
      <c r="D794" s="72">
        <v>1</v>
      </c>
      <c r="E794" s="72">
        <v>140409</v>
      </c>
      <c r="F794" s="72">
        <v>101845</v>
      </c>
      <c r="G794" s="72" t="s">
        <v>439</v>
      </c>
      <c r="H794" s="72">
        <v>10</v>
      </c>
      <c r="I794" s="72">
        <v>383</v>
      </c>
      <c r="J794" s="72">
        <v>144</v>
      </c>
      <c r="K794" s="85">
        <v>24.9</v>
      </c>
      <c r="Q794" s="55">
        <v>79</v>
      </c>
    </row>
    <row r="795" spans="1:18" x14ac:dyDescent="0.25">
      <c r="A795" s="72">
        <v>274</v>
      </c>
      <c r="B795" s="72">
        <v>11</v>
      </c>
      <c r="C795" s="72">
        <v>14</v>
      </c>
      <c r="D795" s="72">
        <v>1</v>
      </c>
      <c r="E795" s="72">
        <v>140409</v>
      </c>
      <c r="F795" s="72">
        <v>101846</v>
      </c>
      <c r="G795" s="72" t="s">
        <v>454</v>
      </c>
      <c r="H795" s="72">
        <v>11</v>
      </c>
      <c r="I795" s="72">
        <v>973</v>
      </c>
      <c r="J795" s="72">
        <v>263</v>
      </c>
      <c r="K795" s="85">
        <v>25</v>
      </c>
      <c r="Q795" s="55">
        <v>66</v>
      </c>
    </row>
    <row r="796" spans="1:18" x14ac:dyDescent="0.25">
      <c r="A796" s="72">
        <v>275</v>
      </c>
      <c r="B796" s="72">
        <v>12</v>
      </c>
      <c r="C796" s="72">
        <v>14</v>
      </c>
      <c r="D796" s="72">
        <v>1</v>
      </c>
      <c r="E796" s="72">
        <v>140409</v>
      </c>
      <c r="F796" s="72">
        <v>101846</v>
      </c>
      <c r="G796" s="72" t="s">
        <v>454</v>
      </c>
      <c r="H796" s="72">
        <v>12</v>
      </c>
      <c r="I796" s="72">
        <v>2125</v>
      </c>
      <c r="J796" s="72">
        <v>484</v>
      </c>
      <c r="K796" s="85">
        <v>25</v>
      </c>
      <c r="Q796" s="55">
        <v>66</v>
      </c>
    </row>
    <row r="797" spans="1:18" x14ac:dyDescent="0.25">
      <c r="A797" s="72">
        <v>276</v>
      </c>
      <c r="B797" s="72">
        <v>13</v>
      </c>
      <c r="C797" s="72">
        <v>14</v>
      </c>
      <c r="D797" s="72">
        <v>1</v>
      </c>
      <c r="E797" s="72">
        <v>140409</v>
      </c>
      <c r="F797" s="72">
        <v>102043</v>
      </c>
      <c r="G797" s="72" t="s">
        <v>451</v>
      </c>
      <c r="H797" s="72">
        <v>13</v>
      </c>
      <c r="I797" s="59">
        <v>0</v>
      </c>
      <c r="J797" s="59">
        <v>0</v>
      </c>
      <c r="K797" s="85">
        <v>24.7</v>
      </c>
      <c r="Q797" s="55">
        <v>74</v>
      </c>
      <c r="R797" s="59" t="s">
        <v>479</v>
      </c>
    </row>
    <row r="798" spans="1:18" x14ac:dyDescent="0.25">
      <c r="A798" s="72">
        <v>277</v>
      </c>
      <c r="B798" s="72">
        <v>14</v>
      </c>
      <c r="C798" s="72">
        <v>14</v>
      </c>
      <c r="D798" s="72">
        <v>1</v>
      </c>
      <c r="E798" s="72">
        <v>140409</v>
      </c>
      <c r="F798" s="72">
        <v>102043</v>
      </c>
      <c r="G798" s="72" t="s">
        <v>451</v>
      </c>
      <c r="H798" s="72">
        <v>14</v>
      </c>
      <c r="I798" s="72">
        <v>6</v>
      </c>
      <c r="J798" s="72">
        <v>4</v>
      </c>
      <c r="K798" s="85">
        <v>23</v>
      </c>
      <c r="Q798" s="55">
        <v>74</v>
      </c>
    </row>
    <row r="799" spans="1:18" x14ac:dyDescent="0.25">
      <c r="A799" s="72">
        <v>278</v>
      </c>
      <c r="B799" s="72">
        <v>15</v>
      </c>
      <c r="C799" s="72">
        <v>14</v>
      </c>
      <c r="D799" s="72">
        <v>1</v>
      </c>
      <c r="E799" s="72">
        <v>140409</v>
      </c>
      <c r="F799" s="72">
        <v>103300</v>
      </c>
      <c r="G799" s="72" t="s">
        <v>455</v>
      </c>
      <c r="H799" s="72">
        <v>15</v>
      </c>
      <c r="I799" s="72">
        <v>38</v>
      </c>
      <c r="J799" s="72">
        <v>32</v>
      </c>
      <c r="K799" s="85">
        <v>21.4</v>
      </c>
      <c r="Q799" s="55">
        <v>70</v>
      </c>
    </row>
    <row r="800" spans="1:18" x14ac:dyDescent="0.25">
      <c r="A800" s="72">
        <v>279</v>
      </c>
      <c r="B800" s="72">
        <v>16</v>
      </c>
      <c r="C800" s="72">
        <v>14</v>
      </c>
      <c r="D800" s="72">
        <v>1</v>
      </c>
      <c r="E800" s="72">
        <v>140409</v>
      </c>
      <c r="F800" s="72">
        <v>102043</v>
      </c>
      <c r="G800" s="72" t="s">
        <v>455</v>
      </c>
      <c r="H800" s="72">
        <v>16</v>
      </c>
      <c r="I800" s="72">
        <v>208</v>
      </c>
      <c r="J800" s="72">
        <v>105</v>
      </c>
      <c r="K800" s="85">
        <v>23</v>
      </c>
      <c r="Q800" s="55">
        <v>70</v>
      </c>
    </row>
    <row r="801" spans="1:17" x14ac:dyDescent="0.25">
      <c r="A801" s="72">
        <v>264</v>
      </c>
      <c r="B801" s="72">
        <v>1</v>
      </c>
      <c r="C801" s="72">
        <v>14</v>
      </c>
      <c r="D801" s="22">
        <v>2</v>
      </c>
      <c r="E801" s="72">
        <v>140410</v>
      </c>
      <c r="F801" s="72">
        <v>93938</v>
      </c>
      <c r="G801" s="72" t="s">
        <v>145</v>
      </c>
      <c r="H801" s="72">
        <v>1</v>
      </c>
      <c r="I801" s="72">
        <v>2221</v>
      </c>
      <c r="J801" s="72">
        <v>500</v>
      </c>
      <c r="K801" s="85">
        <v>22.2</v>
      </c>
      <c r="Q801" s="55">
        <v>76</v>
      </c>
    </row>
    <row r="802" spans="1:17" x14ac:dyDescent="0.25">
      <c r="A802" s="72">
        <v>265</v>
      </c>
      <c r="B802" s="72">
        <v>2</v>
      </c>
      <c r="C802" s="72">
        <v>14</v>
      </c>
      <c r="D802" s="72">
        <v>2</v>
      </c>
      <c r="E802" s="72">
        <v>140410</v>
      </c>
      <c r="F802" s="72">
        <v>93938</v>
      </c>
      <c r="G802" s="72" t="s">
        <v>145</v>
      </c>
      <c r="H802" s="72">
        <v>2</v>
      </c>
      <c r="I802" s="72">
        <v>1988</v>
      </c>
      <c r="J802" s="72">
        <v>465</v>
      </c>
      <c r="K802" s="85">
        <v>23.3</v>
      </c>
      <c r="Q802" s="55">
        <v>76</v>
      </c>
    </row>
    <row r="803" spans="1:17" x14ac:dyDescent="0.25">
      <c r="A803" s="72">
        <v>266</v>
      </c>
      <c r="B803" s="72">
        <v>3</v>
      </c>
      <c r="C803" s="72">
        <v>14</v>
      </c>
      <c r="D803" s="72">
        <v>2</v>
      </c>
      <c r="E803" s="72">
        <v>140410</v>
      </c>
      <c r="F803" s="72">
        <v>93939</v>
      </c>
      <c r="G803" s="72" t="s">
        <v>450</v>
      </c>
      <c r="H803" s="72">
        <v>3</v>
      </c>
      <c r="I803" s="72">
        <v>535</v>
      </c>
      <c r="J803" s="72">
        <v>176</v>
      </c>
      <c r="K803" s="85">
        <v>25.8</v>
      </c>
      <c r="Q803" s="55">
        <v>71</v>
      </c>
    </row>
    <row r="804" spans="1:17" x14ac:dyDescent="0.25">
      <c r="A804" s="72">
        <v>267</v>
      </c>
      <c r="B804" s="72">
        <v>4</v>
      </c>
      <c r="C804" s="72">
        <v>14</v>
      </c>
      <c r="D804" s="72">
        <v>2</v>
      </c>
      <c r="E804" s="72">
        <v>140410</v>
      </c>
      <c r="F804" s="72">
        <v>93939</v>
      </c>
      <c r="G804" s="72" t="s">
        <v>450</v>
      </c>
      <c r="H804" s="72">
        <v>4</v>
      </c>
      <c r="I804" s="72">
        <v>1278</v>
      </c>
      <c r="J804" s="72">
        <v>321</v>
      </c>
      <c r="K804" s="85">
        <v>26.1</v>
      </c>
      <c r="Q804" s="55">
        <v>71</v>
      </c>
    </row>
    <row r="805" spans="1:17" x14ac:dyDescent="0.25">
      <c r="A805" s="72">
        <v>268</v>
      </c>
      <c r="B805" s="72">
        <v>5</v>
      </c>
      <c r="C805" s="72">
        <v>14</v>
      </c>
      <c r="D805" s="72">
        <v>2</v>
      </c>
      <c r="E805" s="72">
        <v>140410</v>
      </c>
      <c r="F805" s="72">
        <v>93940</v>
      </c>
      <c r="G805" s="72" t="s">
        <v>453</v>
      </c>
      <c r="H805" s="72">
        <v>5</v>
      </c>
      <c r="I805" s="72">
        <v>1385</v>
      </c>
      <c r="J805" s="72">
        <v>332</v>
      </c>
      <c r="K805" s="85">
        <v>19.7</v>
      </c>
      <c r="Q805" s="55">
        <v>71</v>
      </c>
    </row>
    <row r="806" spans="1:17" x14ac:dyDescent="0.25">
      <c r="A806" s="72">
        <v>269</v>
      </c>
      <c r="B806" s="72">
        <v>6</v>
      </c>
      <c r="C806" s="72">
        <v>14</v>
      </c>
      <c r="D806" s="72">
        <v>2</v>
      </c>
      <c r="E806" s="72">
        <v>140410</v>
      </c>
      <c r="F806" s="72">
        <v>93940</v>
      </c>
      <c r="G806" s="72" t="s">
        <v>453</v>
      </c>
      <c r="H806" s="72">
        <v>6</v>
      </c>
      <c r="I806" s="72">
        <v>305</v>
      </c>
      <c r="J806" s="72">
        <v>129</v>
      </c>
      <c r="K806" s="85">
        <v>24.7</v>
      </c>
      <c r="Q806" s="55">
        <v>71</v>
      </c>
    </row>
    <row r="807" spans="1:17" x14ac:dyDescent="0.25">
      <c r="A807" s="72">
        <v>270</v>
      </c>
      <c r="B807" s="72">
        <v>7</v>
      </c>
      <c r="C807" s="72">
        <v>14</v>
      </c>
      <c r="D807" s="72">
        <v>2</v>
      </c>
      <c r="E807" s="72">
        <v>140410</v>
      </c>
      <c r="F807" s="72">
        <v>93940</v>
      </c>
      <c r="G807" s="72" t="s">
        <v>452</v>
      </c>
      <c r="H807" s="72">
        <v>7</v>
      </c>
      <c r="I807" s="72">
        <v>0</v>
      </c>
      <c r="J807" s="72">
        <v>0</v>
      </c>
      <c r="K807" s="85">
        <v>25.5</v>
      </c>
      <c r="Q807" s="55">
        <v>63</v>
      </c>
    </row>
    <row r="808" spans="1:17" x14ac:dyDescent="0.25">
      <c r="A808" s="72">
        <v>271</v>
      </c>
      <c r="B808" s="72">
        <v>8</v>
      </c>
      <c r="C808" s="72">
        <v>14</v>
      </c>
      <c r="D808" s="72">
        <v>2</v>
      </c>
      <c r="E808" s="72">
        <v>140410</v>
      </c>
      <c r="F808" s="72">
        <v>93940</v>
      </c>
      <c r="G808" s="72" t="s">
        <v>452</v>
      </c>
      <c r="H808" s="72">
        <v>8</v>
      </c>
      <c r="I808" s="72">
        <v>0</v>
      </c>
      <c r="J808" s="72">
        <v>0</v>
      </c>
      <c r="K808" s="85">
        <v>24.8</v>
      </c>
      <c r="Q808" s="55">
        <v>63</v>
      </c>
    </row>
    <row r="809" spans="1:17" x14ac:dyDescent="0.25">
      <c r="A809" s="72">
        <v>272</v>
      </c>
      <c r="B809" s="72">
        <v>9</v>
      </c>
      <c r="C809" s="72">
        <v>14</v>
      </c>
      <c r="D809" s="72">
        <v>2</v>
      </c>
      <c r="E809" s="72">
        <v>140410</v>
      </c>
      <c r="F809" s="72">
        <v>93941</v>
      </c>
      <c r="G809" s="72" t="s">
        <v>439</v>
      </c>
      <c r="H809" s="72">
        <v>9</v>
      </c>
      <c r="I809" s="72">
        <v>1273</v>
      </c>
      <c r="J809" s="72">
        <v>322</v>
      </c>
      <c r="K809" s="85">
        <v>22.4</v>
      </c>
      <c r="Q809" s="55">
        <v>79</v>
      </c>
    </row>
    <row r="810" spans="1:17" x14ac:dyDescent="0.25">
      <c r="A810" s="72">
        <v>273</v>
      </c>
      <c r="B810" s="72">
        <v>10</v>
      </c>
      <c r="C810" s="72">
        <v>14</v>
      </c>
      <c r="D810" s="72">
        <v>2</v>
      </c>
      <c r="E810" s="72">
        <v>140410</v>
      </c>
      <c r="F810" s="72">
        <v>93941</v>
      </c>
      <c r="G810" s="72" t="s">
        <v>439</v>
      </c>
      <c r="H810" s="72">
        <v>10</v>
      </c>
      <c r="I810" s="72">
        <v>1804</v>
      </c>
      <c r="J810" s="72">
        <v>411</v>
      </c>
      <c r="K810" s="85">
        <v>24.9</v>
      </c>
      <c r="Q810" s="55">
        <v>79</v>
      </c>
    </row>
    <row r="811" spans="1:17" x14ac:dyDescent="0.25">
      <c r="A811" s="72">
        <v>274</v>
      </c>
      <c r="B811" s="72">
        <v>11</v>
      </c>
      <c r="C811" s="72">
        <v>14</v>
      </c>
      <c r="D811" s="72">
        <v>2</v>
      </c>
      <c r="E811" s="72">
        <v>140410</v>
      </c>
      <c r="F811" s="72">
        <v>93941</v>
      </c>
      <c r="G811" s="72" t="s">
        <v>454</v>
      </c>
      <c r="H811" s="72">
        <v>11</v>
      </c>
      <c r="I811" s="72">
        <v>391</v>
      </c>
      <c r="J811" s="72">
        <v>148</v>
      </c>
      <c r="K811" s="85">
        <v>25</v>
      </c>
      <c r="Q811" s="55">
        <v>66</v>
      </c>
    </row>
    <row r="812" spans="1:17" x14ac:dyDescent="0.25">
      <c r="A812" s="72">
        <v>275</v>
      </c>
      <c r="B812" s="72">
        <v>12</v>
      </c>
      <c r="C812" s="72">
        <v>14</v>
      </c>
      <c r="D812" s="72">
        <v>2</v>
      </c>
      <c r="E812" s="72">
        <v>140410</v>
      </c>
      <c r="F812" s="72">
        <v>93941</v>
      </c>
      <c r="G812" s="72" t="s">
        <v>454</v>
      </c>
      <c r="H812" s="72">
        <v>12</v>
      </c>
      <c r="I812" s="72">
        <v>2200</v>
      </c>
      <c r="J812" s="72">
        <v>500</v>
      </c>
      <c r="K812" s="85">
        <v>25</v>
      </c>
      <c r="Q812" s="55">
        <v>66</v>
      </c>
    </row>
    <row r="813" spans="1:17" x14ac:dyDescent="0.25">
      <c r="A813" s="72">
        <v>276</v>
      </c>
      <c r="B813" s="72">
        <v>13</v>
      </c>
      <c r="C813" s="72">
        <v>14</v>
      </c>
      <c r="D813" s="72">
        <v>2</v>
      </c>
      <c r="E813" s="72">
        <v>140410</v>
      </c>
      <c r="F813" s="72">
        <v>94254</v>
      </c>
      <c r="G813" s="72" t="s">
        <v>451</v>
      </c>
      <c r="H813" s="72">
        <v>13</v>
      </c>
      <c r="I813" s="72">
        <v>0</v>
      </c>
      <c r="J813" s="72">
        <v>0</v>
      </c>
      <c r="K813" s="85">
        <v>24.7</v>
      </c>
      <c r="Q813" s="55">
        <v>74</v>
      </c>
    </row>
    <row r="814" spans="1:17" x14ac:dyDescent="0.25">
      <c r="A814" s="72">
        <v>277</v>
      </c>
      <c r="B814" s="72">
        <v>14</v>
      </c>
      <c r="C814" s="72">
        <v>14</v>
      </c>
      <c r="D814" s="72">
        <v>2</v>
      </c>
      <c r="E814" s="72">
        <v>140410</v>
      </c>
      <c r="F814" s="72">
        <v>94254</v>
      </c>
      <c r="G814" s="72" t="s">
        <v>451</v>
      </c>
      <c r="H814" s="72">
        <v>14</v>
      </c>
      <c r="I814" s="72">
        <v>1</v>
      </c>
      <c r="J814" s="72">
        <v>1</v>
      </c>
      <c r="K814" s="85">
        <v>23</v>
      </c>
      <c r="Q814" s="55">
        <v>74</v>
      </c>
    </row>
    <row r="815" spans="1:17" x14ac:dyDescent="0.25">
      <c r="A815" s="72">
        <v>278</v>
      </c>
      <c r="B815" s="72">
        <v>15</v>
      </c>
      <c r="C815" s="72">
        <v>14</v>
      </c>
      <c r="D815" s="72">
        <v>2</v>
      </c>
      <c r="E815" s="72">
        <v>140410</v>
      </c>
      <c r="F815" s="72">
        <v>94254</v>
      </c>
      <c r="G815" s="72" t="s">
        <v>455</v>
      </c>
      <c r="H815" s="72">
        <v>15</v>
      </c>
      <c r="I815" s="72">
        <v>1</v>
      </c>
      <c r="J815" s="72">
        <v>1</v>
      </c>
      <c r="K815" s="85">
        <v>21.4</v>
      </c>
      <c r="Q815" s="55">
        <v>70</v>
      </c>
    </row>
    <row r="816" spans="1:17" x14ac:dyDescent="0.25">
      <c r="A816" s="72">
        <v>279</v>
      </c>
      <c r="B816" s="72">
        <v>16</v>
      </c>
      <c r="C816" s="72">
        <v>14</v>
      </c>
      <c r="D816" s="72">
        <v>2</v>
      </c>
      <c r="E816" s="72">
        <v>140410</v>
      </c>
      <c r="F816" s="72">
        <v>94254</v>
      </c>
      <c r="G816" s="72" t="s">
        <v>455</v>
      </c>
      <c r="H816" s="72">
        <v>16</v>
      </c>
      <c r="I816" s="72">
        <v>208</v>
      </c>
      <c r="J816" s="72">
        <v>105</v>
      </c>
      <c r="K816" s="85">
        <v>23</v>
      </c>
      <c r="Q816" s="55">
        <v>70</v>
      </c>
    </row>
    <row r="817" spans="1:17" x14ac:dyDescent="0.25">
      <c r="A817" s="72">
        <v>264</v>
      </c>
      <c r="B817" s="72">
        <v>1</v>
      </c>
      <c r="C817" s="72">
        <v>14</v>
      </c>
      <c r="D817" s="22">
        <v>3</v>
      </c>
      <c r="E817" s="72">
        <v>140411</v>
      </c>
      <c r="F817" s="72">
        <v>101517</v>
      </c>
      <c r="G817" s="72" t="s">
        <v>145</v>
      </c>
      <c r="H817" s="72">
        <v>1</v>
      </c>
      <c r="I817" s="72">
        <v>2281</v>
      </c>
      <c r="J817" s="72">
        <v>500</v>
      </c>
      <c r="K817" s="85">
        <v>22.2</v>
      </c>
      <c r="P817" s="72" t="s">
        <v>139</v>
      </c>
      <c r="Q817" s="55">
        <v>76</v>
      </c>
    </row>
    <row r="818" spans="1:17" x14ac:dyDescent="0.25">
      <c r="A818" s="72">
        <v>265</v>
      </c>
      <c r="B818" s="72">
        <v>2</v>
      </c>
      <c r="C818" s="72">
        <v>14</v>
      </c>
      <c r="D818" s="72">
        <v>3</v>
      </c>
      <c r="E818" s="72">
        <v>140411</v>
      </c>
      <c r="F818" s="72">
        <v>101517</v>
      </c>
      <c r="G818" s="72" t="s">
        <v>145</v>
      </c>
      <c r="H818" s="72">
        <v>2</v>
      </c>
      <c r="I818" s="72">
        <v>2114</v>
      </c>
      <c r="J818" s="72">
        <v>490</v>
      </c>
      <c r="K818" s="85">
        <v>23.3</v>
      </c>
      <c r="P818" s="72" t="s">
        <v>139</v>
      </c>
      <c r="Q818" s="55">
        <v>76</v>
      </c>
    </row>
    <row r="819" spans="1:17" x14ac:dyDescent="0.25">
      <c r="A819" s="72">
        <v>266</v>
      </c>
      <c r="B819" s="72">
        <v>3</v>
      </c>
      <c r="C819" s="72">
        <v>14</v>
      </c>
      <c r="D819" s="72">
        <v>3</v>
      </c>
      <c r="E819" s="72">
        <v>140411</v>
      </c>
      <c r="F819" s="72">
        <v>101517</v>
      </c>
      <c r="G819" s="72" t="s">
        <v>450</v>
      </c>
      <c r="H819" s="72">
        <v>3</v>
      </c>
      <c r="I819" s="72">
        <v>720</v>
      </c>
      <c r="J819" s="72">
        <v>211</v>
      </c>
      <c r="K819" s="85">
        <v>25.8</v>
      </c>
      <c r="P819" s="72" t="s">
        <v>139</v>
      </c>
      <c r="Q819" s="55">
        <v>71</v>
      </c>
    </row>
    <row r="820" spans="1:17" x14ac:dyDescent="0.25">
      <c r="A820" s="72">
        <v>267</v>
      </c>
      <c r="B820" s="72">
        <v>4</v>
      </c>
      <c r="C820" s="72">
        <v>14</v>
      </c>
      <c r="D820" s="72">
        <v>3</v>
      </c>
      <c r="E820" s="72">
        <v>140411</v>
      </c>
      <c r="F820" s="72">
        <v>101517</v>
      </c>
      <c r="G820" s="72" t="s">
        <v>450</v>
      </c>
      <c r="H820" s="72">
        <v>4</v>
      </c>
      <c r="I820" s="72">
        <v>1884</v>
      </c>
      <c r="J820" s="72">
        <v>426</v>
      </c>
      <c r="K820" s="85">
        <v>26.1</v>
      </c>
      <c r="P820" s="72" t="s">
        <v>139</v>
      </c>
      <c r="Q820" s="55">
        <v>71</v>
      </c>
    </row>
    <row r="821" spans="1:17" x14ac:dyDescent="0.25">
      <c r="A821" s="72">
        <v>268</v>
      </c>
      <c r="B821" s="72">
        <v>5</v>
      </c>
      <c r="C821" s="72">
        <v>14</v>
      </c>
      <c r="D821" s="72">
        <v>3</v>
      </c>
      <c r="E821" s="72">
        <v>140411</v>
      </c>
      <c r="F821" s="72">
        <v>101518</v>
      </c>
      <c r="G821" s="72" t="s">
        <v>453</v>
      </c>
      <c r="H821" s="72">
        <v>5</v>
      </c>
      <c r="I821" s="72">
        <v>1109</v>
      </c>
      <c r="J821" s="72">
        <v>277</v>
      </c>
      <c r="K821" s="85">
        <v>19.7</v>
      </c>
      <c r="P821" s="72" t="s">
        <v>139</v>
      </c>
      <c r="Q821" s="55">
        <v>71</v>
      </c>
    </row>
    <row r="822" spans="1:17" x14ac:dyDescent="0.25">
      <c r="A822" s="72">
        <v>269</v>
      </c>
      <c r="B822" s="72">
        <v>6</v>
      </c>
      <c r="C822" s="72">
        <v>14</v>
      </c>
      <c r="D822" s="72">
        <v>3</v>
      </c>
      <c r="E822" s="72">
        <v>140411</v>
      </c>
      <c r="F822" s="72">
        <v>101518</v>
      </c>
      <c r="G822" s="72" t="s">
        <v>453</v>
      </c>
      <c r="H822" s="72">
        <v>6</v>
      </c>
      <c r="I822" s="72">
        <v>367</v>
      </c>
      <c r="J822" s="72">
        <v>141</v>
      </c>
      <c r="K822" s="85">
        <v>24.7</v>
      </c>
      <c r="P822" s="72" t="s">
        <v>139</v>
      </c>
      <c r="Q822" s="55">
        <v>71</v>
      </c>
    </row>
    <row r="823" spans="1:17" x14ac:dyDescent="0.25">
      <c r="A823" s="72">
        <v>270</v>
      </c>
      <c r="B823" s="72">
        <v>7</v>
      </c>
      <c r="C823" s="72">
        <v>14</v>
      </c>
      <c r="D823" s="72">
        <v>3</v>
      </c>
      <c r="E823" s="72">
        <v>140411</v>
      </c>
      <c r="F823" s="72">
        <v>102358</v>
      </c>
      <c r="G823" s="72" t="s">
        <v>452</v>
      </c>
      <c r="H823" s="72">
        <v>7</v>
      </c>
      <c r="I823" s="72">
        <v>5</v>
      </c>
      <c r="J823" s="72">
        <v>5</v>
      </c>
      <c r="K823" s="85">
        <v>25.5</v>
      </c>
      <c r="P823" s="72" t="s">
        <v>139</v>
      </c>
      <c r="Q823" s="55">
        <v>63</v>
      </c>
    </row>
    <row r="824" spans="1:17" x14ac:dyDescent="0.25">
      <c r="A824" s="72">
        <v>271</v>
      </c>
      <c r="B824" s="72">
        <v>8</v>
      </c>
      <c r="C824" s="72">
        <v>14</v>
      </c>
      <c r="D824" s="72">
        <v>3</v>
      </c>
      <c r="E824" s="72">
        <v>140411</v>
      </c>
      <c r="F824" s="72">
        <v>102358</v>
      </c>
      <c r="G824" s="72" t="s">
        <v>452</v>
      </c>
      <c r="H824" s="72">
        <v>8</v>
      </c>
      <c r="I824" s="72">
        <v>0</v>
      </c>
      <c r="J824" s="72">
        <v>0</v>
      </c>
      <c r="K824" s="85">
        <v>24.8</v>
      </c>
      <c r="P824" s="72" t="s">
        <v>139</v>
      </c>
      <c r="Q824" s="55">
        <v>63</v>
      </c>
    </row>
    <row r="825" spans="1:17" x14ac:dyDescent="0.25">
      <c r="A825" s="72">
        <v>272</v>
      </c>
      <c r="B825" s="72">
        <v>9</v>
      </c>
      <c r="C825" s="72">
        <v>14</v>
      </c>
      <c r="D825" s="72">
        <v>3</v>
      </c>
      <c r="E825" s="72">
        <v>140411</v>
      </c>
      <c r="F825" s="72">
        <v>102359</v>
      </c>
      <c r="G825" s="72" t="s">
        <v>439</v>
      </c>
      <c r="H825" s="72">
        <v>9</v>
      </c>
      <c r="I825" s="72">
        <v>1143</v>
      </c>
      <c r="J825" s="72">
        <v>293</v>
      </c>
      <c r="K825" s="85">
        <v>22.4</v>
      </c>
      <c r="P825" s="72" t="s">
        <v>139</v>
      </c>
      <c r="Q825" s="55">
        <v>79</v>
      </c>
    </row>
    <row r="826" spans="1:17" x14ac:dyDescent="0.25">
      <c r="A826" s="72">
        <v>273</v>
      </c>
      <c r="B826" s="72">
        <v>10</v>
      </c>
      <c r="C826" s="72">
        <v>14</v>
      </c>
      <c r="D826" s="72">
        <v>3</v>
      </c>
      <c r="E826" s="72">
        <v>140411</v>
      </c>
      <c r="F826" s="72">
        <v>102359</v>
      </c>
      <c r="G826" s="72" t="s">
        <v>439</v>
      </c>
      <c r="H826" s="72">
        <v>10</v>
      </c>
      <c r="I826" s="72">
        <v>1848</v>
      </c>
      <c r="J826" s="72">
        <v>400</v>
      </c>
      <c r="K826" s="85">
        <v>24.9</v>
      </c>
      <c r="P826" s="72" t="s">
        <v>139</v>
      </c>
      <c r="Q826" s="55">
        <v>79</v>
      </c>
    </row>
    <row r="827" spans="1:17" x14ac:dyDescent="0.25">
      <c r="A827" s="72">
        <v>274</v>
      </c>
      <c r="B827" s="72">
        <v>11</v>
      </c>
      <c r="C827" s="72">
        <v>14</v>
      </c>
      <c r="D827" s="72">
        <v>3</v>
      </c>
      <c r="E827" s="72">
        <v>140411</v>
      </c>
      <c r="F827" s="72">
        <v>102359</v>
      </c>
      <c r="G827" s="72" t="s">
        <v>454</v>
      </c>
      <c r="H827" s="72">
        <v>11</v>
      </c>
      <c r="I827" s="72">
        <v>755</v>
      </c>
      <c r="J827" s="72">
        <v>214</v>
      </c>
      <c r="K827" s="85">
        <v>25</v>
      </c>
      <c r="P827" s="72" t="s">
        <v>139</v>
      </c>
      <c r="Q827" s="55">
        <v>66</v>
      </c>
    </row>
    <row r="828" spans="1:17" x14ac:dyDescent="0.25">
      <c r="A828" s="72">
        <v>275</v>
      </c>
      <c r="B828" s="72">
        <v>12</v>
      </c>
      <c r="C828" s="72">
        <v>14</v>
      </c>
      <c r="D828" s="72">
        <v>3</v>
      </c>
      <c r="E828" s="72">
        <v>140411</v>
      </c>
      <c r="F828" s="72">
        <v>102359</v>
      </c>
      <c r="G828" s="72" t="s">
        <v>454</v>
      </c>
      <c r="H828" s="72">
        <v>12</v>
      </c>
      <c r="I828" s="72">
        <v>2202</v>
      </c>
      <c r="J828" s="72">
        <v>500</v>
      </c>
      <c r="K828" s="85">
        <v>25</v>
      </c>
      <c r="P828" s="72" t="s">
        <v>139</v>
      </c>
      <c r="Q828" s="55">
        <v>66</v>
      </c>
    </row>
    <row r="829" spans="1:17" x14ac:dyDescent="0.25">
      <c r="A829" s="72">
        <v>276</v>
      </c>
      <c r="B829" s="72">
        <v>13</v>
      </c>
      <c r="C829" s="72">
        <v>14</v>
      </c>
      <c r="D829" s="72">
        <v>3</v>
      </c>
      <c r="E829" s="72">
        <v>140411</v>
      </c>
      <c r="F829" s="72">
        <v>102949</v>
      </c>
      <c r="G829" s="72" t="s">
        <v>451</v>
      </c>
      <c r="H829" s="72">
        <v>13</v>
      </c>
      <c r="I829" s="72">
        <v>1</v>
      </c>
      <c r="J829" s="72">
        <v>1</v>
      </c>
      <c r="K829" s="85">
        <v>24.7</v>
      </c>
      <c r="P829" s="72" t="s">
        <v>139</v>
      </c>
      <c r="Q829" s="55">
        <v>74</v>
      </c>
    </row>
    <row r="830" spans="1:17" x14ac:dyDescent="0.25">
      <c r="A830" s="72">
        <v>277</v>
      </c>
      <c r="B830" s="72">
        <v>14</v>
      </c>
      <c r="C830" s="72">
        <v>14</v>
      </c>
      <c r="D830" s="72">
        <v>3</v>
      </c>
      <c r="E830" s="72">
        <v>140411</v>
      </c>
      <c r="F830" s="72">
        <v>102949</v>
      </c>
      <c r="G830" s="72" t="s">
        <v>451</v>
      </c>
      <c r="H830" s="72">
        <v>14</v>
      </c>
      <c r="I830" s="72">
        <v>2</v>
      </c>
      <c r="J830" s="72">
        <v>2</v>
      </c>
      <c r="K830" s="85">
        <v>23</v>
      </c>
      <c r="P830" s="72" t="s">
        <v>139</v>
      </c>
      <c r="Q830" s="55">
        <v>74</v>
      </c>
    </row>
    <row r="831" spans="1:17" x14ac:dyDescent="0.25">
      <c r="A831" s="72">
        <v>278</v>
      </c>
      <c r="B831" s="72">
        <v>15</v>
      </c>
      <c r="C831" s="72">
        <v>14</v>
      </c>
      <c r="D831" s="72">
        <v>3</v>
      </c>
      <c r="E831" s="72">
        <v>140411</v>
      </c>
      <c r="F831" s="72">
        <v>102949</v>
      </c>
      <c r="G831" s="72" t="s">
        <v>455</v>
      </c>
      <c r="H831" s="72">
        <v>15</v>
      </c>
      <c r="I831" s="72">
        <v>376</v>
      </c>
      <c r="J831" s="72">
        <v>143</v>
      </c>
      <c r="K831" s="85">
        <v>21.4</v>
      </c>
      <c r="P831" s="72" t="s">
        <v>139</v>
      </c>
      <c r="Q831" s="55">
        <v>70</v>
      </c>
    </row>
    <row r="832" spans="1:17" x14ac:dyDescent="0.25">
      <c r="A832" s="72">
        <v>279</v>
      </c>
      <c r="B832" s="72">
        <v>16</v>
      </c>
      <c r="C832" s="72">
        <v>14</v>
      </c>
      <c r="D832" s="72">
        <v>3</v>
      </c>
      <c r="E832" s="72">
        <v>140411</v>
      </c>
      <c r="F832" s="72">
        <v>102949</v>
      </c>
      <c r="G832" s="72" t="s">
        <v>455</v>
      </c>
      <c r="H832" s="72">
        <v>16</v>
      </c>
      <c r="I832" s="72">
        <v>422</v>
      </c>
      <c r="J832" s="72">
        <v>148</v>
      </c>
      <c r="K832" s="85">
        <v>23</v>
      </c>
      <c r="P832" s="72" t="s">
        <v>139</v>
      </c>
      <c r="Q832" s="55">
        <v>70</v>
      </c>
    </row>
    <row r="833" spans="1:18" x14ac:dyDescent="0.25">
      <c r="A833" s="72">
        <v>280</v>
      </c>
      <c r="B833" s="72">
        <v>1</v>
      </c>
      <c r="C833" s="72">
        <v>15</v>
      </c>
      <c r="D833" s="72">
        <v>1</v>
      </c>
      <c r="E833" s="72">
        <v>140412</v>
      </c>
      <c r="F833" s="72">
        <v>140830</v>
      </c>
      <c r="G833" s="72" t="s">
        <v>455</v>
      </c>
      <c r="H833" s="72">
        <v>1</v>
      </c>
      <c r="I833" s="72">
        <v>1320</v>
      </c>
      <c r="J833" s="72">
        <v>313</v>
      </c>
      <c r="K833" s="85">
        <v>21.1</v>
      </c>
      <c r="Q833" s="55">
        <v>73</v>
      </c>
    </row>
    <row r="834" spans="1:18" x14ac:dyDescent="0.25">
      <c r="A834" s="72">
        <v>281</v>
      </c>
      <c r="B834" s="72">
        <v>2</v>
      </c>
      <c r="C834" s="72">
        <v>15</v>
      </c>
      <c r="D834" s="72">
        <v>1</v>
      </c>
      <c r="E834" s="72">
        <v>140412</v>
      </c>
      <c r="F834" s="72">
        <v>140830</v>
      </c>
      <c r="G834" s="72" t="s">
        <v>455</v>
      </c>
      <c r="H834" s="72">
        <v>2</v>
      </c>
      <c r="I834" s="72">
        <v>1521</v>
      </c>
      <c r="J834" s="72">
        <v>356</v>
      </c>
      <c r="K834" s="85">
        <v>23.4</v>
      </c>
      <c r="Q834" s="55">
        <v>73</v>
      </c>
    </row>
    <row r="835" spans="1:18" x14ac:dyDescent="0.25">
      <c r="A835" s="72">
        <v>282</v>
      </c>
      <c r="B835" s="72">
        <v>3</v>
      </c>
      <c r="C835" s="72">
        <v>15</v>
      </c>
      <c r="D835" s="72">
        <v>1</v>
      </c>
      <c r="E835" s="72">
        <v>140412</v>
      </c>
      <c r="F835" s="72">
        <v>140830</v>
      </c>
      <c r="G835" s="72" t="s">
        <v>454</v>
      </c>
      <c r="H835" s="72">
        <v>3</v>
      </c>
      <c r="I835" s="72">
        <v>854</v>
      </c>
      <c r="J835" s="72">
        <v>233</v>
      </c>
      <c r="K835" s="85">
        <v>24</v>
      </c>
      <c r="Q835" s="55">
        <v>69</v>
      </c>
    </row>
    <row r="836" spans="1:18" x14ac:dyDescent="0.25">
      <c r="A836" s="72">
        <v>283</v>
      </c>
      <c r="B836" s="72">
        <v>4</v>
      </c>
      <c r="C836" s="72">
        <v>15</v>
      </c>
      <c r="D836" s="72">
        <v>1</v>
      </c>
      <c r="E836" s="72">
        <v>140412</v>
      </c>
      <c r="F836" s="72">
        <v>140831</v>
      </c>
      <c r="G836" s="72" t="s">
        <v>454</v>
      </c>
      <c r="H836" s="72">
        <v>4</v>
      </c>
      <c r="I836" s="72">
        <v>1647</v>
      </c>
      <c r="J836" s="72">
        <v>383</v>
      </c>
      <c r="K836" s="85">
        <v>24.5</v>
      </c>
      <c r="Q836" s="55">
        <v>69</v>
      </c>
    </row>
    <row r="837" spans="1:18" x14ac:dyDescent="0.25">
      <c r="A837" s="72">
        <v>284</v>
      </c>
      <c r="B837" s="72">
        <v>5</v>
      </c>
      <c r="C837" s="72">
        <v>15</v>
      </c>
      <c r="D837" s="72">
        <v>1</v>
      </c>
      <c r="E837" s="72">
        <v>140412</v>
      </c>
      <c r="F837" s="72">
        <v>140831</v>
      </c>
      <c r="G837" s="72" t="s">
        <v>423</v>
      </c>
      <c r="H837" s="72">
        <v>5</v>
      </c>
      <c r="I837" s="72">
        <v>4</v>
      </c>
      <c r="J837" s="72">
        <v>4</v>
      </c>
      <c r="K837" s="85">
        <v>24.7</v>
      </c>
      <c r="Q837" s="55">
        <v>66</v>
      </c>
    </row>
    <row r="838" spans="1:18" x14ac:dyDescent="0.25">
      <c r="A838" s="72">
        <v>285</v>
      </c>
      <c r="B838" s="72">
        <v>6</v>
      </c>
      <c r="C838" s="72">
        <v>15</v>
      </c>
      <c r="D838" s="72">
        <v>1</v>
      </c>
      <c r="E838" s="72">
        <v>140412</v>
      </c>
      <c r="F838" s="72">
        <v>140831</v>
      </c>
      <c r="G838" s="72" t="s">
        <v>423</v>
      </c>
      <c r="H838" s="72">
        <v>6</v>
      </c>
      <c r="I838" s="72">
        <v>14</v>
      </c>
      <c r="J838" s="72">
        <v>13</v>
      </c>
      <c r="K838" s="85">
        <v>24.7</v>
      </c>
      <c r="Q838" s="55">
        <v>66</v>
      </c>
    </row>
    <row r="839" spans="1:18" x14ac:dyDescent="0.25">
      <c r="A839" s="72">
        <v>286</v>
      </c>
      <c r="B839" s="72">
        <v>7</v>
      </c>
      <c r="C839" s="72">
        <v>15</v>
      </c>
      <c r="D839" s="72">
        <v>1</v>
      </c>
      <c r="E839" s="72">
        <v>140412</v>
      </c>
      <c r="F839" s="72">
        <v>140832</v>
      </c>
      <c r="G839" s="72" t="s">
        <v>457</v>
      </c>
      <c r="H839" s="72">
        <v>7</v>
      </c>
      <c r="I839" s="72">
        <v>293</v>
      </c>
      <c r="J839" s="72">
        <v>127</v>
      </c>
      <c r="K839" s="85">
        <v>21.8</v>
      </c>
      <c r="Q839" s="55">
        <v>68</v>
      </c>
    </row>
    <row r="840" spans="1:18" x14ac:dyDescent="0.25">
      <c r="A840" s="72">
        <v>287</v>
      </c>
      <c r="B840" s="72">
        <v>8</v>
      </c>
      <c r="C840" s="72">
        <v>15</v>
      </c>
      <c r="D840" s="72">
        <v>1</v>
      </c>
      <c r="E840" s="72">
        <v>140412</v>
      </c>
      <c r="F840" s="72">
        <v>140832</v>
      </c>
      <c r="G840" s="72" t="s">
        <v>457</v>
      </c>
      <c r="H840" s="72">
        <v>8</v>
      </c>
      <c r="I840" s="72">
        <v>4</v>
      </c>
      <c r="J840" s="72">
        <v>4</v>
      </c>
      <c r="K840" s="85">
        <v>24</v>
      </c>
      <c r="Q840" s="55">
        <v>68</v>
      </c>
    </row>
    <row r="841" spans="1:18" x14ac:dyDescent="0.25">
      <c r="A841" s="72">
        <v>288</v>
      </c>
      <c r="B841" s="72">
        <v>9</v>
      </c>
      <c r="C841" s="72">
        <v>15</v>
      </c>
      <c r="D841" s="72">
        <v>1</v>
      </c>
      <c r="E841" s="72">
        <v>140412</v>
      </c>
      <c r="F841" s="72">
        <v>141656</v>
      </c>
      <c r="G841" s="72" t="s">
        <v>460</v>
      </c>
      <c r="H841" s="72">
        <v>9</v>
      </c>
      <c r="I841" s="72">
        <v>5</v>
      </c>
      <c r="J841" s="72">
        <v>5</v>
      </c>
      <c r="K841" s="85">
        <v>24.1</v>
      </c>
      <c r="Q841" s="55">
        <v>65</v>
      </c>
      <c r="R841" s="56" t="s">
        <v>474</v>
      </c>
    </row>
    <row r="842" spans="1:18" x14ac:dyDescent="0.25">
      <c r="A842" s="72">
        <v>289</v>
      </c>
      <c r="B842" s="72">
        <v>10</v>
      </c>
      <c r="C842" s="72">
        <v>15</v>
      </c>
      <c r="D842" s="72">
        <v>1</v>
      </c>
      <c r="E842" s="72">
        <v>140412</v>
      </c>
      <c r="F842" s="72">
        <v>141656</v>
      </c>
      <c r="G842" s="72" t="s">
        <v>460</v>
      </c>
      <c r="H842" s="72">
        <v>10</v>
      </c>
      <c r="I842" s="72">
        <v>3</v>
      </c>
      <c r="J842" s="72">
        <v>3</v>
      </c>
      <c r="K842" s="85">
        <v>23.6</v>
      </c>
      <c r="Q842" s="55">
        <v>65</v>
      </c>
      <c r="R842" s="56" t="s">
        <v>474</v>
      </c>
    </row>
    <row r="843" spans="1:18" x14ac:dyDescent="0.25">
      <c r="A843" s="72">
        <v>290</v>
      </c>
      <c r="B843" s="72">
        <v>11</v>
      </c>
      <c r="C843" s="72">
        <v>15</v>
      </c>
      <c r="D843" s="72">
        <v>1</v>
      </c>
      <c r="E843" s="72">
        <v>140412</v>
      </c>
      <c r="F843" s="72">
        <v>141657</v>
      </c>
      <c r="G843" s="72" t="s">
        <v>450</v>
      </c>
      <c r="H843" s="72">
        <v>11</v>
      </c>
      <c r="I843" s="72">
        <v>899</v>
      </c>
      <c r="J843" s="72">
        <v>248</v>
      </c>
      <c r="K843" s="85">
        <v>26.1</v>
      </c>
      <c r="Q843" s="55">
        <v>74</v>
      </c>
      <c r="R843" s="56" t="s">
        <v>474</v>
      </c>
    </row>
    <row r="844" spans="1:18" x14ac:dyDescent="0.25">
      <c r="A844" s="72">
        <v>291</v>
      </c>
      <c r="B844" s="72">
        <v>12</v>
      </c>
      <c r="C844" s="72">
        <v>15</v>
      </c>
      <c r="D844" s="72">
        <v>1</v>
      </c>
      <c r="E844" s="72">
        <v>140412</v>
      </c>
      <c r="F844" s="72">
        <v>141657</v>
      </c>
      <c r="G844" s="72" t="s">
        <v>450</v>
      </c>
      <c r="H844" s="72">
        <v>12</v>
      </c>
      <c r="I844" s="72">
        <v>860</v>
      </c>
      <c r="J844" s="72">
        <v>239</v>
      </c>
      <c r="K844" s="85">
        <v>29.7</v>
      </c>
      <c r="Q844" s="55">
        <v>74</v>
      </c>
      <c r="R844" s="56" t="s">
        <v>474</v>
      </c>
    </row>
    <row r="845" spans="1:18" x14ac:dyDescent="0.25">
      <c r="A845" s="72">
        <v>292</v>
      </c>
      <c r="B845" s="72">
        <v>13</v>
      </c>
      <c r="C845" s="72">
        <v>15</v>
      </c>
      <c r="D845" s="72">
        <v>1</v>
      </c>
      <c r="E845" s="72">
        <v>140412</v>
      </c>
      <c r="F845" s="72">
        <v>143045</v>
      </c>
      <c r="G845" s="72" t="s">
        <v>458</v>
      </c>
      <c r="H845" s="72">
        <v>13</v>
      </c>
      <c r="I845" s="72">
        <v>6</v>
      </c>
      <c r="J845" s="72">
        <v>6</v>
      </c>
      <c r="K845" s="85">
        <v>25.6</v>
      </c>
      <c r="Q845" s="55">
        <v>54</v>
      </c>
    </row>
    <row r="846" spans="1:18" x14ac:dyDescent="0.25">
      <c r="A846" s="72">
        <v>293</v>
      </c>
      <c r="B846" s="72">
        <v>14</v>
      </c>
      <c r="C846" s="72">
        <v>15</v>
      </c>
      <c r="D846" s="72">
        <v>1</v>
      </c>
      <c r="E846" s="72">
        <v>140412</v>
      </c>
      <c r="F846" s="72">
        <v>143045</v>
      </c>
      <c r="G846" s="72" t="s">
        <v>458</v>
      </c>
      <c r="H846" s="72">
        <v>14</v>
      </c>
      <c r="I846" s="72">
        <v>5</v>
      </c>
      <c r="J846" s="72">
        <v>5</v>
      </c>
      <c r="K846" s="85">
        <v>24.9</v>
      </c>
      <c r="Q846" s="55">
        <v>54</v>
      </c>
    </row>
    <row r="847" spans="1:18" x14ac:dyDescent="0.25">
      <c r="A847" s="72">
        <v>294</v>
      </c>
      <c r="B847" s="72">
        <v>15</v>
      </c>
      <c r="C847" s="72">
        <v>15</v>
      </c>
      <c r="D847" s="72">
        <v>1</v>
      </c>
      <c r="E847" s="72">
        <v>140412</v>
      </c>
      <c r="F847" s="72">
        <v>143045</v>
      </c>
      <c r="G847" s="72" t="s">
        <v>452</v>
      </c>
      <c r="H847" s="72">
        <v>15</v>
      </c>
      <c r="I847" s="72">
        <v>5</v>
      </c>
      <c r="J847" s="72">
        <v>5</v>
      </c>
      <c r="K847" s="85">
        <v>23.7</v>
      </c>
      <c r="Q847" s="55">
        <v>66</v>
      </c>
    </row>
    <row r="848" spans="1:18" x14ac:dyDescent="0.25">
      <c r="A848" s="72">
        <v>295</v>
      </c>
      <c r="B848" s="72">
        <v>16</v>
      </c>
      <c r="C848" s="72">
        <v>15</v>
      </c>
      <c r="D848" s="72">
        <v>1</v>
      </c>
      <c r="E848" s="72">
        <v>140412</v>
      </c>
      <c r="F848" s="72">
        <v>143045</v>
      </c>
      <c r="G848" s="72" t="s">
        <v>452</v>
      </c>
      <c r="H848" s="72">
        <v>16</v>
      </c>
      <c r="I848" s="72">
        <v>1</v>
      </c>
      <c r="J848" s="72">
        <v>1</v>
      </c>
      <c r="K848" s="85">
        <v>22.3</v>
      </c>
      <c r="Q848" s="55">
        <v>66</v>
      </c>
    </row>
    <row r="849" spans="1:18" x14ac:dyDescent="0.25">
      <c r="A849" s="72">
        <v>280</v>
      </c>
      <c r="B849" s="72">
        <v>1</v>
      </c>
      <c r="C849" s="72">
        <v>15</v>
      </c>
      <c r="D849" s="72">
        <v>2</v>
      </c>
      <c r="E849" s="72">
        <v>140413</v>
      </c>
      <c r="F849" s="72">
        <v>115816</v>
      </c>
      <c r="G849" s="72" t="s">
        <v>455</v>
      </c>
      <c r="H849" s="72">
        <v>1</v>
      </c>
      <c r="I849" s="72">
        <v>1228</v>
      </c>
      <c r="J849" s="72">
        <v>297</v>
      </c>
      <c r="K849" s="85">
        <v>21.1</v>
      </c>
      <c r="Q849" s="55">
        <v>73</v>
      </c>
    </row>
    <row r="850" spans="1:18" x14ac:dyDescent="0.25">
      <c r="A850" s="72">
        <v>281</v>
      </c>
      <c r="B850" s="72">
        <v>2</v>
      </c>
      <c r="C850" s="72">
        <v>15</v>
      </c>
      <c r="D850" s="72">
        <v>2</v>
      </c>
      <c r="E850" s="72">
        <v>140413</v>
      </c>
      <c r="F850" s="72">
        <v>115816</v>
      </c>
      <c r="G850" s="72" t="s">
        <v>455</v>
      </c>
      <c r="H850" s="72">
        <v>2</v>
      </c>
      <c r="I850" s="72">
        <v>1817</v>
      </c>
      <c r="J850" s="72">
        <v>419</v>
      </c>
      <c r="K850" s="85">
        <v>23.4</v>
      </c>
      <c r="Q850" s="55">
        <v>73</v>
      </c>
    </row>
    <row r="851" spans="1:18" x14ac:dyDescent="0.25">
      <c r="A851" s="72">
        <v>282</v>
      </c>
      <c r="B851" s="72">
        <v>3</v>
      </c>
      <c r="C851" s="72">
        <v>15</v>
      </c>
      <c r="D851" s="72">
        <v>2</v>
      </c>
      <c r="E851" s="72">
        <v>140413</v>
      </c>
      <c r="F851" s="72">
        <v>120547</v>
      </c>
      <c r="G851" s="72" t="s">
        <v>454</v>
      </c>
      <c r="H851" s="72">
        <v>3</v>
      </c>
      <c r="I851" s="72">
        <v>1519</v>
      </c>
      <c r="J851" s="72">
        <v>369</v>
      </c>
      <c r="K851" s="85">
        <v>24</v>
      </c>
      <c r="Q851" s="55">
        <v>69</v>
      </c>
    </row>
    <row r="852" spans="1:18" x14ac:dyDescent="0.25">
      <c r="A852" s="72">
        <v>283</v>
      </c>
      <c r="B852" s="72">
        <v>4</v>
      </c>
      <c r="C852" s="72">
        <v>15</v>
      </c>
      <c r="D852" s="72">
        <v>2</v>
      </c>
      <c r="E852" s="72">
        <v>140413</v>
      </c>
      <c r="F852" s="72">
        <v>120548</v>
      </c>
      <c r="G852" s="72" t="s">
        <v>454</v>
      </c>
      <c r="H852" s="72">
        <v>4</v>
      </c>
      <c r="I852" s="72">
        <v>2188</v>
      </c>
      <c r="J852" s="72">
        <v>494</v>
      </c>
      <c r="K852" s="85">
        <v>24.5</v>
      </c>
      <c r="Q852" s="55">
        <v>69</v>
      </c>
      <c r="R852" s="59" t="s">
        <v>475</v>
      </c>
    </row>
    <row r="853" spans="1:18" x14ac:dyDescent="0.25">
      <c r="A853" s="72">
        <v>284</v>
      </c>
      <c r="B853" s="72">
        <v>5</v>
      </c>
      <c r="C853" s="72">
        <v>15</v>
      </c>
      <c r="D853" s="72">
        <v>2</v>
      </c>
      <c r="E853" s="72">
        <v>140413</v>
      </c>
      <c r="F853" s="72">
        <v>115817</v>
      </c>
      <c r="G853" s="72" t="s">
        <v>423</v>
      </c>
      <c r="H853" s="72">
        <v>5</v>
      </c>
      <c r="I853" s="72">
        <v>1</v>
      </c>
      <c r="J853" s="72">
        <v>1</v>
      </c>
      <c r="K853" s="85">
        <v>24.7</v>
      </c>
      <c r="Q853" s="55">
        <v>66</v>
      </c>
    </row>
    <row r="854" spans="1:18" x14ac:dyDescent="0.25">
      <c r="A854" s="72">
        <v>285</v>
      </c>
      <c r="B854" s="72">
        <v>6</v>
      </c>
      <c r="C854" s="72">
        <v>15</v>
      </c>
      <c r="D854" s="72">
        <v>2</v>
      </c>
      <c r="E854" s="72">
        <v>140413</v>
      </c>
      <c r="F854" s="72">
        <v>115818</v>
      </c>
      <c r="G854" s="72" t="s">
        <v>423</v>
      </c>
      <c r="H854" s="72">
        <v>6</v>
      </c>
      <c r="I854" s="72">
        <v>0</v>
      </c>
      <c r="J854" s="72">
        <v>0</v>
      </c>
      <c r="K854" s="85">
        <v>24.7</v>
      </c>
      <c r="Q854" s="55">
        <v>66</v>
      </c>
    </row>
    <row r="855" spans="1:18" x14ac:dyDescent="0.25">
      <c r="A855" s="72">
        <v>286</v>
      </c>
      <c r="B855" s="72">
        <v>7</v>
      </c>
      <c r="C855" s="72">
        <v>15</v>
      </c>
      <c r="D855" s="72">
        <v>2</v>
      </c>
      <c r="E855" s="72">
        <v>140413</v>
      </c>
      <c r="F855" s="72">
        <v>120548</v>
      </c>
      <c r="G855" s="72" t="s">
        <v>457</v>
      </c>
      <c r="H855" s="72">
        <v>7</v>
      </c>
      <c r="I855" s="72">
        <v>516</v>
      </c>
      <c r="J855" s="72">
        <v>170</v>
      </c>
      <c r="K855" s="85">
        <v>21.8</v>
      </c>
      <c r="Q855" s="55">
        <v>68</v>
      </c>
    </row>
    <row r="856" spans="1:18" x14ac:dyDescent="0.25">
      <c r="A856" s="72">
        <v>287</v>
      </c>
      <c r="B856" s="72">
        <v>8</v>
      </c>
      <c r="C856" s="72">
        <v>15</v>
      </c>
      <c r="D856" s="72">
        <v>2</v>
      </c>
      <c r="E856" s="72">
        <v>140413</v>
      </c>
      <c r="F856" s="72">
        <v>120548</v>
      </c>
      <c r="G856" s="72" t="s">
        <v>457</v>
      </c>
      <c r="H856" s="72">
        <v>8</v>
      </c>
      <c r="I856" s="72">
        <v>2</v>
      </c>
      <c r="J856" s="72">
        <v>2</v>
      </c>
      <c r="K856" s="85">
        <v>24</v>
      </c>
      <c r="Q856" s="55">
        <v>68</v>
      </c>
    </row>
    <row r="857" spans="1:18" x14ac:dyDescent="0.25">
      <c r="A857" s="72">
        <v>288</v>
      </c>
      <c r="B857" s="72">
        <v>9</v>
      </c>
      <c r="C857" s="72">
        <v>15</v>
      </c>
      <c r="D857" s="72">
        <v>2</v>
      </c>
      <c r="E857" s="72">
        <v>140413</v>
      </c>
      <c r="F857" s="72">
        <v>122338</v>
      </c>
      <c r="G857" s="72" t="s">
        <v>460</v>
      </c>
      <c r="H857" s="72">
        <v>9</v>
      </c>
      <c r="I857" s="72">
        <v>2</v>
      </c>
      <c r="J857" s="72">
        <v>2</v>
      </c>
      <c r="K857" s="85">
        <v>24.1</v>
      </c>
      <c r="Q857" s="55">
        <v>65</v>
      </c>
    </row>
    <row r="858" spans="1:18" x14ac:dyDescent="0.25">
      <c r="A858" s="72">
        <v>289</v>
      </c>
      <c r="B858" s="72">
        <v>10</v>
      </c>
      <c r="C858" s="72">
        <v>15</v>
      </c>
      <c r="D858" s="72">
        <v>2</v>
      </c>
      <c r="E858" s="72">
        <v>140413</v>
      </c>
      <c r="F858" s="72">
        <v>122338</v>
      </c>
      <c r="G858" s="72" t="s">
        <v>460</v>
      </c>
      <c r="H858" s="72">
        <v>10</v>
      </c>
      <c r="I858" s="72">
        <v>2</v>
      </c>
      <c r="J858" s="72">
        <v>2</v>
      </c>
      <c r="K858" s="85">
        <v>23.6</v>
      </c>
      <c r="Q858" s="55">
        <v>65</v>
      </c>
    </row>
    <row r="859" spans="1:18" x14ac:dyDescent="0.25">
      <c r="A859" s="72">
        <v>290</v>
      </c>
      <c r="B859" s="72">
        <v>11</v>
      </c>
      <c r="C859" s="72">
        <v>15</v>
      </c>
      <c r="D859" s="72">
        <v>2</v>
      </c>
      <c r="E859" s="72">
        <v>140413</v>
      </c>
      <c r="F859" s="72">
        <v>122338</v>
      </c>
      <c r="G859" s="72" t="s">
        <v>450</v>
      </c>
      <c r="H859" s="72">
        <v>11</v>
      </c>
      <c r="I859" s="72">
        <v>414</v>
      </c>
      <c r="J859" s="72">
        <v>150</v>
      </c>
      <c r="K859" s="85">
        <v>26.1</v>
      </c>
      <c r="Q859" s="55">
        <v>74</v>
      </c>
    </row>
    <row r="860" spans="1:18" x14ac:dyDescent="0.25">
      <c r="A860" s="72">
        <v>291</v>
      </c>
      <c r="B860" s="72">
        <v>12</v>
      </c>
      <c r="C860" s="72">
        <v>15</v>
      </c>
      <c r="D860" s="72">
        <v>2</v>
      </c>
      <c r="E860" s="72">
        <v>140413</v>
      </c>
      <c r="F860" s="72">
        <v>122338</v>
      </c>
      <c r="G860" s="72" t="s">
        <v>450</v>
      </c>
      <c r="H860" s="72">
        <v>12</v>
      </c>
      <c r="I860" s="72">
        <v>422</v>
      </c>
      <c r="J860" s="72">
        <v>153</v>
      </c>
      <c r="K860" s="85">
        <v>29.7</v>
      </c>
      <c r="Q860" s="55">
        <v>74</v>
      </c>
    </row>
    <row r="861" spans="1:18" x14ac:dyDescent="0.25">
      <c r="A861" s="72">
        <v>292</v>
      </c>
      <c r="B861" s="72">
        <v>13</v>
      </c>
      <c r="C861" s="72">
        <v>15</v>
      </c>
      <c r="D861" s="72">
        <v>2</v>
      </c>
      <c r="E861" s="72">
        <v>140413</v>
      </c>
      <c r="F861" s="72">
        <v>121310</v>
      </c>
      <c r="G861" s="72" t="s">
        <v>458</v>
      </c>
      <c r="H861" s="72">
        <v>13</v>
      </c>
      <c r="I861" s="72">
        <v>2</v>
      </c>
      <c r="J861" s="72">
        <v>2</v>
      </c>
      <c r="K861" s="85">
        <v>25.6</v>
      </c>
      <c r="Q861" s="55">
        <v>54</v>
      </c>
    </row>
    <row r="862" spans="1:18" x14ac:dyDescent="0.25">
      <c r="A862" s="72">
        <v>293</v>
      </c>
      <c r="B862" s="72">
        <v>14</v>
      </c>
      <c r="C862" s="72">
        <v>15</v>
      </c>
      <c r="D862" s="72">
        <v>2</v>
      </c>
      <c r="E862" s="72">
        <v>140413</v>
      </c>
      <c r="F862" s="72">
        <v>121310</v>
      </c>
      <c r="G862" s="72" t="s">
        <v>458</v>
      </c>
      <c r="H862" s="72">
        <v>14</v>
      </c>
      <c r="I862" s="72">
        <v>1</v>
      </c>
      <c r="J862" s="72">
        <v>1</v>
      </c>
      <c r="K862" s="85">
        <v>24.9</v>
      </c>
      <c r="Q862" s="55">
        <v>54</v>
      </c>
    </row>
    <row r="863" spans="1:18" x14ac:dyDescent="0.25">
      <c r="A863" s="72">
        <v>294</v>
      </c>
      <c r="B863" s="72">
        <v>15</v>
      </c>
      <c r="C863" s="72">
        <v>15</v>
      </c>
      <c r="D863" s="72">
        <v>2</v>
      </c>
      <c r="E863" s="72">
        <v>140413</v>
      </c>
      <c r="F863" s="72">
        <v>121310</v>
      </c>
      <c r="G863" s="72" t="s">
        <v>452</v>
      </c>
      <c r="H863" s="72">
        <v>15</v>
      </c>
      <c r="I863" s="72">
        <v>0</v>
      </c>
      <c r="J863" s="72">
        <v>0</v>
      </c>
      <c r="K863" s="85">
        <v>23.7</v>
      </c>
      <c r="Q863" s="55">
        <v>66</v>
      </c>
    </row>
    <row r="864" spans="1:18" x14ac:dyDescent="0.25">
      <c r="A864" s="72">
        <v>295</v>
      </c>
      <c r="B864" s="72">
        <v>16</v>
      </c>
      <c r="C864" s="72">
        <v>15</v>
      </c>
      <c r="D864" s="72">
        <v>2</v>
      </c>
      <c r="E864" s="72">
        <v>140413</v>
      </c>
      <c r="F864" s="72">
        <v>121310</v>
      </c>
      <c r="G864" s="72" t="s">
        <v>452</v>
      </c>
      <c r="H864" s="72">
        <v>16</v>
      </c>
      <c r="I864" s="72">
        <v>1</v>
      </c>
      <c r="J864" s="72">
        <v>1</v>
      </c>
      <c r="K864" s="85">
        <v>22.3</v>
      </c>
      <c r="Q864" s="55">
        <v>66</v>
      </c>
    </row>
    <row r="865" spans="1:17" x14ac:dyDescent="0.25">
      <c r="A865" s="72">
        <v>280</v>
      </c>
      <c r="B865" s="72">
        <v>1</v>
      </c>
      <c r="C865" s="72">
        <v>15</v>
      </c>
      <c r="D865" s="72">
        <v>3</v>
      </c>
      <c r="E865" s="72">
        <v>140414</v>
      </c>
      <c r="F865" s="72">
        <v>102127</v>
      </c>
      <c r="G865" s="72" t="s">
        <v>455</v>
      </c>
      <c r="H865" s="72">
        <v>1</v>
      </c>
      <c r="I865" s="72">
        <v>1516</v>
      </c>
      <c r="J865" s="72">
        <v>355</v>
      </c>
      <c r="K865" s="85">
        <v>21.1</v>
      </c>
      <c r="P865" s="72" t="s">
        <v>139</v>
      </c>
      <c r="Q865" s="55">
        <v>73</v>
      </c>
    </row>
    <row r="866" spans="1:17" x14ac:dyDescent="0.25">
      <c r="A866" s="72">
        <v>281</v>
      </c>
      <c r="B866" s="72">
        <v>2</v>
      </c>
      <c r="C866" s="72">
        <v>15</v>
      </c>
      <c r="D866" s="72">
        <v>3</v>
      </c>
      <c r="E866" s="72">
        <v>140414</v>
      </c>
      <c r="F866" s="72">
        <v>100930</v>
      </c>
      <c r="G866" s="72" t="s">
        <v>455</v>
      </c>
      <c r="H866" s="72">
        <v>2</v>
      </c>
      <c r="I866" s="72">
        <v>1955</v>
      </c>
      <c r="J866" s="72">
        <v>447</v>
      </c>
      <c r="K866" s="85">
        <v>23.4</v>
      </c>
      <c r="P866" s="72" t="s">
        <v>139</v>
      </c>
      <c r="Q866" s="55">
        <v>73</v>
      </c>
    </row>
    <row r="867" spans="1:17" x14ac:dyDescent="0.25">
      <c r="A867" s="72">
        <v>282</v>
      </c>
      <c r="B867" s="72">
        <v>3</v>
      </c>
      <c r="C867" s="72">
        <v>15</v>
      </c>
      <c r="D867" s="72">
        <v>3</v>
      </c>
      <c r="E867" s="72">
        <v>140414</v>
      </c>
      <c r="F867" s="72">
        <v>100930</v>
      </c>
      <c r="G867" s="72" t="s">
        <v>454</v>
      </c>
      <c r="H867" s="72">
        <v>3</v>
      </c>
      <c r="I867" s="72">
        <v>2169</v>
      </c>
      <c r="J867" s="72">
        <v>495</v>
      </c>
      <c r="K867" s="85">
        <v>24</v>
      </c>
      <c r="P867" s="72" t="s">
        <v>139</v>
      </c>
      <c r="Q867" s="55">
        <v>69</v>
      </c>
    </row>
    <row r="868" spans="1:17" x14ac:dyDescent="0.25">
      <c r="A868" s="72">
        <v>283</v>
      </c>
      <c r="B868" s="72">
        <v>4</v>
      </c>
      <c r="C868" s="72">
        <v>15</v>
      </c>
      <c r="D868" s="72">
        <v>3</v>
      </c>
      <c r="E868" s="72">
        <v>140414</v>
      </c>
      <c r="F868" s="72">
        <v>100930</v>
      </c>
      <c r="G868" s="72" t="s">
        <v>454</v>
      </c>
      <c r="H868" s="72">
        <v>4</v>
      </c>
      <c r="I868" s="72">
        <v>2216</v>
      </c>
      <c r="J868" s="72">
        <v>500</v>
      </c>
      <c r="K868" s="85">
        <v>24.5</v>
      </c>
      <c r="P868" s="72" t="s">
        <v>139</v>
      </c>
      <c r="Q868" s="55">
        <v>69</v>
      </c>
    </row>
    <row r="869" spans="1:17" x14ac:dyDescent="0.25">
      <c r="A869" s="72">
        <v>284</v>
      </c>
      <c r="B869" s="72">
        <v>5</v>
      </c>
      <c r="C869" s="72">
        <v>15</v>
      </c>
      <c r="D869" s="72">
        <v>3</v>
      </c>
      <c r="E869" s="72">
        <v>140414</v>
      </c>
      <c r="F869" s="72">
        <v>100931</v>
      </c>
      <c r="G869" s="72" t="s">
        <v>423</v>
      </c>
      <c r="H869" s="72">
        <v>5</v>
      </c>
      <c r="I869" s="72">
        <v>1</v>
      </c>
      <c r="J869" s="72">
        <v>1</v>
      </c>
      <c r="K869" s="85">
        <v>24.7</v>
      </c>
      <c r="P869" s="72" t="s">
        <v>139</v>
      </c>
      <c r="Q869" s="55">
        <v>66</v>
      </c>
    </row>
    <row r="870" spans="1:17" x14ac:dyDescent="0.25">
      <c r="A870" s="72">
        <v>285</v>
      </c>
      <c r="B870" s="72">
        <v>6</v>
      </c>
      <c r="C870" s="72">
        <v>15</v>
      </c>
      <c r="D870" s="72">
        <v>3</v>
      </c>
      <c r="E870" s="72">
        <v>140414</v>
      </c>
      <c r="F870" s="72">
        <v>100931</v>
      </c>
      <c r="G870" s="72" t="s">
        <v>423</v>
      </c>
      <c r="H870" s="72">
        <v>6</v>
      </c>
      <c r="I870" s="72">
        <v>1</v>
      </c>
      <c r="J870" s="72">
        <v>1</v>
      </c>
      <c r="K870" s="85">
        <v>24.7</v>
      </c>
      <c r="P870" s="72" t="s">
        <v>139</v>
      </c>
      <c r="Q870" s="55">
        <v>66</v>
      </c>
    </row>
    <row r="871" spans="1:17" x14ac:dyDescent="0.25">
      <c r="A871" s="72">
        <v>286</v>
      </c>
      <c r="B871" s="72">
        <v>7</v>
      </c>
      <c r="C871" s="72">
        <v>15</v>
      </c>
      <c r="D871" s="72">
        <v>3</v>
      </c>
      <c r="E871" s="72">
        <v>140414</v>
      </c>
      <c r="F871" s="72">
        <v>100931</v>
      </c>
      <c r="G871" s="72" t="s">
        <v>457</v>
      </c>
      <c r="H871" s="72">
        <v>7</v>
      </c>
      <c r="I871" s="72">
        <v>336</v>
      </c>
      <c r="J871" s="72">
        <v>135</v>
      </c>
      <c r="K871" s="85">
        <v>21.8</v>
      </c>
      <c r="P871" s="72" t="s">
        <v>139</v>
      </c>
      <c r="Q871" s="55">
        <v>68</v>
      </c>
    </row>
    <row r="872" spans="1:17" x14ac:dyDescent="0.25">
      <c r="A872" s="72">
        <v>287</v>
      </c>
      <c r="B872" s="72">
        <v>8</v>
      </c>
      <c r="C872" s="72">
        <v>15</v>
      </c>
      <c r="D872" s="72">
        <v>3</v>
      </c>
      <c r="E872" s="72">
        <v>140414</v>
      </c>
      <c r="F872" s="72">
        <v>100931</v>
      </c>
      <c r="G872" s="72" t="s">
        <v>457</v>
      </c>
      <c r="H872" s="72">
        <v>8</v>
      </c>
      <c r="I872" s="72">
        <v>2</v>
      </c>
      <c r="J872" s="72">
        <v>2</v>
      </c>
      <c r="K872" s="85">
        <v>24</v>
      </c>
      <c r="P872" s="72" t="s">
        <v>139</v>
      </c>
      <c r="Q872" s="55">
        <v>68</v>
      </c>
    </row>
    <row r="873" spans="1:17" x14ac:dyDescent="0.25">
      <c r="A873" s="72">
        <v>288</v>
      </c>
      <c r="B873" s="72">
        <v>9</v>
      </c>
      <c r="C873" s="72">
        <v>15</v>
      </c>
      <c r="D873" s="72">
        <v>3</v>
      </c>
      <c r="E873" s="72">
        <v>140414</v>
      </c>
      <c r="F873" s="72">
        <v>102127</v>
      </c>
      <c r="G873" s="72" t="s">
        <v>460</v>
      </c>
      <c r="H873" s="72">
        <v>9</v>
      </c>
      <c r="I873" s="72">
        <v>2</v>
      </c>
      <c r="J873" s="72">
        <v>2</v>
      </c>
      <c r="K873" s="85">
        <v>24.1</v>
      </c>
      <c r="P873" s="72" t="s">
        <v>139</v>
      </c>
      <c r="Q873" s="55">
        <v>65</v>
      </c>
    </row>
    <row r="874" spans="1:17" x14ac:dyDescent="0.25">
      <c r="A874" s="72">
        <v>289</v>
      </c>
      <c r="B874" s="72">
        <v>10</v>
      </c>
      <c r="C874" s="72">
        <v>15</v>
      </c>
      <c r="D874" s="72">
        <v>3</v>
      </c>
      <c r="E874" s="72">
        <v>140414</v>
      </c>
      <c r="F874" s="72">
        <v>102128</v>
      </c>
      <c r="G874" s="72" t="s">
        <v>460</v>
      </c>
      <c r="H874" s="72">
        <v>10</v>
      </c>
      <c r="I874" s="72">
        <v>0</v>
      </c>
      <c r="J874" s="72">
        <v>0</v>
      </c>
      <c r="K874" s="85">
        <v>23.6</v>
      </c>
      <c r="P874" s="72" t="s">
        <v>139</v>
      </c>
      <c r="Q874" s="55">
        <v>65</v>
      </c>
    </row>
    <row r="875" spans="1:17" x14ac:dyDescent="0.25">
      <c r="A875" s="72">
        <v>290</v>
      </c>
      <c r="B875" s="72">
        <v>11</v>
      </c>
      <c r="C875" s="72">
        <v>15</v>
      </c>
      <c r="D875" s="72">
        <v>3</v>
      </c>
      <c r="E875" s="72">
        <v>140414</v>
      </c>
      <c r="F875" s="72">
        <v>102128</v>
      </c>
      <c r="G875" s="72" t="s">
        <v>450</v>
      </c>
      <c r="H875" s="72">
        <v>11</v>
      </c>
      <c r="I875" s="72">
        <v>1099</v>
      </c>
      <c r="J875" s="72">
        <v>285</v>
      </c>
      <c r="K875" s="85">
        <v>26.1</v>
      </c>
      <c r="P875" s="72" t="s">
        <v>139</v>
      </c>
      <c r="Q875" s="55">
        <v>74</v>
      </c>
    </row>
    <row r="876" spans="1:17" x14ac:dyDescent="0.25">
      <c r="A876" s="72">
        <v>291</v>
      </c>
      <c r="B876" s="72">
        <v>12</v>
      </c>
      <c r="C876" s="72">
        <v>15</v>
      </c>
      <c r="D876" s="72">
        <v>3</v>
      </c>
      <c r="E876" s="72">
        <v>140414</v>
      </c>
      <c r="F876" s="72">
        <v>103426</v>
      </c>
      <c r="G876" s="72" t="s">
        <v>450</v>
      </c>
      <c r="H876" s="72">
        <v>12</v>
      </c>
      <c r="I876" s="72">
        <v>296</v>
      </c>
      <c r="J876" s="72">
        <v>129</v>
      </c>
      <c r="K876" s="85">
        <v>29.7</v>
      </c>
      <c r="P876" s="72" t="s">
        <v>139</v>
      </c>
      <c r="Q876" s="55">
        <v>74</v>
      </c>
    </row>
    <row r="877" spans="1:17" x14ac:dyDescent="0.25">
      <c r="A877" s="72">
        <v>292</v>
      </c>
      <c r="B877" s="72">
        <v>13</v>
      </c>
      <c r="C877" s="72">
        <v>15</v>
      </c>
      <c r="D877" s="72">
        <v>3</v>
      </c>
      <c r="E877" s="72">
        <v>140414</v>
      </c>
      <c r="F877" s="72">
        <v>102342</v>
      </c>
      <c r="G877" s="72" t="s">
        <v>458</v>
      </c>
      <c r="H877" s="72">
        <v>13</v>
      </c>
      <c r="I877" s="72">
        <v>539</v>
      </c>
      <c r="J877" s="72">
        <v>173</v>
      </c>
      <c r="K877" s="85">
        <v>25.6</v>
      </c>
      <c r="P877" s="72" t="s">
        <v>139</v>
      </c>
      <c r="Q877" s="55">
        <v>54</v>
      </c>
    </row>
    <row r="878" spans="1:17" x14ac:dyDescent="0.25">
      <c r="A878" s="72">
        <v>293</v>
      </c>
      <c r="B878" s="72">
        <v>14</v>
      </c>
      <c r="C878" s="72">
        <v>15</v>
      </c>
      <c r="D878" s="72">
        <v>3</v>
      </c>
      <c r="E878" s="72">
        <v>140414</v>
      </c>
      <c r="F878" s="72">
        <v>101559</v>
      </c>
      <c r="G878" s="72" t="s">
        <v>458</v>
      </c>
      <c r="H878" s="72">
        <v>14</v>
      </c>
      <c r="I878" s="72">
        <v>213</v>
      </c>
      <c r="J878" s="72">
        <v>104</v>
      </c>
      <c r="K878" s="85">
        <v>24.9</v>
      </c>
      <c r="P878" s="72" t="s">
        <v>139</v>
      </c>
      <c r="Q878" s="55">
        <v>54</v>
      </c>
    </row>
    <row r="879" spans="1:17" x14ac:dyDescent="0.25">
      <c r="A879" s="72">
        <v>294</v>
      </c>
      <c r="B879" s="72">
        <v>15</v>
      </c>
      <c r="C879" s="72">
        <v>15</v>
      </c>
      <c r="D879" s="72">
        <v>3</v>
      </c>
      <c r="E879" s="72">
        <v>140414</v>
      </c>
      <c r="F879" s="72">
        <v>101559</v>
      </c>
      <c r="G879" s="72" t="s">
        <v>452</v>
      </c>
      <c r="H879" s="72">
        <v>15</v>
      </c>
      <c r="I879" s="72">
        <v>2</v>
      </c>
      <c r="J879" s="72">
        <v>2</v>
      </c>
      <c r="K879" s="85">
        <v>23.7</v>
      </c>
      <c r="P879" s="72" t="s">
        <v>139</v>
      </c>
      <c r="Q879" s="55">
        <v>66</v>
      </c>
    </row>
    <row r="880" spans="1:17" x14ac:dyDescent="0.25">
      <c r="A880" s="72">
        <v>295</v>
      </c>
      <c r="B880" s="72">
        <v>16</v>
      </c>
      <c r="C880" s="72">
        <v>15</v>
      </c>
      <c r="D880" s="72">
        <v>3</v>
      </c>
      <c r="E880" s="72">
        <v>140414</v>
      </c>
      <c r="F880" s="72">
        <v>101559</v>
      </c>
      <c r="G880" s="72" t="s">
        <v>452</v>
      </c>
      <c r="H880" s="72">
        <v>16</v>
      </c>
      <c r="I880" s="72">
        <v>1</v>
      </c>
      <c r="J880" s="72">
        <v>1</v>
      </c>
      <c r="K880" s="85">
        <v>22.3</v>
      </c>
      <c r="P880" s="72" t="s">
        <v>139</v>
      </c>
      <c r="Q880" s="55">
        <v>66</v>
      </c>
    </row>
    <row r="881" spans="1:18" x14ac:dyDescent="0.25">
      <c r="A881" s="72">
        <v>296</v>
      </c>
      <c r="B881" s="72">
        <v>1</v>
      </c>
      <c r="C881" s="72">
        <v>16</v>
      </c>
      <c r="D881" s="72">
        <v>1</v>
      </c>
      <c r="E881" s="72">
        <v>140415</v>
      </c>
      <c r="F881" s="72">
        <v>95923</v>
      </c>
      <c r="G881" s="72" t="s">
        <v>439</v>
      </c>
      <c r="H881" s="72">
        <v>1</v>
      </c>
      <c r="I881" s="72">
        <v>573</v>
      </c>
      <c r="J881" s="72">
        <v>181</v>
      </c>
      <c r="K881" s="85">
        <v>23.4</v>
      </c>
      <c r="Q881" s="55">
        <v>55</v>
      </c>
    </row>
    <row r="882" spans="1:18" x14ac:dyDescent="0.25">
      <c r="A882" s="72">
        <v>297</v>
      </c>
      <c r="B882" s="72">
        <v>2</v>
      </c>
      <c r="C882" s="72">
        <v>16</v>
      </c>
      <c r="D882" s="72">
        <v>1</v>
      </c>
      <c r="E882" s="72">
        <v>140415</v>
      </c>
      <c r="F882" s="72">
        <v>95923</v>
      </c>
      <c r="G882" s="72" t="s">
        <v>439</v>
      </c>
      <c r="H882" s="72">
        <v>2</v>
      </c>
      <c r="I882" s="72">
        <v>5</v>
      </c>
      <c r="J882" s="72">
        <v>5</v>
      </c>
      <c r="K882" s="85">
        <v>20.3</v>
      </c>
      <c r="Q882" s="55">
        <v>55</v>
      </c>
    </row>
    <row r="883" spans="1:18" x14ac:dyDescent="0.25">
      <c r="A883" s="72">
        <v>298</v>
      </c>
      <c r="B883" s="72">
        <v>3</v>
      </c>
      <c r="C883" s="72">
        <v>16</v>
      </c>
      <c r="D883" s="72">
        <v>1</v>
      </c>
      <c r="E883" s="72">
        <v>140415</v>
      </c>
      <c r="F883" s="72">
        <v>95809</v>
      </c>
      <c r="G883" s="72" t="s">
        <v>462</v>
      </c>
      <c r="H883" s="72">
        <v>3</v>
      </c>
      <c r="I883" s="72">
        <v>49</v>
      </c>
      <c r="J883" s="72">
        <v>49</v>
      </c>
      <c r="K883" s="85">
        <v>24</v>
      </c>
      <c r="Q883" s="55">
        <v>62</v>
      </c>
    </row>
    <row r="884" spans="1:18" x14ac:dyDescent="0.25">
      <c r="A884" s="72">
        <v>299</v>
      </c>
      <c r="B884" s="72">
        <v>4</v>
      </c>
      <c r="C884" s="72">
        <v>16</v>
      </c>
      <c r="D884" s="72">
        <v>1</v>
      </c>
      <c r="E884" s="72">
        <v>140415</v>
      </c>
      <c r="F884" s="72">
        <v>95810</v>
      </c>
      <c r="G884" s="72" t="s">
        <v>462</v>
      </c>
      <c r="H884" s="72">
        <v>4</v>
      </c>
      <c r="I884" s="72">
        <v>286</v>
      </c>
      <c r="J884" s="72">
        <v>125</v>
      </c>
      <c r="K884" s="85">
        <v>21.2</v>
      </c>
      <c r="Q884" s="55">
        <v>62</v>
      </c>
    </row>
    <row r="885" spans="1:18" x14ac:dyDescent="0.25">
      <c r="A885" s="72">
        <v>300</v>
      </c>
      <c r="B885" s="72">
        <v>5</v>
      </c>
      <c r="C885" s="72">
        <v>16</v>
      </c>
      <c r="D885" s="72">
        <v>1</v>
      </c>
      <c r="E885" s="72">
        <v>140415</v>
      </c>
      <c r="F885" s="72">
        <v>95810</v>
      </c>
      <c r="G885" s="72" t="s">
        <v>462</v>
      </c>
      <c r="H885" s="72">
        <v>5</v>
      </c>
      <c r="I885" s="72">
        <v>22</v>
      </c>
      <c r="J885" s="72">
        <v>20</v>
      </c>
      <c r="K885" s="85">
        <v>19</v>
      </c>
      <c r="Q885" s="55">
        <v>62</v>
      </c>
    </row>
    <row r="886" spans="1:18" x14ac:dyDescent="0.25">
      <c r="A886" s="72">
        <v>301</v>
      </c>
      <c r="B886" s="72">
        <v>6</v>
      </c>
      <c r="C886" s="72">
        <v>16</v>
      </c>
      <c r="D886" s="72">
        <v>1</v>
      </c>
      <c r="E886" s="72">
        <v>140415</v>
      </c>
      <c r="F886" s="72">
        <v>95810</v>
      </c>
      <c r="G886" s="72" t="s">
        <v>458</v>
      </c>
      <c r="H886" s="72">
        <v>6</v>
      </c>
      <c r="I886" s="72">
        <v>380</v>
      </c>
      <c r="J886" s="72">
        <v>145</v>
      </c>
      <c r="K886" s="85">
        <v>21.8</v>
      </c>
      <c r="Q886" s="55">
        <v>58</v>
      </c>
    </row>
    <row r="887" spans="1:18" x14ac:dyDescent="0.25">
      <c r="A887" s="72">
        <v>302</v>
      </c>
      <c r="B887" s="72">
        <v>7</v>
      </c>
      <c r="C887" s="72">
        <v>16</v>
      </c>
      <c r="D887" s="72">
        <v>1</v>
      </c>
      <c r="E887" s="72">
        <v>140415</v>
      </c>
      <c r="F887" s="72">
        <v>95811</v>
      </c>
      <c r="G887" s="72" t="s">
        <v>458</v>
      </c>
      <c r="H887" s="72">
        <v>7</v>
      </c>
      <c r="I887" s="72">
        <v>0</v>
      </c>
      <c r="J887" s="72">
        <v>0</v>
      </c>
      <c r="K887" s="85">
        <v>27.6</v>
      </c>
      <c r="Q887" s="55">
        <v>58</v>
      </c>
    </row>
    <row r="888" spans="1:18" x14ac:dyDescent="0.25">
      <c r="A888" s="72">
        <v>303</v>
      </c>
      <c r="B888" s="72">
        <v>8</v>
      </c>
      <c r="C888" s="72">
        <v>16</v>
      </c>
      <c r="D888" s="72">
        <v>1</v>
      </c>
      <c r="E888" s="72">
        <v>140415</v>
      </c>
      <c r="F888" s="72">
        <v>95811</v>
      </c>
      <c r="G888" s="72" t="s">
        <v>458</v>
      </c>
      <c r="H888" s="72">
        <v>8</v>
      </c>
      <c r="I888" s="72">
        <v>5</v>
      </c>
      <c r="J888" s="72">
        <v>5</v>
      </c>
      <c r="K888" s="85">
        <v>26.8</v>
      </c>
      <c r="Q888" s="55">
        <v>58</v>
      </c>
    </row>
    <row r="889" spans="1:18" x14ac:dyDescent="0.25">
      <c r="A889" s="72">
        <v>304</v>
      </c>
      <c r="B889" s="72">
        <v>9</v>
      </c>
      <c r="C889" s="72">
        <v>16</v>
      </c>
      <c r="D889" s="72">
        <v>1</v>
      </c>
      <c r="E889" s="72">
        <v>140415</v>
      </c>
      <c r="F889" s="72">
        <v>100714</v>
      </c>
      <c r="G889" s="72" t="s">
        <v>464</v>
      </c>
      <c r="H889" s="72">
        <v>9</v>
      </c>
      <c r="I889" s="72">
        <v>1507</v>
      </c>
      <c r="J889" s="72">
        <v>365</v>
      </c>
      <c r="K889" s="85">
        <v>27</v>
      </c>
      <c r="Q889" s="55">
        <v>74</v>
      </c>
    </row>
    <row r="890" spans="1:18" x14ac:dyDescent="0.25">
      <c r="A890" s="72">
        <v>305</v>
      </c>
      <c r="B890" s="72">
        <v>10</v>
      </c>
      <c r="C890" s="72">
        <v>16</v>
      </c>
      <c r="D890" s="72">
        <v>1</v>
      </c>
      <c r="E890" s="72">
        <v>140415</v>
      </c>
      <c r="F890" s="72">
        <v>100715</v>
      </c>
      <c r="G890" s="72" t="s">
        <v>464</v>
      </c>
      <c r="H890" s="72">
        <v>10</v>
      </c>
      <c r="I890" s="72">
        <v>643</v>
      </c>
      <c r="J890" s="72">
        <v>185</v>
      </c>
      <c r="K890" s="85">
        <v>26.2</v>
      </c>
      <c r="Q890" s="55">
        <v>74</v>
      </c>
    </row>
    <row r="891" spans="1:18" x14ac:dyDescent="0.25">
      <c r="A891" s="72">
        <v>306</v>
      </c>
      <c r="B891" s="72">
        <v>11</v>
      </c>
      <c r="C891" s="72">
        <v>16</v>
      </c>
      <c r="D891" s="72">
        <v>1</v>
      </c>
      <c r="E891" s="72">
        <v>140415</v>
      </c>
      <c r="F891" s="72">
        <v>100715</v>
      </c>
      <c r="G891" s="72" t="s">
        <v>423</v>
      </c>
      <c r="H891" s="72">
        <v>11</v>
      </c>
      <c r="I891" s="72">
        <v>1</v>
      </c>
      <c r="J891" s="72">
        <v>1</v>
      </c>
      <c r="K891" s="85">
        <v>23.3</v>
      </c>
      <c r="Q891" s="55">
        <v>70</v>
      </c>
    </row>
    <row r="892" spans="1:18" x14ac:dyDescent="0.25">
      <c r="A892" s="72">
        <v>307</v>
      </c>
      <c r="B892" s="72">
        <v>12</v>
      </c>
      <c r="C892" s="72">
        <v>16</v>
      </c>
      <c r="D892" s="72">
        <v>1</v>
      </c>
      <c r="E892" s="72">
        <v>140415</v>
      </c>
      <c r="F892" s="72">
        <v>102745</v>
      </c>
      <c r="G892" s="72" t="s">
        <v>463</v>
      </c>
      <c r="H892" s="72">
        <v>12</v>
      </c>
      <c r="I892" s="72">
        <v>2</v>
      </c>
      <c r="J892" s="72">
        <v>2</v>
      </c>
      <c r="K892" s="85">
        <v>20</v>
      </c>
      <c r="Q892" s="55">
        <v>55</v>
      </c>
    </row>
    <row r="893" spans="1:18" x14ac:dyDescent="0.25">
      <c r="A893" s="72">
        <v>308</v>
      </c>
      <c r="B893" s="72">
        <v>13</v>
      </c>
      <c r="C893" s="72">
        <v>16</v>
      </c>
      <c r="D893" s="72">
        <v>1</v>
      </c>
      <c r="E893" s="72">
        <v>140415</v>
      </c>
      <c r="F893" s="72">
        <v>101638</v>
      </c>
      <c r="G893" s="72" t="s">
        <v>463</v>
      </c>
      <c r="H893" s="72">
        <v>13</v>
      </c>
      <c r="I893" s="72">
        <v>17</v>
      </c>
      <c r="J893" s="72">
        <v>17</v>
      </c>
      <c r="K893" s="85">
        <v>22.4</v>
      </c>
      <c r="Q893" s="55">
        <v>55</v>
      </c>
    </row>
    <row r="894" spans="1:18" x14ac:dyDescent="0.25">
      <c r="A894" s="72">
        <v>309</v>
      </c>
      <c r="B894" s="72">
        <v>14</v>
      </c>
      <c r="C894" s="72">
        <v>16</v>
      </c>
      <c r="D894" s="72">
        <v>1</v>
      </c>
      <c r="E894" s="72">
        <v>140415</v>
      </c>
      <c r="F894" s="72">
        <v>101311</v>
      </c>
      <c r="G894" s="72" t="s">
        <v>145</v>
      </c>
      <c r="H894" s="72">
        <v>14</v>
      </c>
      <c r="I894" s="72">
        <v>7</v>
      </c>
      <c r="J894" s="72">
        <v>5</v>
      </c>
      <c r="K894" s="85">
        <v>24.6</v>
      </c>
      <c r="Q894" s="55">
        <v>82</v>
      </c>
    </row>
    <row r="895" spans="1:18" x14ac:dyDescent="0.25">
      <c r="A895" s="72">
        <v>310</v>
      </c>
      <c r="B895" s="72">
        <v>15</v>
      </c>
      <c r="C895" s="72">
        <v>16</v>
      </c>
      <c r="D895" s="72">
        <v>1</v>
      </c>
      <c r="E895" s="72">
        <v>140415</v>
      </c>
      <c r="F895" s="72">
        <v>101311</v>
      </c>
      <c r="G895" s="72" t="s">
        <v>145</v>
      </c>
      <c r="H895" s="72">
        <v>15</v>
      </c>
      <c r="I895" s="59">
        <v>2</v>
      </c>
      <c r="J895" s="59">
        <v>2</v>
      </c>
      <c r="K895" s="85">
        <v>27.4</v>
      </c>
      <c r="Q895" s="55">
        <v>82</v>
      </c>
      <c r="R895" s="59" t="s">
        <v>472</v>
      </c>
    </row>
    <row r="896" spans="1:18" x14ac:dyDescent="0.25">
      <c r="A896" s="72">
        <v>311</v>
      </c>
      <c r="B896" s="72">
        <v>16</v>
      </c>
      <c r="C896" s="72">
        <v>16</v>
      </c>
      <c r="D896" s="72">
        <v>1</v>
      </c>
      <c r="E896" s="72">
        <v>140415</v>
      </c>
      <c r="F896" s="72">
        <v>100949</v>
      </c>
      <c r="G896" s="72" t="s">
        <v>423</v>
      </c>
      <c r="H896" s="72">
        <v>16</v>
      </c>
      <c r="I896" s="72">
        <v>0</v>
      </c>
      <c r="J896" s="72">
        <v>0</v>
      </c>
      <c r="K896" s="85">
        <v>25.3</v>
      </c>
      <c r="Q896" s="55">
        <v>70</v>
      </c>
    </row>
    <row r="897" spans="1:26" x14ac:dyDescent="0.25">
      <c r="A897" s="72">
        <v>296</v>
      </c>
      <c r="B897" s="72">
        <v>1</v>
      </c>
      <c r="C897" s="72">
        <v>16</v>
      </c>
      <c r="D897" s="72">
        <v>2</v>
      </c>
      <c r="E897" s="72">
        <v>140416</v>
      </c>
      <c r="F897" s="72">
        <v>91828</v>
      </c>
      <c r="G897" s="72" t="s">
        <v>439</v>
      </c>
      <c r="H897" s="72">
        <v>1</v>
      </c>
      <c r="I897" s="72">
        <v>358</v>
      </c>
      <c r="J897" s="72">
        <v>137</v>
      </c>
      <c r="K897" s="85">
        <v>23.4</v>
      </c>
      <c r="N897" s="72"/>
      <c r="P897" s="22"/>
      <c r="Q897" s="55">
        <v>55</v>
      </c>
    </row>
    <row r="898" spans="1:26" x14ac:dyDescent="0.25">
      <c r="A898" s="72">
        <v>297</v>
      </c>
      <c r="B898" s="72">
        <v>2</v>
      </c>
      <c r="C898" s="72">
        <v>16</v>
      </c>
      <c r="D898" s="72">
        <v>2</v>
      </c>
      <c r="E898" s="72">
        <v>140416</v>
      </c>
      <c r="F898" s="72">
        <v>91828</v>
      </c>
      <c r="G898" s="72" t="s">
        <v>439</v>
      </c>
      <c r="H898" s="72">
        <v>2</v>
      </c>
      <c r="I898" s="72">
        <v>0</v>
      </c>
      <c r="J898" s="72">
        <v>0</v>
      </c>
      <c r="K898" s="85">
        <v>20.3</v>
      </c>
      <c r="N898" s="72"/>
      <c r="P898" s="22"/>
      <c r="Q898" s="55">
        <v>55</v>
      </c>
      <c r="V898" s="72"/>
      <c r="W898" s="72"/>
      <c r="X898" s="72"/>
      <c r="Y898" s="72"/>
      <c r="Z898" s="72"/>
    </row>
    <row r="899" spans="1:26" x14ac:dyDescent="0.25">
      <c r="A899" s="72">
        <v>298</v>
      </c>
      <c r="B899" s="72">
        <v>3</v>
      </c>
      <c r="C899" s="72">
        <v>16</v>
      </c>
      <c r="D899" s="72">
        <v>2</v>
      </c>
      <c r="E899" s="72">
        <v>140416</v>
      </c>
      <c r="F899" s="72">
        <v>92019</v>
      </c>
      <c r="G899" s="72" t="s">
        <v>462</v>
      </c>
      <c r="H899" s="72">
        <v>3</v>
      </c>
      <c r="I899" s="72">
        <v>176</v>
      </c>
      <c r="J899" s="72">
        <v>104</v>
      </c>
      <c r="K899" s="85">
        <v>19</v>
      </c>
      <c r="N899" s="72"/>
      <c r="P899" s="22"/>
      <c r="Q899" s="55">
        <v>62</v>
      </c>
      <c r="V899" s="72"/>
      <c r="W899" s="72"/>
      <c r="X899" s="72"/>
      <c r="Y899" s="72"/>
      <c r="Z899" s="72"/>
    </row>
    <row r="900" spans="1:26" x14ac:dyDescent="0.25">
      <c r="A900" s="72">
        <v>299</v>
      </c>
      <c r="B900" s="72">
        <v>4</v>
      </c>
      <c r="C900" s="72">
        <v>16</v>
      </c>
      <c r="D900" s="72">
        <v>2</v>
      </c>
      <c r="E900" s="72">
        <v>140416</v>
      </c>
      <c r="F900" s="72">
        <v>92019</v>
      </c>
      <c r="G900" s="72" t="s">
        <v>462</v>
      </c>
      <c r="H900" s="72">
        <v>4</v>
      </c>
      <c r="I900" s="72">
        <v>282</v>
      </c>
      <c r="J900" s="72">
        <v>125</v>
      </c>
      <c r="K900" s="85">
        <v>21.8</v>
      </c>
      <c r="N900" s="72"/>
      <c r="P900" s="22"/>
      <c r="Q900" s="55">
        <v>58</v>
      </c>
      <c r="V900" s="72"/>
      <c r="W900" s="72"/>
      <c r="X900" s="72"/>
      <c r="Y900" s="72"/>
      <c r="Z900" s="72"/>
    </row>
    <row r="901" spans="1:26" x14ac:dyDescent="0.25">
      <c r="A901" s="72">
        <v>300</v>
      </c>
      <c r="B901" s="72">
        <v>5</v>
      </c>
      <c r="C901" s="72">
        <v>16</v>
      </c>
      <c r="D901" s="72">
        <v>2</v>
      </c>
      <c r="E901" s="72">
        <v>140416</v>
      </c>
      <c r="F901" s="72">
        <v>91828</v>
      </c>
      <c r="G901" s="72" t="s">
        <v>462</v>
      </c>
      <c r="H901" s="72">
        <v>5</v>
      </c>
      <c r="I901" s="72">
        <v>428</v>
      </c>
      <c r="J901" s="72">
        <v>153</v>
      </c>
      <c r="K901" s="85">
        <v>24</v>
      </c>
      <c r="N901" s="72"/>
      <c r="P901" s="22"/>
      <c r="Q901" s="55">
        <v>62</v>
      </c>
      <c r="V901" s="72"/>
      <c r="W901" s="72"/>
      <c r="X901" s="72"/>
      <c r="Y901" s="72"/>
      <c r="Z901" s="72"/>
    </row>
    <row r="902" spans="1:26" x14ac:dyDescent="0.25">
      <c r="A902" s="72">
        <v>301</v>
      </c>
      <c r="B902" s="72">
        <v>6</v>
      </c>
      <c r="C902" s="72">
        <v>16</v>
      </c>
      <c r="D902" s="72">
        <v>2</v>
      </c>
      <c r="E902" s="72">
        <v>140416</v>
      </c>
      <c r="F902" s="72">
        <v>91924</v>
      </c>
      <c r="G902" s="72" t="s">
        <v>458</v>
      </c>
      <c r="H902" s="72">
        <v>6</v>
      </c>
      <c r="I902" s="72">
        <v>601</v>
      </c>
      <c r="J902" s="72">
        <v>189</v>
      </c>
      <c r="K902" s="85">
        <v>21.2</v>
      </c>
      <c r="N902" s="72"/>
      <c r="P902" s="22"/>
      <c r="Q902" s="55">
        <v>62</v>
      </c>
      <c r="V902" s="72"/>
      <c r="W902" s="72"/>
      <c r="X902" s="72"/>
      <c r="Y902" s="72"/>
      <c r="Z902" s="72"/>
    </row>
    <row r="903" spans="1:26" x14ac:dyDescent="0.25">
      <c r="A903" s="72">
        <v>302</v>
      </c>
      <c r="B903" s="72">
        <v>7</v>
      </c>
      <c r="C903" s="72">
        <v>16</v>
      </c>
      <c r="D903" s="72">
        <v>2</v>
      </c>
      <c r="E903" s="72">
        <v>140416</v>
      </c>
      <c r="F903" s="72">
        <v>92350</v>
      </c>
      <c r="G903" s="72" t="s">
        <v>458</v>
      </c>
      <c r="H903" s="72">
        <v>7</v>
      </c>
      <c r="I903" s="72">
        <v>3</v>
      </c>
      <c r="J903" s="72">
        <v>3</v>
      </c>
      <c r="K903" s="85">
        <v>26.8</v>
      </c>
      <c r="N903" s="72"/>
      <c r="P903" s="22"/>
      <c r="Q903" s="55">
        <v>58</v>
      </c>
      <c r="V903" s="72"/>
      <c r="W903" s="72"/>
      <c r="X903" s="72"/>
      <c r="Y903" s="72"/>
      <c r="Z903" s="72"/>
    </row>
    <row r="904" spans="1:26" x14ac:dyDescent="0.25">
      <c r="A904" s="72">
        <v>303</v>
      </c>
      <c r="B904" s="72">
        <v>8</v>
      </c>
      <c r="C904" s="72">
        <v>16</v>
      </c>
      <c r="D904" s="72">
        <v>2</v>
      </c>
      <c r="E904" s="72">
        <v>140416</v>
      </c>
      <c r="F904" s="72">
        <v>92315</v>
      </c>
      <c r="G904" s="72" t="s">
        <v>458</v>
      </c>
      <c r="H904" s="72">
        <v>8</v>
      </c>
      <c r="I904" s="72">
        <v>3</v>
      </c>
      <c r="J904" s="72">
        <v>3</v>
      </c>
      <c r="K904" s="85">
        <v>27.6</v>
      </c>
      <c r="N904" s="72"/>
      <c r="P904" s="22"/>
      <c r="Q904" s="55">
        <v>58</v>
      </c>
      <c r="V904" s="72"/>
      <c r="W904" s="72"/>
      <c r="X904" s="72"/>
      <c r="Y904" s="72"/>
      <c r="Z904" s="72"/>
    </row>
    <row r="905" spans="1:26" x14ac:dyDescent="0.25">
      <c r="A905" s="72">
        <v>304</v>
      </c>
      <c r="B905" s="72">
        <v>9</v>
      </c>
      <c r="C905" s="72">
        <v>16</v>
      </c>
      <c r="D905" s="72">
        <v>2</v>
      </c>
      <c r="E905" s="72">
        <v>140416</v>
      </c>
      <c r="F905" s="72">
        <v>93952</v>
      </c>
      <c r="G905" s="72" t="s">
        <v>464</v>
      </c>
      <c r="H905" s="72">
        <v>9</v>
      </c>
      <c r="I905" s="72">
        <v>696</v>
      </c>
      <c r="J905" s="72">
        <v>206</v>
      </c>
      <c r="K905" s="85">
        <v>26.2</v>
      </c>
      <c r="N905" s="72"/>
      <c r="P905" s="22"/>
      <c r="Q905" s="55">
        <v>74</v>
      </c>
      <c r="V905" s="72"/>
      <c r="W905" s="72"/>
      <c r="X905" s="72"/>
      <c r="Y905" s="72"/>
      <c r="Z905" s="72"/>
    </row>
    <row r="906" spans="1:26" x14ac:dyDescent="0.25">
      <c r="A906" s="72">
        <v>305</v>
      </c>
      <c r="B906" s="72">
        <v>10</v>
      </c>
      <c r="C906" s="72">
        <v>16</v>
      </c>
      <c r="D906" s="72">
        <v>2</v>
      </c>
      <c r="E906" s="72">
        <v>140416</v>
      </c>
      <c r="F906" s="72">
        <v>93952</v>
      </c>
      <c r="G906" s="72" t="s">
        <v>464</v>
      </c>
      <c r="H906" s="72">
        <v>10</v>
      </c>
      <c r="I906" s="72">
        <v>1000</v>
      </c>
      <c r="J906" s="72">
        <v>265</v>
      </c>
      <c r="K906" s="85">
        <v>23.3</v>
      </c>
      <c r="N906" s="72"/>
      <c r="P906" s="22"/>
      <c r="Q906" s="55">
        <v>70</v>
      </c>
      <c r="V906" s="72"/>
      <c r="W906" s="72"/>
      <c r="X906" s="72"/>
      <c r="Y906" s="72"/>
      <c r="Z906" s="72"/>
    </row>
    <row r="907" spans="1:26" x14ac:dyDescent="0.25">
      <c r="A907" s="72">
        <v>306</v>
      </c>
      <c r="B907" s="72">
        <v>11</v>
      </c>
      <c r="C907" s="72">
        <v>16</v>
      </c>
      <c r="D907" s="72">
        <v>2</v>
      </c>
      <c r="E907" s="72">
        <v>140416</v>
      </c>
      <c r="F907" s="72">
        <v>93800</v>
      </c>
      <c r="G907" s="72" t="s">
        <v>423</v>
      </c>
      <c r="H907" s="72">
        <v>11</v>
      </c>
      <c r="I907" s="72">
        <v>0</v>
      </c>
      <c r="J907" s="72">
        <v>0</v>
      </c>
      <c r="K907" s="85">
        <v>27</v>
      </c>
      <c r="N907" s="72"/>
      <c r="P907" s="22"/>
      <c r="Q907" s="55">
        <v>74</v>
      </c>
      <c r="V907" s="72"/>
      <c r="W907" s="72"/>
      <c r="X907" s="72"/>
      <c r="Y907" s="72"/>
      <c r="Z907" s="72"/>
    </row>
    <row r="908" spans="1:26" x14ac:dyDescent="0.25">
      <c r="A908" s="72">
        <v>307</v>
      </c>
      <c r="B908" s="72">
        <v>12</v>
      </c>
      <c r="C908" s="72">
        <v>16</v>
      </c>
      <c r="D908" s="72">
        <v>2</v>
      </c>
      <c r="E908" s="72">
        <v>140416</v>
      </c>
      <c r="F908" s="72">
        <v>95426</v>
      </c>
      <c r="G908" s="72" t="s">
        <v>463</v>
      </c>
      <c r="H908" s="72">
        <v>12</v>
      </c>
      <c r="I908" s="72">
        <v>0</v>
      </c>
      <c r="J908" s="72">
        <v>0</v>
      </c>
      <c r="K908" s="85">
        <v>20</v>
      </c>
      <c r="Q908" s="55">
        <v>55</v>
      </c>
      <c r="V908" s="72"/>
      <c r="W908" s="72"/>
      <c r="X908" s="72"/>
      <c r="Y908" s="72"/>
      <c r="Z908" s="72"/>
    </row>
    <row r="909" spans="1:26" x14ac:dyDescent="0.25">
      <c r="A909" s="72">
        <v>308</v>
      </c>
      <c r="B909" s="72">
        <v>13</v>
      </c>
      <c r="C909" s="72">
        <v>16</v>
      </c>
      <c r="D909" s="72">
        <v>2</v>
      </c>
      <c r="E909" s="72">
        <v>140416</v>
      </c>
      <c r="F909" s="72">
        <v>95330</v>
      </c>
      <c r="G909" s="72" t="s">
        <v>463</v>
      </c>
      <c r="H909" s="72">
        <v>13</v>
      </c>
      <c r="I909" s="72">
        <v>3</v>
      </c>
      <c r="J909" s="72">
        <v>3</v>
      </c>
      <c r="K909" s="85">
        <v>22.4</v>
      </c>
      <c r="Q909" s="55">
        <v>55</v>
      </c>
    </row>
    <row r="910" spans="1:26" x14ac:dyDescent="0.25">
      <c r="A910" s="72">
        <v>309</v>
      </c>
      <c r="B910" s="72">
        <v>14</v>
      </c>
      <c r="C910" s="72">
        <v>16</v>
      </c>
      <c r="D910" s="72">
        <v>2</v>
      </c>
      <c r="E910" s="72">
        <v>140416</v>
      </c>
      <c r="F910" s="72">
        <v>93229</v>
      </c>
      <c r="G910" s="72" t="s">
        <v>145</v>
      </c>
      <c r="H910" s="72">
        <v>14</v>
      </c>
      <c r="I910" s="72">
        <v>2772</v>
      </c>
      <c r="J910" s="72">
        <v>486</v>
      </c>
      <c r="K910" s="85">
        <v>24.6</v>
      </c>
      <c r="Q910" s="55">
        <v>82</v>
      </c>
      <c r="R910" s="59" t="s">
        <v>476</v>
      </c>
    </row>
    <row r="911" spans="1:26" x14ac:dyDescent="0.25">
      <c r="A911" s="72">
        <v>310</v>
      </c>
      <c r="B911" s="72">
        <v>15</v>
      </c>
      <c r="C911" s="72">
        <v>16</v>
      </c>
      <c r="D911" s="72">
        <v>2</v>
      </c>
      <c r="E911" s="72">
        <v>140416</v>
      </c>
      <c r="F911" s="72">
        <v>93229</v>
      </c>
      <c r="G911" s="72" t="s">
        <v>145</v>
      </c>
      <c r="H911" s="72">
        <v>15</v>
      </c>
      <c r="I911" s="72">
        <v>2</v>
      </c>
      <c r="J911" s="72">
        <v>2</v>
      </c>
      <c r="K911" s="85">
        <v>27.4</v>
      </c>
      <c r="Q911" s="55">
        <v>82</v>
      </c>
    </row>
    <row r="912" spans="1:26" x14ac:dyDescent="0.25">
      <c r="A912" s="72">
        <v>311</v>
      </c>
      <c r="B912" s="72">
        <v>16</v>
      </c>
      <c r="C912" s="72">
        <v>16</v>
      </c>
      <c r="D912" s="72">
        <v>2</v>
      </c>
      <c r="E912" s="72">
        <v>140416</v>
      </c>
      <c r="F912" s="72">
        <v>93229</v>
      </c>
      <c r="G912" s="72" t="s">
        <v>423</v>
      </c>
      <c r="H912" s="72">
        <v>16</v>
      </c>
      <c r="I912" s="72">
        <v>0</v>
      </c>
      <c r="J912" s="72">
        <v>0</v>
      </c>
      <c r="K912" s="85">
        <v>25.3</v>
      </c>
      <c r="Q912" s="55">
        <v>70</v>
      </c>
    </row>
    <row r="913" spans="1:17" x14ac:dyDescent="0.25">
      <c r="A913" s="72">
        <v>296</v>
      </c>
      <c r="B913" s="72">
        <v>1</v>
      </c>
      <c r="C913" s="72">
        <v>16</v>
      </c>
      <c r="D913" s="72">
        <v>3</v>
      </c>
      <c r="E913" s="72">
        <v>140417</v>
      </c>
      <c r="F913" s="72">
        <v>85801</v>
      </c>
      <c r="G913" s="72" t="s">
        <v>439</v>
      </c>
      <c r="H913" s="72">
        <v>1</v>
      </c>
      <c r="I913" s="72">
        <v>330</v>
      </c>
      <c r="J913" s="72">
        <v>130</v>
      </c>
      <c r="K913" s="85">
        <v>23.4</v>
      </c>
      <c r="P913" s="72" t="s">
        <v>139</v>
      </c>
      <c r="Q913" s="55">
        <v>55</v>
      </c>
    </row>
    <row r="914" spans="1:17" x14ac:dyDescent="0.25">
      <c r="A914" s="72">
        <v>297</v>
      </c>
      <c r="B914" s="72">
        <v>2</v>
      </c>
      <c r="C914" s="72">
        <v>16</v>
      </c>
      <c r="D914" s="72">
        <v>3</v>
      </c>
      <c r="E914" s="72">
        <v>140417</v>
      </c>
      <c r="F914" s="72">
        <v>85801</v>
      </c>
      <c r="G914" s="72" t="s">
        <v>439</v>
      </c>
      <c r="H914" s="72">
        <v>2</v>
      </c>
      <c r="I914" s="72">
        <v>0</v>
      </c>
      <c r="J914" s="72">
        <v>0</v>
      </c>
      <c r="K914" s="85">
        <v>20.3</v>
      </c>
      <c r="P914" s="72" t="s">
        <v>139</v>
      </c>
      <c r="Q914" s="55">
        <v>55</v>
      </c>
    </row>
    <row r="915" spans="1:17" x14ac:dyDescent="0.25">
      <c r="A915" s="72">
        <v>298</v>
      </c>
      <c r="B915" s="72">
        <v>3</v>
      </c>
      <c r="C915" s="72">
        <v>16</v>
      </c>
      <c r="D915" s="72">
        <v>3</v>
      </c>
      <c r="E915" s="72">
        <v>140417</v>
      </c>
      <c r="F915" s="72">
        <v>85801</v>
      </c>
      <c r="G915" s="72" t="s">
        <v>462</v>
      </c>
      <c r="H915" s="72">
        <v>3</v>
      </c>
      <c r="I915" s="72">
        <v>151</v>
      </c>
      <c r="J915" s="72">
        <v>92</v>
      </c>
      <c r="K915" s="85">
        <v>24</v>
      </c>
      <c r="P915" s="72" t="s">
        <v>139</v>
      </c>
      <c r="Q915" s="55">
        <v>62</v>
      </c>
    </row>
    <row r="916" spans="1:17" x14ac:dyDescent="0.25">
      <c r="A916" s="72">
        <v>299</v>
      </c>
      <c r="B916" s="72">
        <v>4</v>
      </c>
      <c r="C916" s="72">
        <v>16</v>
      </c>
      <c r="D916" s="72">
        <v>3</v>
      </c>
      <c r="E916" s="72">
        <v>140417</v>
      </c>
      <c r="F916" s="72">
        <v>85801</v>
      </c>
      <c r="G916" s="72" t="s">
        <v>462</v>
      </c>
      <c r="H916" s="72">
        <v>4</v>
      </c>
      <c r="I916" s="72">
        <v>308</v>
      </c>
      <c r="J916" s="72">
        <v>129</v>
      </c>
      <c r="K916" s="85">
        <v>21.2</v>
      </c>
      <c r="P916" s="72" t="s">
        <v>139</v>
      </c>
      <c r="Q916" s="55">
        <v>62</v>
      </c>
    </row>
    <row r="917" spans="1:17" x14ac:dyDescent="0.25">
      <c r="A917" s="72">
        <v>300</v>
      </c>
      <c r="B917" s="72">
        <v>5</v>
      </c>
      <c r="C917" s="72">
        <v>16</v>
      </c>
      <c r="D917" s="72">
        <v>3</v>
      </c>
      <c r="E917" s="72">
        <v>140417</v>
      </c>
      <c r="F917" s="72">
        <v>85801</v>
      </c>
      <c r="G917" s="72" t="s">
        <v>462</v>
      </c>
      <c r="H917" s="72">
        <v>5</v>
      </c>
      <c r="I917" s="72">
        <v>623</v>
      </c>
      <c r="J917" s="72">
        <v>191</v>
      </c>
      <c r="K917" s="85">
        <v>19</v>
      </c>
      <c r="P917" s="72" t="s">
        <v>139</v>
      </c>
      <c r="Q917" s="55">
        <v>62</v>
      </c>
    </row>
    <row r="918" spans="1:17" x14ac:dyDescent="0.25">
      <c r="A918" s="72">
        <v>301</v>
      </c>
      <c r="B918" s="72">
        <v>6</v>
      </c>
      <c r="C918" s="72">
        <v>16</v>
      </c>
      <c r="D918" s="72">
        <v>3</v>
      </c>
      <c r="E918" s="72">
        <v>140417</v>
      </c>
      <c r="F918" s="72">
        <v>85802</v>
      </c>
      <c r="G918" s="72" t="s">
        <v>458</v>
      </c>
      <c r="H918" s="72">
        <v>6</v>
      </c>
      <c r="I918" s="72">
        <v>942</v>
      </c>
      <c r="J918" s="72">
        <v>255</v>
      </c>
      <c r="K918" s="85">
        <v>21.8</v>
      </c>
      <c r="P918" s="72" t="s">
        <v>139</v>
      </c>
      <c r="Q918" s="55">
        <v>58</v>
      </c>
    </row>
    <row r="919" spans="1:17" x14ac:dyDescent="0.25">
      <c r="A919" s="72">
        <v>302</v>
      </c>
      <c r="B919" s="72">
        <v>7</v>
      </c>
      <c r="C919" s="72">
        <v>16</v>
      </c>
      <c r="D919" s="72">
        <v>3</v>
      </c>
      <c r="E919" s="72">
        <v>140417</v>
      </c>
      <c r="F919" s="72">
        <v>85802</v>
      </c>
      <c r="G919" s="72" t="s">
        <v>458</v>
      </c>
      <c r="H919" s="72">
        <v>7</v>
      </c>
      <c r="I919" s="72">
        <v>1</v>
      </c>
      <c r="J919" s="72">
        <v>1</v>
      </c>
      <c r="K919" s="85">
        <v>27.6</v>
      </c>
      <c r="P919" s="72" t="s">
        <v>139</v>
      </c>
      <c r="Q919" s="55">
        <v>58</v>
      </c>
    </row>
    <row r="920" spans="1:17" x14ac:dyDescent="0.25">
      <c r="A920" s="72">
        <v>303</v>
      </c>
      <c r="B920" s="72">
        <v>8</v>
      </c>
      <c r="C920" s="72">
        <v>16</v>
      </c>
      <c r="D920" s="72">
        <v>3</v>
      </c>
      <c r="E920" s="72">
        <v>140417</v>
      </c>
      <c r="F920" s="72">
        <v>85802</v>
      </c>
      <c r="G920" s="72" t="s">
        <v>458</v>
      </c>
      <c r="H920" s="72">
        <v>8</v>
      </c>
      <c r="I920" s="72">
        <v>0</v>
      </c>
      <c r="J920" s="72">
        <v>0</v>
      </c>
      <c r="K920" s="85">
        <v>26.8</v>
      </c>
      <c r="P920" s="72" t="s">
        <v>139</v>
      </c>
      <c r="Q920" s="55">
        <v>58</v>
      </c>
    </row>
    <row r="921" spans="1:17" x14ac:dyDescent="0.25">
      <c r="A921" s="72">
        <v>304</v>
      </c>
      <c r="B921" s="72">
        <v>9</v>
      </c>
      <c r="C921" s="72">
        <v>16</v>
      </c>
      <c r="D921" s="72">
        <v>3</v>
      </c>
      <c r="E921" s="72">
        <v>140417</v>
      </c>
      <c r="F921" s="72">
        <v>85802</v>
      </c>
      <c r="G921" s="72" t="s">
        <v>464</v>
      </c>
      <c r="H921" s="72">
        <v>9</v>
      </c>
      <c r="I921" s="72">
        <v>937</v>
      </c>
      <c r="J921" s="72">
        <v>253</v>
      </c>
      <c r="K921" s="85">
        <v>27</v>
      </c>
      <c r="P921" s="72" t="s">
        <v>139</v>
      </c>
      <c r="Q921" s="55">
        <v>74</v>
      </c>
    </row>
    <row r="922" spans="1:17" x14ac:dyDescent="0.25">
      <c r="A922" s="72">
        <v>305</v>
      </c>
      <c r="B922" s="72">
        <v>10</v>
      </c>
      <c r="C922" s="72">
        <v>16</v>
      </c>
      <c r="D922" s="72">
        <v>3</v>
      </c>
      <c r="E922" s="72">
        <v>140417</v>
      </c>
      <c r="F922" s="72">
        <v>85802</v>
      </c>
      <c r="G922" s="72" t="s">
        <v>464</v>
      </c>
      <c r="H922" s="72">
        <v>10</v>
      </c>
      <c r="I922" s="72">
        <v>1705</v>
      </c>
      <c r="J922" s="72">
        <v>402</v>
      </c>
      <c r="K922" s="85">
        <v>26.2</v>
      </c>
      <c r="P922" s="72" t="s">
        <v>139</v>
      </c>
      <c r="Q922" s="55">
        <v>74</v>
      </c>
    </row>
    <row r="923" spans="1:17" x14ac:dyDescent="0.25">
      <c r="A923" s="72">
        <v>306</v>
      </c>
      <c r="B923" s="72">
        <v>11</v>
      </c>
      <c r="C923" s="72">
        <v>16</v>
      </c>
      <c r="D923" s="72">
        <v>3</v>
      </c>
      <c r="E923" s="72">
        <v>140417</v>
      </c>
      <c r="F923" s="72">
        <v>85802</v>
      </c>
      <c r="G923" s="72" t="s">
        <v>423</v>
      </c>
      <c r="H923" s="72">
        <v>11</v>
      </c>
      <c r="I923" s="72">
        <v>0</v>
      </c>
      <c r="J923" s="72">
        <v>0</v>
      </c>
      <c r="K923" s="85">
        <v>23.3</v>
      </c>
      <c r="P923" s="72" t="s">
        <v>139</v>
      </c>
      <c r="Q923" s="55">
        <v>70</v>
      </c>
    </row>
    <row r="924" spans="1:17" x14ac:dyDescent="0.25">
      <c r="A924" s="72">
        <v>307</v>
      </c>
      <c r="B924" s="72">
        <v>12</v>
      </c>
      <c r="C924" s="72">
        <v>16</v>
      </c>
      <c r="D924" s="72">
        <v>3</v>
      </c>
      <c r="E924" s="72">
        <v>140417</v>
      </c>
      <c r="F924" s="72">
        <v>90326</v>
      </c>
      <c r="G924" s="72" t="s">
        <v>463</v>
      </c>
      <c r="H924" s="72">
        <v>12</v>
      </c>
      <c r="I924" s="72">
        <v>0</v>
      </c>
      <c r="J924" s="72">
        <v>0</v>
      </c>
      <c r="K924" s="85">
        <v>20</v>
      </c>
      <c r="P924" s="72" t="s">
        <v>139</v>
      </c>
      <c r="Q924" s="55">
        <v>55</v>
      </c>
    </row>
    <row r="925" spans="1:17" x14ac:dyDescent="0.25">
      <c r="A925" s="72">
        <v>308</v>
      </c>
      <c r="B925" s="72">
        <v>13</v>
      </c>
      <c r="C925" s="72">
        <v>16</v>
      </c>
      <c r="D925" s="72">
        <v>3</v>
      </c>
      <c r="E925" s="72">
        <v>140417</v>
      </c>
      <c r="F925" s="72">
        <v>90310</v>
      </c>
      <c r="G925" s="72" t="s">
        <v>463</v>
      </c>
      <c r="H925" s="72">
        <v>13</v>
      </c>
      <c r="I925" s="72">
        <v>51</v>
      </c>
      <c r="J925" s="72">
        <v>43</v>
      </c>
      <c r="K925" s="85">
        <v>22.4</v>
      </c>
      <c r="P925" s="72" t="s">
        <v>139</v>
      </c>
      <c r="Q925" s="55">
        <v>55</v>
      </c>
    </row>
    <row r="926" spans="1:17" x14ac:dyDescent="0.25">
      <c r="A926" s="72">
        <v>309</v>
      </c>
      <c r="B926" s="72">
        <v>14</v>
      </c>
      <c r="C926" s="72">
        <v>16</v>
      </c>
      <c r="D926" s="72">
        <v>3</v>
      </c>
      <c r="E926" s="72">
        <v>140417</v>
      </c>
      <c r="F926" s="72">
        <v>90127</v>
      </c>
      <c r="G926" s="72" t="s">
        <v>145</v>
      </c>
      <c r="H926" s="72">
        <v>14</v>
      </c>
      <c r="I926" s="72">
        <v>2612</v>
      </c>
      <c r="J926" s="72">
        <v>500</v>
      </c>
      <c r="K926" s="85">
        <v>24.6</v>
      </c>
      <c r="P926" s="72" t="s">
        <v>139</v>
      </c>
      <c r="Q926" s="55">
        <v>82</v>
      </c>
    </row>
    <row r="927" spans="1:17" x14ac:dyDescent="0.25">
      <c r="A927" s="72">
        <v>310</v>
      </c>
      <c r="B927" s="72">
        <v>15</v>
      </c>
      <c r="C927" s="72">
        <v>16</v>
      </c>
      <c r="D927" s="72">
        <v>3</v>
      </c>
      <c r="E927" s="72">
        <v>140417</v>
      </c>
      <c r="F927" s="72">
        <v>90127</v>
      </c>
      <c r="G927" s="72" t="s">
        <v>145</v>
      </c>
      <c r="H927" s="72">
        <v>15</v>
      </c>
      <c r="I927" s="72">
        <v>0</v>
      </c>
      <c r="J927" s="72">
        <v>0</v>
      </c>
      <c r="K927" s="85">
        <v>27.4</v>
      </c>
      <c r="P927" s="72" t="s">
        <v>139</v>
      </c>
      <c r="Q927" s="55">
        <v>82</v>
      </c>
    </row>
    <row r="928" spans="1:17" x14ac:dyDescent="0.25">
      <c r="A928" s="72">
        <v>311</v>
      </c>
      <c r="B928" s="72">
        <v>16</v>
      </c>
      <c r="C928" s="72">
        <v>16</v>
      </c>
      <c r="D928" s="72">
        <v>3</v>
      </c>
      <c r="E928" s="72">
        <v>140417</v>
      </c>
      <c r="F928" s="72">
        <v>90127</v>
      </c>
      <c r="G928" s="72" t="s">
        <v>423</v>
      </c>
      <c r="H928" s="72">
        <v>16</v>
      </c>
      <c r="I928" s="72">
        <v>1</v>
      </c>
      <c r="J928" s="72">
        <v>1</v>
      </c>
      <c r="K928" s="85">
        <v>25.3</v>
      </c>
      <c r="P928" s="72" t="s">
        <v>139</v>
      </c>
      <c r="Q928" s="55">
        <v>70</v>
      </c>
    </row>
    <row r="929" spans="1:17" x14ac:dyDescent="0.25">
      <c r="A929" s="116">
        <v>312</v>
      </c>
      <c r="B929" s="72">
        <v>1</v>
      </c>
      <c r="C929" s="22">
        <v>17</v>
      </c>
      <c r="D929" s="72">
        <v>1</v>
      </c>
      <c r="E929" s="72">
        <v>140713</v>
      </c>
      <c r="F929" s="72">
        <v>120550</v>
      </c>
      <c r="G929" s="72" t="s">
        <v>506</v>
      </c>
      <c r="H929" s="72">
        <v>1</v>
      </c>
      <c r="I929" s="72">
        <v>5</v>
      </c>
      <c r="J929" s="72">
        <v>5</v>
      </c>
      <c r="K929" s="85">
        <v>19.2</v>
      </c>
      <c r="Q929" s="72">
        <v>102</v>
      </c>
    </row>
    <row r="930" spans="1:17" x14ac:dyDescent="0.25">
      <c r="A930" s="116">
        <v>313</v>
      </c>
      <c r="B930" s="72">
        <v>2</v>
      </c>
      <c r="C930" s="72">
        <v>17</v>
      </c>
      <c r="D930" s="72">
        <v>1</v>
      </c>
      <c r="E930" s="72">
        <v>140713</v>
      </c>
      <c r="F930" s="72">
        <v>120551</v>
      </c>
      <c r="G930" s="72" t="s">
        <v>506</v>
      </c>
      <c r="H930" s="72">
        <v>2</v>
      </c>
      <c r="I930" s="72">
        <v>2</v>
      </c>
      <c r="J930" s="72">
        <v>2</v>
      </c>
      <c r="K930" s="85">
        <v>20.399999999999999</v>
      </c>
      <c r="Q930" s="72">
        <v>102</v>
      </c>
    </row>
    <row r="931" spans="1:17" x14ac:dyDescent="0.25">
      <c r="A931" s="116">
        <v>314</v>
      </c>
      <c r="B931" s="72">
        <v>3</v>
      </c>
      <c r="C931" s="72">
        <v>17</v>
      </c>
      <c r="D931" s="72">
        <v>1</v>
      </c>
      <c r="E931" s="72">
        <v>140713</v>
      </c>
      <c r="F931" s="72">
        <v>120551</v>
      </c>
      <c r="G931" s="72" t="s">
        <v>490</v>
      </c>
      <c r="H931" s="72">
        <v>3</v>
      </c>
      <c r="I931" s="72">
        <v>468</v>
      </c>
      <c r="J931" s="72">
        <v>161</v>
      </c>
      <c r="K931" s="85">
        <v>26.9</v>
      </c>
      <c r="Q931" s="72">
        <v>89</v>
      </c>
    </row>
    <row r="932" spans="1:17" x14ac:dyDescent="0.25">
      <c r="A932" s="116">
        <v>315</v>
      </c>
      <c r="B932" s="72">
        <v>4</v>
      </c>
      <c r="C932" s="72">
        <v>17</v>
      </c>
      <c r="D932" s="72">
        <v>1</v>
      </c>
      <c r="E932" s="72">
        <v>140713</v>
      </c>
      <c r="F932" s="72">
        <v>120551</v>
      </c>
      <c r="G932" s="72" t="s">
        <v>489</v>
      </c>
      <c r="H932" s="72">
        <v>4</v>
      </c>
      <c r="I932" s="72">
        <v>2190</v>
      </c>
      <c r="J932" s="72">
        <v>500</v>
      </c>
      <c r="K932" s="85">
        <v>20.5</v>
      </c>
      <c r="Q932" s="72">
        <v>61</v>
      </c>
    </row>
    <row r="933" spans="1:17" x14ac:dyDescent="0.25">
      <c r="A933" s="116">
        <v>316</v>
      </c>
      <c r="B933" s="72">
        <v>5</v>
      </c>
      <c r="C933" s="72">
        <v>17</v>
      </c>
      <c r="D933" s="72">
        <v>1</v>
      </c>
      <c r="E933" s="72">
        <v>140713</v>
      </c>
      <c r="F933" s="72">
        <v>120551</v>
      </c>
      <c r="G933" s="72" t="s">
        <v>507</v>
      </c>
      <c r="H933" s="72">
        <v>5</v>
      </c>
      <c r="I933" s="72">
        <v>1519</v>
      </c>
      <c r="J933" s="72">
        <v>369</v>
      </c>
      <c r="K933" s="85">
        <v>30.8</v>
      </c>
      <c r="Q933" s="72">
        <v>99</v>
      </c>
    </row>
    <row r="934" spans="1:17" x14ac:dyDescent="0.25">
      <c r="A934" s="116">
        <v>317</v>
      </c>
      <c r="B934" s="72">
        <v>6</v>
      </c>
      <c r="C934" s="72">
        <v>17</v>
      </c>
      <c r="D934" s="72">
        <v>1</v>
      </c>
      <c r="E934" s="72">
        <v>140713</v>
      </c>
      <c r="F934" s="72">
        <v>120552</v>
      </c>
      <c r="G934" s="72" t="s">
        <v>507</v>
      </c>
      <c r="H934" s="72">
        <v>6</v>
      </c>
      <c r="I934" s="72">
        <v>1289</v>
      </c>
      <c r="J934" s="72">
        <v>312</v>
      </c>
      <c r="K934" s="85">
        <v>27.5</v>
      </c>
      <c r="Q934" s="72">
        <v>99</v>
      </c>
    </row>
    <row r="935" spans="1:17" x14ac:dyDescent="0.25">
      <c r="A935" s="116">
        <v>318</v>
      </c>
      <c r="B935" s="72">
        <v>7</v>
      </c>
      <c r="C935" s="72">
        <v>17</v>
      </c>
      <c r="D935" s="72">
        <v>1</v>
      </c>
      <c r="E935" s="72">
        <v>140713</v>
      </c>
      <c r="F935" s="72">
        <v>121924</v>
      </c>
      <c r="G935" s="72" t="s">
        <v>186</v>
      </c>
      <c r="H935" s="72">
        <v>7</v>
      </c>
      <c r="I935" s="72">
        <v>1</v>
      </c>
      <c r="J935" s="72">
        <v>1</v>
      </c>
      <c r="K935" s="85">
        <v>33.200000000000003</v>
      </c>
      <c r="Q935" s="72">
        <v>139</v>
      </c>
    </row>
    <row r="936" spans="1:17" x14ac:dyDescent="0.25">
      <c r="A936" s="116">
        <v>319</v>
      </c>
      <c r="B936" s="72">
        <v>8</v>
      </c>
      <c r="C936" s="72">
        <v>17</v>
      </c>
      <c r="D936" s="72">
        <v>1</v>
      </c>
      <c r="E936" s="72">
        <v>140713</v>
      </c>
      <c r="F936" s="72">
        <v>121924</v>
      </c>
      <c r="G936" s="72" t="s">
        <v>186</v>
      </c>
      <c r="H936" s="72">
        <v>8</v>
      </c>
      <c r="I936" s="72">
        <v>7</v>
      </c>
      <c r="J936" s="72">
        <v>7</v>
      </c>
      <c r="K936" s="85">
        <v>29.1</v>
      </c>
      <c r="Q936" s="72">
        <v>139</v>
      </c>
    </row>
    <row r="937" spans="1:17" x14ac:dyDescent="0.25">
      <c r="A937" s="116">
        <v>320</v>
      </c>
      <c r="B937" s="72">
        <v>9</v>
      </c>
      <c r="C937" s="72">
        <v>17</v>
      </c>
      <c r="D937" s="72">
        <v>1</v>
      </c>
      <c r="E937" s="72">
        <v>140713</v>
      </c>
      <c r="F937" s="72">
        <v>122947</v>
      </c>
      <c r="G937" s="72" t="s">
        <v>504</v>
      </c>
      <c r="H937" s="72">
        <v>9</v>
      </c>
      <c r="I937" s="72">
        <v>2236</v>
      </c>
      <c r="J937" s="72">
        <v>500</v>
      </c>
      <c r="K937" s="85">
        <v>25.7</v>
      </c>
      <c r="Q937" s="72">
        <v>60</v>
      </c>
    </row>
    <row r="938" spans="1:17" x14ac:dyDescent="0.25">
      <c r="A938" s="116">
        <v>321</v>
      </c>
      <c r="B938" s="72">
        <v>10</v>
      </c>
      <c r="C938" s="72">
        <v>17</v>
      </c>
      <c r="D938" s="72">
        <v>1</v>
      </c>
      <c r="E938" s="72">
        <v>140713</v>
      </c>
      <c r="F938" s="72">
        <v>122837</v>
      </c>
      <c r="G938" s="72" t="s">
        <v>504</v>
      </c>
      <c r="H938" s="72">
        <v>10</v>
      </c>
      <c r="I938" s="72">
        <v>1138</v>
      </c>
      <c r="J938" s="72">
        <v>290</v>
      </c>
      <c r="K938" s="85">
        <v>27.7</v>
      </c>
      <c r="Q938" s="72">
        <v>60</v>
      </c>
    </row>
    <row r="939" spans="1:17" x14ac:dyDescent="0.25">
      <c r="A939" s="116">
        <v>322</v>
      </c>
      <c r="B939" s="72">
        <v>11</v>
      </c>
      <c r="C939" s="72">
        <v>17</v>
      </c>
      <c r="D939" s="72">
        <v>1</v>
      </c>
      <c r="E939" s="72">
        <v>140713</v>
      </c>
      <c r="F939" s="72">
        <v>124535</v>
      </c>
      <c r="G939" s="72" t="s">
        <v>505</v>
      </c>
      <c r="H939" s="72">
        <v>11</v>
      </c>
      <c r="I939" s="72">
        <v>2</v>
      </c>
      <c r="J939" s="72">
        <v>2</v>
      </c>
      <c r="K939" s="85">
        <v>29.2</v>
      </c>
      <c r="Q939" s="72">
        <v>165</v>
      </c>
    </row>
    <row r="940" spans="1:17" x14ac:dyDescent="0.25">
      <c r="A940" s="116">
        <v>323</v>
      </c>
      <c r="B940" s="72">
        <v>12</v>
      </c>
      <c r="C940" s="72">
        <v>17</v>
      </c>
      <c r="D940" s="72">
        <v>1</v>
      </c>
      <c r="E940" s="72">
        <v>140713</v>
      </c>
      <c r="F940" s="72">
        <v>122837</v>
      </c>
      <c r="G940" s="72" t="s">
        <v>505</v>
      </c>
      <c r="H940" s="72">
        <v>12</v>
      </c>
      <c r="I940" s="72">
        <v>863</v>
      </c>
      <c r="J940" s="72">
        <v>242</v>
      </c>
      <c r="K940" s="85">
        <v>27.6</v>
      </c>
      <c r="Q940" s="72">
        <v>165</v>
      </c>
    </row>
    <row r="941" spans="1:17" x14ac:dyDescent="0.25">
      <c r="A941" s="116">
        <v>324</v>
      </c>
      <c r="B941" s="72">
        <v>13</v>
      </c>
      <c r="C941" s="72">
        <v>17</v>
      </c>
      <c r="D941" s="72">
        <v>1</v>
      </c>
      <c r="E941" s="72">
        <v>140713</v>
      </c>
      <c r="F941" s="72">
        <v>121942</v>
      </c>
      <c r="G941" s="72" t="s">
        <v>505</v>
      </c>
      <c r="H941" s="72">
        <v>13</v>
      </c>
      <c r="I941" s="72">
        <v>14</v>
      </c>
      <c r="J941" s="72">
        <v>14</v>
      </c>
      <c r="K941" s="85">
        <v>28.7</v>
      </c>
      <c r="Q941" s="72">
        <v>134</v>
      </c>
    </row>
    <row r="942" spans="1:17" x14ac:dyDescent="0.25">
      <c r="A942" s="116">
        <v>325</v>
      </c>
      <c r="B942" s="72">
        <v>14</v>
      </c>
      <c r="C942" s="72">
        <v>17</v>
      </c>
      <c r="D942" s="72">
        <v>1</v>
      </c>
      <c r="E942" s="72">
        <v>140713</v>
      </c>
      <c r="F942" s="72">
        <v>121942</v>
      </c>
      <c r="G942" s="72" t="s">
        <v>507</v>
      </c>
      <c r="H942" s="72">
        <v>14</v>
      </c>
      <c r="I942" s="72">
        <v>17</v>
      </c>
      <c r="J942" s="72">
        <v>13</v>
      </c>
      <c r="K942" s="85">
        <v>30</v>
      </c>
      <c r="Q942" s="72">
        <v>93</v>
      </c>
    </row>
    <row r="943" spans="1:17" x14ac:dyDescent="0.25">
      <c r="A943" s="116">
        <v>326</v>
      </c>
      <c r="B943" s="72">
        <v>15</v>
      </c>
      <c r="C943" s="72">
        <v>17</v>
      </c>
      <c r="D943" s="72">
        <v>1</v>
      </c>
      <c r="E943" s="72">
        <v>140713</v>
      </c>
      <c r="F943" s="72">
        <v>121743</v>
      </c>
      <c r="G943" s="72" t="s">
        <v>489</v>
      </c>
      <c r="H943" s="72">
        <v>15</v>
      </c>
      <c r="I943" s="72">
        <v>2206</v>
      </c>
      <c r="J943" s="72">
        <v>489</v>
      </c>
      <c r="K943" s="85">
        <v>19.5</v>
      </c>
      <c r="Q943" s="72">
        <v>61</v>
      </c>
    </row>
    <row r="944" spans="1:17" x14ac:dyDescent="0.25">
      <c r="A944" s="116">
        <v>327</v>
      </c>
      <c r="B944" s="72">
        <v>16</v>
      </c>
      <c r="C944" s="72">
        <v>17</v>
      </c>
      <c r="D944" s="72">
        <v>1</v>
      </c>
      <c r="E944" s="72">
        <v>140713</v>
      </c>
      <c r="F944" s="72">
        <v>121743</v>
      </c>
      <c r="G944" s="72" t="s">
        <v>489</v>
      </c>
      <c r="H944" s="72">
        <v>16</v>
      </c>
      <c r="I944" s="72">
        <v>2235</v>
      </c>
      <c r="J944" s="72">
        <v>500</v>
      </c>
      <c r="K944" s="85">
        <v>22</v>
      </c>
      <c r="Q944" s="72">
        <v>61</v>
      </c>
    </row>
    <row r="945" spans="1:17" x14ac:dyDescent="0.25">
      <c r="A945" s="116">
        <v>312</v>
      </c>
      <c r="B945" s="72">
        <v>1</v>
      </c>
      <c r="C945" s="72">
        <v>17</v>
      </c>
      <c r="D945" s="72">
        <v>2</v>
      </c>
      <c r="E945" s="72">
        <v>140714</v>
      </c>
      <c r="F945" s="72">
        <v>110132</v>
      </c>
      <c r="G945" s="72" t="s">
        <v>506</v>
      </c>
      <c r="H945" s="72">
        <v>1</v>
      </c>
      <c r="I945" s="72">
        <v>1</v>
      </c>
      <c r="J945" s="72">
        <v>1</v>
      </c>
      <c r="K945" s="85">
        <v>19.2</v>
      </c>
      <c r="Q945" s="72">
        <v>102</v>
      </c>
    </row>
    <row r="946" spans="1:17" x14ac:dyDescent="0.25">
      <c r="A946" s="116">
        <v>313</v>
      </c>
      <c r="B946" s="72">
        <v>2</v>
      </c>
      <c r="C946" s="72">
        <v>17</v>
      </c>
      <c r="D946" s="72">
        <v>2</v>
      </c>
      <c r="E946" s="72">
        <v>140714</v>
      </c>
      <c r="F946" s="72">
        <v>110133</v>
      </c>
      <c r="G946" s="72" t="s">
        <v>506</v>
      </c>
      <c r="H946" s="72">
        <v>2</v>
      </c>
      <c r="I946" s="72">
        <v>3</v>
      </c>
      <c r="J946" s="72">
        <v>3</v>
      </c>
      <c r="K946" s="85">
        <v>20.399999999999999</v>
      </c>
      <c r="Q946" s="72">
        <v>102</v>
      </c>
    </row>
    <row r="947" spans="1:17" x14ac:dyDescent="0.25">
      <c r="A947" s="116">
        <v>314</v>
      </c>
      <c r="B947" s="72">
        <v>3</v>
      </c>
      <c r="C947" s="72">
        <v>17</v>
      </c>
      <c r="D947" s="72">
        <v>2</v>
      </c>
      <c r="E947" s="72">
        <v>140714</v>
      </c>
      <c r="F947" s="72">
        <v>110133</v>
      </c>
      <c r="G947" s="72" t="s">
        <v>490</v>
      </c>
      <c r="H947" s="72">
        <v>3</v>
      </c>
      <c r="I947" s="72">
        <v>606</v>
      </c>
      <c r="J947" s="72">
        <v>186</v>
      </c>
      <c r="K947" s="85">
        <v>26.9</v>
      </c>
      <c r="Q947" s="72">
        <v>89</v>
      </c>
    </row>
    <row r="948" spans="1:17" x14ac:dyDescent="0.25">
      <c r="A948" s="116">
        <v>315</v>
      </c>
      <c r="B948" s="72">
        <v>4</v>
      </c>
      <c r="C948" s="72">
        <v>17</v>
      </c>
      <c r="D948" s="72">
        <v>2</v>
      </c>
      <c r="E948" s="72">
        <v>140714</v>
      </c>
      <c r="F948" s="72">
        <v>110133</v>
      </c>
      <c r="G948" s="72" t="s">
        <v>489</v>
      </c>
      <c r="H948" s="72">
        <v>4</v>
      </c>
      <c r="I948" s="72">
        <v>2165</v>
      </c>
      <c r="J948" s="72">
        <v>500</v>
      </c>
      <c r="K948" s="85">
        <v>20.5</v>
      </c>
      <c r="Q948" s="72">
        <v>61</v>
      </c>
    </row>
    <row r="949" spans="1:17" x14ac:dyDescent="0.25">
      <c r="A949" s="116">
        <v>316</v>
      </c>
      <c r="B949" s="72">
        <v>5</v>
      </c>
      <c r="C949" s="72">
        <v>17</v>
      </c>
      <c r="D949" s="72">
        <v>2</v>
      </c>
      <c r="E949" s="72">
        <v>140714</v>
      </c>
      <c r="F949" s="72">
        <v>110133</v>
      </c>
      <c r="G949" s="72" t="s">
        <v>507</v>
      </c>
      <c r="H949" s="72">
        <v>5</v>
      </c>
      <c r="I949" s="72">
        <v>2057</v>
      </c>
      <c r="J949" s="72">
        <v>480</v>
      </c>
      <c r="K949" s="85">
        <v>30.8</v>
      </c>
      <c r="Q949" s="72">
        <v>99</v>
      </c>
    </row>
    <row r="950" spans="1:17" x14ac:dyDescent="0.25">
      <c r="A950" s="116">
        <v>317</v>
      </c>
      <c r="B950" s="72">
        <v>6</v>
      </c>
      <c r="C950" s="72">
        <v>17</v>
      </c>
      <c r="D950" s="72">
        <v>2</v>
      </c>
      <c r="E950" s="72">
        <v>140714</v>
      </c>
      <c r="F950" s="72">
        <v>110133</v>
      </c>
      <c r="G950" s="72" t="s">
        <v>507</v>
      </c>
      <c r="H950" s="72">
        <v>6</v>
      </c>
      <c r="I950" s="72">
        <v>2267</v>
      </c>
      <c r="J950" s="72">
        <v>500</v>
      </c>
      <c r="K950" s="85">
        <v>27.5</v>
      </c>
      <c r="Q950" s="72">
        <v>99</v>
      </c>
    </row>
    <row r="951" spans="1:17" x14ac:dyDescent="0.25">
      <c r="A951" s="116">
        <v>318</v>
      </c>
      <c r="B951" s="72">
        <v>7</v>
      </c>
      <c r="C951" s="72">
        <v>17</v>
      </c>
      <c r="D951" s="72">
        <v>2</v>
      </c>
      <c r="E951" s="72">
        <v>140714</v>
      </c>
      <c r="F951" s="72">
        <v>110133</v>
      </c>
      <c r="G951" s="72" t="s">
        <v>186</v>
      </c>
      <c r="H951" s="72">
        <v>7</v>
      </c>
      <c r="I951" s="72">
        <v>1</v>
      </c>
      <c r="J951" s="72">
        <v>1</v>
      </c>
      <c r="K951" s="85">
        <v>33.200000000000003</v>
      </c>
      <c r="Q951" s="72">
        <v>139</v>
      </c>
    </row>
    <row r="952" spans="1:17" x14ac:dyDescent="0.25">
      <c r="A952" s="116">
        <v>319</v>
      </c>
      <c r="B952" s="72">
        <v>8</v>
      </c>
      <c r="C952" s="72">
        <v>17</v>
      </c>
      <c r="D952" s="72">
        <v>2</v>
      </c>
      <c r="E952" s="72">
        <v>140714</v>
      </c>
      <c r="F952" s="72">
        <v>110134</v>
      </c>
      <c r="G952" s="72" t="s">
        <v>186</v>
      </c>
      <c r="H952" s="72">
        <v>8</v>
      </c>
      <c r="I952" s="72">
        <v>0</v>
      </c>
      <c r="J952" s="72">
        <v>0</v>
      </c>
      <c r="K952" s="85">
        <v>29.1</v>
      </c>
      <c r="Q952" s="72">
        <v>139</v>
      </c>
    </row>
    <row r="953" spans="1:17" x14ac:dyDescent="0.25">
      <c r="A953" s="116">
        <v>320</v>
      </c>
      <c r="B953" s="72">
        <v>9</v>
      </c>
      <c r="C953" s="72">
        <v>17</v>
      </c>
      <c r="D953" s="72">
        <v>2</v>
      </c>
      <c r="E953" s="72">
        <v>140714</v>
      </c>
      <c r="F953" s="72">
        <v>110524</v>
      </c>
      <c r="G953" s="72" t="s">
        <v>504</v>
      </c>
      <c r="H953" s="72">
        <v>9</v>
      </c>
      <c r="I953" s="72">
        <v>2200</v>
      </c>
      <c r="J953" s="72">
        <v>500</v>
      </c>
      <c r="K953" s="85">
        <v>25.7</v>
      </c>
      <c r="Q953" s="72">
        <v>60</v>
      </c>
    </row>
    <row r="954" spans="1:17" x14ac:dyDescent="0.25">
      <c r="A954" s="116">
        <v>321</v>
      </c>
      <c r="B954" s="72">
        <v>10</v>
      </c>
      <c r="C954" s="72">
        <v>17</v>
      </c>
      <c r="D954" s="72">
        <v>2</v>
      </c>
      <c r="E954" s="72">
        <v>140714</v>
      </c>
      <c r="F954" s="72">
        <v>110524</v>
      </c>
      <c r="G954" s="72" t="s">
        <v>504</v>
      </c>
      <c r="H954" s="72">
        <v>10</v>
      </c>
      <c r="I954" s="72">
        <v>1382</v>
      </c>
      <c r="J954" s="72">
        <v>341</v>
      </c>
      <c r="K954" s="85">
        <v>27.7</v>
      </c>
      <c r="Q954" s="72">
        <v>60</v>
      </c>
    </row>
    <row r="955" spans="1:17" x14ac:dyDescent="0.25">
      <c r="A955" s="116">
        <v>322</v>
      </c>
      <c r="B955" s="72">
        <v>11</v>
      </c>
      <c r="C955" s="72">
        <v>17</v>
      </c>
      <c r="D955" s="72">
        <v>2</v>
      </c>
      <c r="E955" s="72">
        <v>140714</v>
      </c>
      <c r="F955" s="72">
        <v>110524</v>
      </c>
      <c r="G955" s="72" t="s">
        <v>505</v>
      </c>
      <c r="H955" s="72">
        <v>11</v>
      </c>
      <c r="I955" s="72">
        <v>2</v>
      </c>
      <c r="J955" s="72">
        <v>2</v>
      </c>
      <c r="K955" s="85">
        <v>29.2</v>
      </c>
      <c r="Q955" s="72">
        <v>165</v>
      </c>
    </row>
    <row r="956" spans="1:17" x14ac:dyDescent="0.25">
      <c r="A956" s="116">
        <v>323</v>
      </c>
      <c r="B956" s="72">
        <v>12</v>
      </c>
      <c r="C956" s="72">
        <v>17</v>
      </c>
      <c r="D956" s="72">
        <v>2</v>
      </c>
      <c r="E956" s="72">
        <v>140714</v>
      </c>
      <c r="F956" s="72">
        <v>110525</v>
      </c>
      <c r="G956" s="72" t="s">
        <v>505</v>
      </c>
      <c r="H956" s="72">
        <v>12</v>
      </c>
      <c r="I956" s="72">
        <v>740</v>
      </c>
      <c r="J956" s="72">
        <v>217</v>
      </c>
      <c r="K956" s="85">
        <v>27.6</v>
      </c>
      <c r="Q956" s="72">
        <v>165</v>
      </c>
    </row>
    <row r="957" spans="1:17" x14ac:dyDescent="0.25">
      <c r="A957" s="116">
        <v>324</v>
      </c>
      <c r="B957" s="72">
        <v>13</v>
      </c>
      <c r="C957" s="72">
        <v>17</v>
      </c>
      <c r="D957" s="72">
        <v>2</v>
      </c>
      <c r="E957" s="72">
        <v>140714</v>
      </c>
      <c r="F957" s="72">
        <v>110836</v>
      </c>
      <c r="G957" s="72" t="s">
        <v>505</v>
      </c>
      <c r="H957" s="72">
        <v>13</v>
      </c>
      <c r="I957" s="72">
        <v>1</v>
      </c>
      <c r="J957" s="72">
        <v>1</v>
      </c>
      <c r="K957" s="85">
        <v>28.7</v>
      </c>
      <c r="Q957" s="72">
        <v>134</v>
      </c>
    </row>
    <row r="958" spans="1:17" x14ac:dyDescent="0.25">
      <c r="A958" s="116">
        <v>325</v>
      </c>
      <c r="B958" s="72">
        <v>14</v>
      </c>
      <c r="C958" s="72">
        <v>17</v>
      </c>
      <c r="D958" s="72">
        <v>2</v>
      </c>
      <c r="E958" s="72">
        <v>140714</v>
      </c>
      <c r="F958" s="72">
        <v>110836</v>
      </c>
      <c r="G958" s="72" t="s">
        <v>507</v>
      </c>
      <c r="H958" s="72">
        <v>14</v>
      </c>
      <c r="I958" s="72">
        <v>674</v>
      </c>
      <c r="J958" s="72">
        <v>202</v>
      </c>
      <c r="K958" s="85">
        <v>30</v>
      </c>
      <c r="Q958" s="72">
        <v>93</v>
      </c>
    </row>
    <row r="959" spans="1:17" x14ac:dyDescent="0.25">
      <c r="A959" s="116">
        <v>326</v>
      </c>
      <c r="B959" s="72">
        <v>15</v>
      </c>
      <c r="C959" s="72">
        <v>17</v>
      </c>
      <c r="D959" s="72">
        <v>2</v>
      </c>
      <c r="E959" s="72">
        <v>140714</v>
      </c>
      <c r="F959" s="72">
        <v>110836</v>
      </c>
      <c r="G959" s="72" t="s">
        <v>489</v>
      </c>
      <c r="H959" s="72">
        <v>15</v>
      </c>
      <c r="I959" s="72">
        <v>2178</v>
      </c>
      <c r="J959" s="72">
        <v>500</v>
      </c>
      <c r="K959" s="85">
        <v>19.5</v>
      </c>
      <c r="Q959" s="72">
        <v>61</v>
      </c>
    </row>
    <row r="960" spans="1:17" x14ac:dyDescent="0.25">
      <c r="A960" s="116">
        <v>327</v>
      </c>
      <c r="B960" s="72">
        <v>16</v>
      </c>
      <c r="C960" s="72">
        <v>17</v>
      </c>
      <c r="D960" s="72">
        <v>2</v>
      </c>
      <c r="E960" s="72">
        <v>140714</v>
      </c>
      <c r="F960" s="72">
        <v>110836</v>
      </c>
      <c r="G960" s="72" t="s">
        <v>489</v>
      </c>
      <c r="H960" s="72">
        <v>16</v>
      </c>
      <c r="I960" s="72">
        <v>2273</v>
      </c>
      <c r="J960" s="72">
        <v>500</v>
      </c>
      <c r="K960" s="85">
        <v>22</v>
      </c>
      <c r="Q960" s="72">
        <v>61</v>
      </c>
    </row>
    <row r="961" spans="1:17" x14ac:dyDescent="0.25">
      <c r="A961" s="116">
        <v>312</v>
      </c>
      <c r="B961" s="72">
        <v>1</v>
      </c>
      <c r="C961" s="72">
        <v>17</v>
      </c>
      <c r="D961" s="72">
        <v>3</v>
      </c>
      <c r="E961" s="72">
        <v>140715</v>
      </c>
      <c r="F961" s="72">
        <v>100931</v>
      </c>
      <c r="G961" s="72" t="s">
        <v>506</v>
      </c>
      <c r="H961" s="72">
        <v>1</v>
      </c>
      <c r="I961" s="72">
        <v>2</v>
      </c>
      <c r="J961" s="72">
        <v>1</v>
      </c>
      <c r="K961" s="85">
        <v>19.2</v>
      </c>
      <c r="P961" t="s">
        <v>139</v>
      </c>
      <c r="Q961" s="72">
        <v>102</v>
      </c>
    </row>
    <row r="962" spans="1:17" x14ac:dyDescent="0.25">
      <c r="A962" s="116">
        <v>313</v>
      </c>
      <c r="B962" s="72">
        <v>2</v>
      </c>
      <c r="C962" s="72">
        <v>17</v>
      </c>
      <c r="D962" s="72">
        <v>3</v>
      </c>
      <c r="E962" s="72">
        <v>140715</v>
      </c>
      <c r="F962" s="72">
        <v>100932</v>
      </c>
      <c r="G962" s="72" t="s">
        <v>506</v>
      </c>
      <c r="H962" s="72">
        <v>2</v>
      </c>
      <c r="I962" s="72">
        <v>0</v>
      </c>
      <c r="J962" s="72">
        <v>0</v>
      </c>
      <c r="K962" s="85">
        <v>20.399999999999999</v>
      </c>
      <c r="P962" s="72" t="s">
        <v>139</v>
      </c>
      <c r="Q962" s="72">
        <v>102</v>
      </c>
    </row>
    <row r="963" spans="1:17" x14ac:dyDescent="0.25">
      <c r="A963" s="116">
        <v>314</v>
      </c>
      <c r="B963" s="72">
        <v>3</v>
      </c>
      <c r="C963" s="72">
        <v>17</v>
      </c>
      <c r="D963" s="72">
        <v>3</v>
      </c>
      <c r="E963" s="72">
        <v>140715</v>
      </c>
      <c r="F963" s="72">
        <v>101533</v>
      </c>
      <c r="G963" s="72" t="s">
        <v>490</v>
      </c>
      <c r="H963" s="72">
        <v>3</v>
      </c>
      <c r="I963" s="72">
        <v>244</v>
      </c>
      <c r="J963" s="72">
        <v>116</v>
      </c>
      <c r="K963" s="85">
        <v>26.9</v>
      </c>
      <c r="P963" s="72" t="s">
        <v>139</v>
      </c>
      <c r="Q963" s="72">
        <v>89</v>
      </c>
    </row>
    <row r="964" spans="1:17" x14ac:dyDescent="0.25">
      <c r="A964" s="116">
        <v>315</v>
      </c>
      <c r="B964" s="72">
        <v>4</v>
      </c>
      <c r="C964" s="72">
        <v>17</v>
      </c>
      <c r="D964" s="72">
        <v>3</v>
      </c>
      <c r="E964" s="72">
        <v>140715</v>
      </c>
      <c r="F964" s="72">
        <v>102755</v>
      </c>
      <c r="G964" s="72" t="s">
        <v>489</v>
      </c>
      <c r="H964" s="72">
        <v>4</v>
      </c>
      <c r="I964" s="72">
        <v>2170</v>
      </c>
      <c r="J964" s="72">
        <v>500</v>
      </c>
      <c r="K964" s="85">
        <v>20.5</v>
      </c>
      <c r="P964" s="72" t="s">
        <v>139</v>
      </c>
      <c r="Q964" s="72">
        <v>61</v>
      </c>
    </row>
    <row r="965" spans="1:17" x14ac:dyDescent="0.25">
      <c r="A965" s="116">
        <v>316</v>
      </c>
      <c r="B965" s="72">
        <v>5</v>
      </c>
      <c r="C965" s="72">
        <v>17</v>
      </c>
      <c r="D965" s="72">
        <v>3</v>
      </c>
      <c r="E965" s="72">
        <v>140715</v>
      </c>
      <c r="F965" s="72">
        <v>102513</v>
      </c>
      <c r="G965" s="72" t="s">
        <v>507</v>
      </c>
      <c r="H965" s="72">
        <v>5</v>
      </c>
      <c r="I965" s="72">
        <v>1928</v>
      </c>
      <c r="J965" s="72">
        <v>455</v>
      </c>
      <c r="K965" s="85">
        <v>30.8</v>
      </c>
      <c r="P965" s="72" t="s">
        <v>139</v>
      </c>
      <c r="Q965" s="72">
        <v>99</v>
      </c>
    </row>
    <row r="966" spans="1:17" x14ac:dyDescent="0.25">
      <c r="A966" s="116">
        <v>317</v>
      </c>
      <c r="B966" s="72">
        <v>6</v>
      </c>
      <c r="C966" s="72">
        <v>17</v>
      </c>
      <c r="D966" s="72">
        <v>3</v>
      </c>
      <c r="E966" s="72">
        <v>140715</v>
      </c>
      <c r="F966" s="72">
        <v>102514</v>
      </c>
      <c r="G966" s="72" t="s">
        <v>507</v>
      </c>
      <c r="H966" s="72">
        <v>6</v>
      </c>
      <c r="I966" s="72">
        <v>2251</v>
      </c>
      <c r="J966" s="72">
        <v>500</v>
      </c>
      <c r="K966" s="85">
        <v>27.5</v>
      </c>
      <c r="P966" s="72" t="s">
        <v>139</v>
      </c>
      <c r="Q966" s="72">
        <v>99</v>
      </c>
    </row>
    <row r="967" spans="1:17" x14ac:dyDescent="0.25">
      <c r="A967" s="116">
        <v>318</v>
      </c>
      <c r="B967" s="72">
        <v>7</v>
      </c>
      <c r="C967" s="72">
        <v>17</v>
      </c>
      <c r="D967" s="72">
        <v>3</v>
      </c>
      <c r="E967" s="72">
        <v>140715</v>
      </c>
      <c r="F967" s="72">
        <v>100932</v>
      </c>
      <c r="G967" s="72" t="s">
        <v>186</v>
      </c>
      <c r="H967" s="72">
        <v>7</v>
      </c>
      <c r="I967" s="72">
        <v>0</v>
      </c>
      <c r="J967" s="72">
        <v>0</v>
      </c>
      <c r="K967" s="85">
        <v>33.200000000000003</v>
      </c>
      <c r="P967" s="72" t="s">
        <v>139</v>
      </c>
      <c r="Q967" s="72">
        <v>139</v>
      </c>
    </row>
    <row r="968" spans="1:17" x14ac:dyDescent="0.25">
      <c r="A968" s="116">
        <v>319</v>
      </c>
      <c r="B968" s="72">
        <v>8</v>
      </c>
      <c r="C968" s="72">
        <v>17</v>
      </c>
      <c r="D968" s="72">
        <v>3</v>
      </c>
      <c r="E968" s="72">
        <v>140715</v>
      </c>
      <c r="F968" s="72">
        <v>100933</v>
      </c>
      <c r="G968" s="72" t="s">
        <v>186</v>
      </c>
      <c r="H968" s="72">
        <v>8</v>
      </c>
      <c r="I968" s="72">
        <v>2</v>
      </c>
      <c r="J968" s="72">
        <v>2</v>
      </c>
      <c r="K968" s="85">
        <v>29.1</v>
      </c>
      <c r="P968" s="72" t="s">
        <v>139</v>
      </c>
      <c r="Q968" s="72">
        <v>139</v>
      </c>
    </row>
    <row r="969" spans="1:17" x14ac:dyDescent="0.25">
      <c r="A969" s="116">
        <v>320</v>
      </c>
      <c r="B969" s="72">
        <v>9</v>
      </c>
      <c r="C969" s="72">
        <v>17</v>
      </c>
      <c r="D969" s="72">
        <v>3</v>
      </c>
      <c r="E969" s="72">
        <v>140715</v>
      </c>
      <c r="F969" s="72">
        <v>102005</v>
      </c>
      <c r="G969" s="72" t="s">
        <v>504</v>
      </c>
      <c r="H969" s="72">
        <v>9</v>
      </c>
      <c r="I969" s="72">
        <v>2190</v>
      </c>
      <c r="J969" s="72">
        <v>500</v>
      </c>
      <c r="K969" s="85">
        <v>25.7</v>
      </c>
      <c r="P969" s="72" t="s">
        <v>139</v>
      </c>
      <c r="Q969" s="72">
        <v>60</v>
      </c>
    </row>
    <row r="970" spans="1:17" x14ac:dyDescent="0.25">
      <c r="A970" s="116">
        <v>321</v>
      </c>
      <c r="B970" s="72">
        <v>10</v>
      </c>
      <c r="C970" s="72">
        <v>17</v>
      </c>
      <c r="D970" s="72">
        <v>3</v>
      </c>
      <c r="E970" s="72">
        <v>140715</v>
      </c>
      <c r="F970" s="72">
        <v>102005</v>
      </c>
      <c r="G970" s="72" t="s">
        <v>504</v>
      </c>
      <c r="H970" s="72">
        <v>10</v>
      </c>
      <c r="I970" s="72">
        <v>910</v>
      </c>
      <c r="J970" s="72">
        <v>248</v>
      </c>
      <c r="K970" s="85">
        <v>27.7</v>
      </c>
      <c r="P970" s="72" t="s">
        <v>139</v>
      </c>
      <c r="Q970" s="72">
        <v>60</v>
      </c>
    </row>
    <row r="971" spans="1:17" x14ac:dyDescent="0.25">
      <c r="A971" s="116">
        <v>322</v>
      </c>
      <c r="B971" s="72">
        <v>11</v>
      </c>
      <c r="C971" s="72">
        <v>17</v>
      </c>
      <c r="D971" s="72">
        <v>3</v>
      </c>
      <c r="E971" s="72">
        <v>140715</v>
      </c>
      <c r="F971" s="72">
        <v>101533</v>
      </c>
      <c r="G971" s="72" t="s">
        <v>505</v>
      </c>
      <c r="H971" s="72">
        <v>11</v>
      </c>
      <c r="I971" s="72">
        <v>2</v>
      </c>
      <c r="J971" s="72">
        <v>2</v>
      </c>
      <c r="K971" s="85">
        <v>29.2</v>
      </c>
      <c r="P971" s="72" t="s">
        <v>139</v>
      </c>
      <c r="Q971" s="72">
        <v>165</v>
      </c>
    </row>
    <row r="972" spans="1:17" x14ac:dyDescent="0.25">
      <c r="A972" s="116">
        <v>323</v>
      </c>
      <c r="B972" s="72">
        <v>12</v>
      </c>
      <c r="C972" s="72">
        <v>17</v>
      </c>
      <c r="D972" s="72">
        <v>3</v>
      </c>
      <c r="E972" s="72">
        <v>140715</v>
      </c>
      <c r="F972" s="72">
        <v>101533</v>
      </c>
      <c r="G972" s="72" t="s">
        <v>505</v>
      </c>
      <c r="H972" s="72">
        <v>12</v>
      </c>
      <c r="I972" s="72">
        <v>867</v>
      </c>
      <c r="J972" s="72">
        <v>243</v>
      </c>
      <c r="K972" s="85">
        <v>27.6</v>
      </c>
      <c r="P972" s="72" t="s">
        <v>139</v>
      </c>
      <c r="Q972" s="72">
        <v>165</v>
      </c>
    </row>
    <row r="973" spans="1:17" x14ac:dyDescent="0.25">
      <c r="A973" s="116">
        <v>324</v>
      </c>
      <c r="B973" s="72">
        <v>13</v>
      </c>
      <c r="C973" s="72">
        <v>17</v>
      </c>
      <c r="D973" s="72">
        <v>3</v>
      </c>
      <c r="E973" s="72">
        <v>140715</v>
      </c>
      <c r="F973" s="72">
        <v>100534</v>
      </c>
      <c r="G973" s="72" t="s">
        <v>505</v>
      </c>
      <c r="H973" s="72">
        <v>13</v>
      </c>
      <c r="I973" s="72">
        <v>0</v>
      </c>
      <c r="J973" s="72">
        <v>0</v>
      </c>
      <c r="K973" s="85">
        <v>28.7</v>
      </c>
      <c r="P973" s="72" t="s">
        <v>139</v>
      </c>
      <c r="Q973" s="72">
        <v>134</v>
      </c>
    </row>
    <row r="974" spans="1:17" x14ac:dyDescent="0.25">
      <c r="A974" s="116">
        <v>325</v>
      </c>
      <c r="B974" s="72">
        <v>14</v>
      </c>
      <c r="C974" s="72">
        <v>17</v>
      </c>
      <c r="D974" s="72">
        <v>3</v>
      </c>
      <c r="E974" s="72">
        <v>140715</v>
      </c>
      <c r="F974" s="72">
        <v>100534</v>
      </c>
      <c r="G974" s="72" t="s">
        <v>507</v>
      </c>
      <c r="H974" s="72">
        <v>14</v>
      </c>
      <c r="I974" s="72">
        <v>1658</v>
      </c>
      <c r="J974" s="72">
        <v>387</v>
      </c>
      <c r="K974" s="85">
        <v>30</v>
      </c>
      <c r="P974" s="72" t="s">
        <v>139</v>
      </c>
      <c r="Q974" s="72">
        <v>93</v>
      </c>
    </row>
    <row r="975" spans="1:17" x14ac:dyDescent="0.25">
      <c r="A975" s="116">
        <v>326</v>
      </c>
      <c r="B975" s="72">
        <v>15</v>
      </c>
      <c r="C975" s="72">
        <v>17</v>
      </c>
      <c r="D975" s="72">
        <v>3</v>
      </c>
      <c r="E975" s="72">
        <v>140715</v>
      </c>
      <c r="F975" s="72">
        <v>102819</v>
      </c>
      <c r="G975" s="72" t="s">
        <v>489</v>
      </c>
      <c r="H975" s="72">
        <v>15</v>
      </c>
      <c r="I975" s="72">
        <v>2178</v>
      </c>
      <c r="J975" s="72">
        <v>500</v>
      </c>
      <c r="K975" s="85">
        <v>19.5</v>
      </c>
      <c r="P975" s="72" t="s">
        <v>139</v>
      </c>
      <c r="Q975" s="72">
        <v>61</v>
      </c>
    </row>
    <row r="976" spans="1:17" x14ac:dyDescent="0.25">
      <c r="A976" s="116">
        <v>327</v>
      </c>
      <c r="B976" s="72">
        <v>16</v>
      </c>
      <c r="C976" s="72">
        <v>17</v>
      </c>
      <c r="D976" s="72">
        <v>3</v>
      </c>
      <c r="E976" s="72">
        <v>140715</v>
      </c>
      <c r="F976" s="72">
        <v>102819</v>
      </c>
      <c r="G976" s="72" t="s">
        <v>489</v>
      </c>
      <c r="H976" s="72">
        <v>16</v>
      </c>
      <c r="I976" s="72">
        <v>2216</v>
      </c>
      <c r="J976" s="72">
        <v>500</v>
      </c>
      <c r="K976" s="85">
        <v>22</v>
      </c>
      <c r="P976" s="72" t="s">
        <v>139</v>
      </c>
      <c r="Q976" s="72">
        <v>61</v>
      </c>
    </row>
  </sheetData>
  <sortState ref="B913:R928">
    <sortCondition ref="B914"/>
  </sortSt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W406"/>
  <sheetViews>
    <sheetView workbookViewId="0">
      <pane ySplit="1" topLeftCell="A299" activePane="bottomLeft" state="frozen"/>
      <selection activeCell="I633" sqref="I633"/>
      <selection pane="bottomLeft" activeCell="J327" sqref="J327"/>
    </sheetView>
  </sheetViews>
  <sheetFormatPr defaultRowHeight="15" x14ac:dyDescent="0.25"/>
  <cols>
    <col min="1" max="1" width="16.28515625" bestFit="1" customWidth="1"/>
    <col min="2" max="2" width="10.140625" bestFit="1" customWidth="1"/>
    <col min="3" max="4" width="6.5703125" bestFit="1" customWidth="1"/>
    <col min="5" max="5" width="9.7109375" bestFit="1" customWidth="1"/>
    <col min="6" max="6" width="8.85546875" bestFit="1" customWidth="1"/>
    <col min="13" max="13" width="13.140625" customWidth="1"/>
    <col min="14" max="14" width="16.28515625" customWidth="1"/>
    <col min="15" max="21" width="13.28515625" customWidth="1"/>
    <col min="22" max="23" width="18.28515625" customWidth="1"/>
  </cols>
  <sheetData>
    <row r="1" spans="1:19" x14ac:dyDescent="0.25">
      <c r="A1" s="58" t="s">
        <v>189</v>
      </c>
      <c r="B1" s="58" t="s">
        <v>190</v>
      </c>
      <c r="C1" s="43" t="s">
        <v>31</v>
      </c>
      <c r="D1" s="43" t="s">
        <v>32</v>
      </c>
      <c r="E1" s="43" t="s">
        <v>137</v>
      </c>
      <c r="F1" s="43" t="s">
        <v>138</v>
      </c>
      <c r="G1" s="43" t="s">
        <v>152</v>
      </c>
      <c r="H1" s="43" t="s">
        <v>153</v>
      </c>
      <c r="I1" s="43" t="s">
        <v>154</v>
      </c>
      <c r="J1" s="43" t="s">
        <v>155</v>
      </c>
      <c r="N1" s="58"/>
    </row>
    <row r="2" spans="1:19" x14ac:dyDescent="0.25">
      <c r="A2" s="48" t="s">
        <v>187</v>
      </c>
      <c r="B2" s="9">
        <v>1</v>
      </c>
      <c r="C2" s="4">
        <v>6452</v>
      </c>
      <c r="D2" s="4">
        <v>1464</v>
      </c>
      <c r="E2" s="4">
        <v>2044</v>
      </c>
      <c r="F2" s="4">
        <v>464</v>
      </c>
      <c r="G2" s="73">
        <v>2237</v>
      </c>
      <c r="H2" s="72">
        <v>500</v>
      </c>
      <c r="I2" s="72">
        <v>2171</v>
      </c>
      <c r="J2" s="72">
        <v>500</v>
      </c>
      <c r="M2" s="72"/>
      <c r="N2" s="72"/>
      <c r="O2" s="72"/>
      <c r="P2" s="72"/>
      <c r="Q2" s="72"/>
      <c r="R2" s="72"/>
      <c r="S2" s="72"/>
    </row>
    <row r="3" spans="1:19" x14ac:dyDescent="0.25">
      <c r="A3" s="48" t="s">
        <v>187</v>
      </c>
      <c r="B3" s="9">
        <v>2</v>
      </c>
      <c r="C3" s="4">
        <v>5467</v>
      </c>
      <c r="D3" s="4">
        <v>1242</v>
      </c>
      <c r="E3" s="4">
        <v>2071</v>
      </c>
      <c r="F3" s="4">
        <v>440</v>
      </c>
      <c r="G3" s="43">
        <v>1223</v>
      </c>
      <c r="H3" s="43">
        <v>302</v>
      </c>
      <c r="I3" s="43">
        <v>2173</v>
      </c>
      <c r="J3" s="43">
        <v>500</v>
      </c>
      <c r="L3" s="72"/>
      <c r="M3" s="72"/>
      <c r="N3" s="72"/>
      <c r="O3" s="72"/>
      <c r="P3" s="72"/>
      <c r="Q3" s="72"/>
      <c r="R3" s="72"/>
      <c r="S3" s="72"/>
    </row>
    <row r="4" spans="1:19" x14ac:dyDescent="0.25">
      <c r="A4" s="48" t="s">
        <v>0</v>
      </c>
      <c r="B4" s="9">
        <v>3</v>
      </c>
      <c r="C4" s="4">
        <v>25</v>
      </c>
      <c r="D4" s="4">
        <v>24</v>
      </c>
      <c r="E4" s="4">
        <v>3</v>
      </c>
      <c r="F4" s="4">
        <v>3</v>
      </c>
      <c r="G4" s="43">
        <v>2</v>
      </c>
      <c r="H4" s="43">
        <v>2</v>
      </c>
      <c r="I4" s="43">
        <v>20</v>
      </c>
      <c r="J4" s="43">
        <v>19</v>
      </c>
      <c r="L4" s="72"/>
      <c r="M4" s="72"/>
      <c r="N4" s="72"/>
      <c r="O4" s="72"/>
      <c r="P4" s="72"/>
      <c r="Q4" s="72"/>
      <c r="R4" s="72"/>
      <c r="S4" s="72"/>
    </row>
    <row r="5" spans="1:19" x14ac:dyDescent="0.25">
      <c r="A5" s="48" t="s">
        <v>0</v>
      </c>
      <c r="B5" s="9">
        <v>4</v>
      </c>
      <c r="C5" s="4">
        <v>35</v>
      </c>
      <c r="D5" s="4">
        <v>33</v>
      </c>
      <c r="E5" s="4">
        <v>8</v>
      </c>
      <c r="F5" s="4">
        <v>8</v>
      </c>
      <c r="G5" s="72">
        <v>3</v>
      </c>
      <c r="H5" s="72">
        <v>3</v>
      </c>
      <c r="I5" s="72">
        <v>24</v>
      </c>
      <c r="J5" s="72">
        <v>22</v>
      </c>
      <c r="L5" s="72"/>
      <c r="M5" s="72"/>
      <c r="N5" s="72"/>
      <c r="O5" s="72"/>
      <c r="P5" s="72"/>
      <c r="Q5" s="72"/>
      <c r="R5" s="72"/>
      <c r="S5" s="72"/>
    </row>
    <row r="6" spans="1:19" x14ac:dyDescent="0.25">
      <c r="A6" s="48" t="s">
        <v>2</v>
      </c>
      <c r="B6" s="9">
        <v>5</v>
      </c>
      <c r="C6" s="4">
        <v>1098</v>
      </c>
      <c r="D6" s="4">
        <v>383</v>
      </c>
      <c r="E6" s="4">
        <v>38</v>
      </c>
      <c r="F6" s="4">
        <v>34</v>
      </c>
      <c r="G6" s="72">
        <v>300</v>
      </c>
      <c r="H6" s="72">
        <v>128</v>
      </c>
      <c r="I6" s="72">
        <v>760</v>
      </c>
      <c r="J6" s="72">
        <v>221</v>
      </c>
      <c r="L6" s="72"/>
      <c r="M6" s="72"/>
      <c r="N6" s="72"/>
      <c r="O6" s="72"/>
      <c r="P6" s="72"/>
      <c r="Q6" s="72"/>
      <c r="R6" s="72"/>
      <c r="S6" s="72"/>
    </row>
    <row r="7" spans="1:19" x14ac:dyDescent="0.25">
      <c r="A7" s="48" t="s">
        <v>2</v>
      </c>
      <c r="B7" s="9">
        <v>6</v>
      </c>
      <c r="C7" s="4">
        <v>2332</v>
      </c>
      <c r="D7" s="4">
        <v>622</v>
      </c>
      <c r="E7" s="4">
        <v>35</v>
      </c>
      <c r="F7" s="4">
        <v>32</v>
      </c>
      <c r="G7" s="72">
        <v>303</v>
      </c>
      <c r="H7" s="72">
        <v>128</v>
      </c>
      <c r="I7" s="72">
        <v>1994</v>
      </c>
      <c r="J7" s="72">
        <v>462</v>
      </c>
      <c r="L7" s="72"/>
      <c r="M7" s="72"/>
      <c r="N7" s="72"/>
      <c r="O7" s="72"/>
      <c r="P7" s="72"/>
      <c r="Q7" s="72"/>
      <c r="R7" s="72"/>
      <c r="S7" s="72"/>
    </row>
    <row r="8" spans="1:19" x14ac:dyDescent="0.25">
      <c r="A8" s="48" t="s">
        <v>4</v>
      </c>
      <c r="B8" s="9">
        <v>7</v>
      </c>
      <c r="C8" s="4">
        <v>2</v>
      </c>
      <c r="D8" s="4">
        <v>2</v>
      </c>
      <c r="E8" s="4">
        <v>1</v>
      </c>
      <c r="F8" s="4">
        <v>1</v>
      </c>
      <c r="G8" s="72">
        <v>0</v>
      </c>
      <c r="H8" s="72">
        <v>0</v>
      </c>
      <c r="I8" s="72">
        <v>1</v>
      </c>
      <c r="J8" s="72">
        <v>1</v>
      </c>
      <c r="L8" s="72"/>
      <c r="M8" s="72"/>
      <c r="N8" s="72"/>
      <c r="O8" s="72"/>
      <c r="P8" s="72"/>
      <c r="Q8" s="72"/>
      <c r="R8" s="72"/>
      <c r="S8" s="72"/>
    </row>
    <row r="9" spans="1:19" x14ac:dyDescent="0.25">
      <c r="A9" s="48" t="s">
        <v>4</v>
      </c>
      <c r="B9" s="9">
        <v>8</v>
      </c>
      <c r="C9" s="4">
        <v>3</v>
      </c>
      <c r="D9" s="4">
        <v>3</v>
      </c>
      <c r="E9" s="4">
        <v>2</v>
      </c>
      <c r="F9" s="4">
        <v>2</v>
      </c>
      <c r="G9" s="72">
        <v>0</v>
      </c>
      <c r="H9" s="72">
        <v>0</v>
      </c>
      <c r="I9" s="72">
        <v>1</v>
      </c>
      <c r="J9" s="72">
        <v>1</v>
      </c>
      <c r="L9" s="72"/>
      <c r="M9" s="72"/>
      <c r="N9" s="72"/>
      <c r="O9" s="72"/>
      <c r="P9" s="72"/>
      <c r="Q9" s="72"/>
      <c r="R9" s="72"/>
      <c r="S9" s="72"/>
    </row>
    <row r="10" spans="1:19" x14ac:dyDescent="0.25">
      <c r="A10" s="72" t="s">
        <v>8</v>
      </c>
      <c r="B10" s="9">
        <v>9</v>
      </c>
      <c r="C10" s="4">
        <v>25</v>
      </c>
      <c r="D10" s="4">
        <v>25</v>
      </c>
      <c r="E10" s="4">
        <v>5</v>
      </c>
      <c r="F10" s="4">
        <v>5</v>
      </c>
      <c r="G10" s="72">
        <v>5</v>
      </c>
      <c r="H10" s="72">
        <v>5</v>
      </c>
      <c r="I10" s="72">
        <v>15</v>
      </c>
      <c r="J10" s="72">
        <v>15</v>
      </c>
      <c r="L10" s="72"/>
      <c r="M10" s="72"/>
      <c r="N10" s="72"/>
      <c r="O10" s="72"/>
      <c r="P10" s="72"/>
      <c r="Q10" s="72"/>
      <c r="R10" s="72"/>
      <c r="S10" s="72"/>
    </row>
    <row r="11" spans="1:19" x14ac:dyDescent="0.25">
      <c r="A11" s="48" t="s">
        <v>8</v>
      </c>
      <c r="B11" s="9">
        <v>10</v>
      </c>
      <c r="C11" s="4">
        <v>397</v>
      </c>
      <c r="D11" s="4">
        <v>154</v>
      </c>
      <c r="E11" s="4">
        <v>5</v>
      </c>
      <c r="F11" s="4">
        <v>5</v>
      </c>
      <c r="G11" s="72">
        <v>4</v>
      </c>
      <c r="H11" s="72">
        <v>3</v>
      </c>
      <c r="I11" s="72">
        <v>388</v>
      </c>
      <c r="J11" s="72">
        <v>146</v>
      </c>
      <c r="L11" s="72"/>
      <c r="M11" s="72"/>
      <c r="N11" s="72"/>
      <c r="O11" s="72"/>
      <c r="P11" s="72"/>
      <c r="Q11" s="72"/>
      <c r="R11" s="72"/>
      <c r="S11" s="72"/>
    </row>
    <row r="12" spans="1:19" x14ac:dyDescent="0.25">
      <c r="A12" s="48" t="s">
        <v>5</v>
      </c>
      <c r="B12" s="9">
        <v>11</v>
      </c>
      <c r="C12" s="4">
        <v>6483</v>
      </c>
      <c r="D12" s="4">
        <v>1500</v>
      </c>
      <c r="E12" s="4">
        <v>2160</v>
      </c>
      <c r="F12" s="4">
        <v>500</v>
      </c>
      <c r="G12" s="72">
        <v>2165</v>
      </c>
      <c r="H12" s="72">
        <v>500</v>
      </c>
      <c r="I12" s="72">
        <v>2158</v>
      </c>
      <c r="J12" s="72">
        <v>500</v>
      </c>
      <c r="L12" s="72"/>
      <c r="M12" s="72"/>
      <c r="N12" s="72"/>
      <c r="O12" s="72"/>
      <c r="P12" s="72"/>
      <c r="Q12" s="72"/>
      <c r="R12" s="72"/>
      <c r="S12" s="72"/>
    </row>
    <row r="13" spans="1:19" x14ac:dyDescent="0.25">
      <c r="A13" s="72" t="s">
        <v>5</v>
      </c>
      <c r="B13" s="9">
        <v>12</v>
      </c>
      <c r="C13" s="4">
        <v>5569</v>
      </c>
      <c r="D13" s="4">
        <v>1312</v>
      </c>
      <c r="E13" s="4">
        <v>1230</v>
      </c>
      <c r="F13" s="4">
        <v>312</v>
      </c>
      <c r="G13" s="4">
        <v>2174</v>
      </c>
      <c r="H13" s="72">
        <v>500</v>
      </c>
      <c r="I13" s="72">
        <v>2165</v>
      </c>
      <c r="J13" s="72">
        <v>500</v>
      </c>
      <c r="L13" s="72"/>
      <c r="M13" s="72"/>
      <c r="N13" s="72"/>
      <c r="O13" s="72"/>
      <c r="P13" s="72"/>
      <c r="Q13" s="72"/>
      <c r="R13" s="72"/>
      <c r="S13" s="72"/>
    </row>
    <row r="14" spans="1:19" x14ac:dyDescent="0.25">
      <c r="A14" s="72" t="s">
        <v>1</v>
      </c>
      <c r="B14" s="9">
        <v>13</v>
      </c>
      <c r="C14" s="4">
        <v>11</v>
      </c>
      <c r="D14" s="4">
        <v>11</v>
      </c>
      <c r="E14" s="4">
        <v>4</v>
      </c>
      <c r="F14" s="4">
        <v>4</v>
      </c>
      <c r="G14" s="72">
        <v>5</v>
      </c>
      <c r="H14" s="72">
        <v>5</v>
      </c>
      <c r="I14" s="72">
        <v>2</v>
      </c>
      <c r="J14" s="72">
        <v>2</v>
      </c>
      <c r="L14" s="72"/>
      <c r="M14" s="72"/>
      <c r="N14" s="72"/>
      <c r="O14" s="72"/>
      <c r="P14" s="72"/>
      <c r="Q14" s="72"/>
      <c r="R14" s="72"/>
      <c r="S14" s="72"/>
    </row>
    <row r="15" spans="1:19" x14ac:dyDescent="0.25">
      <c r="A15" s="72" t="s">
        <v>1</v>
      </c>
      <c r="B15" s="9">
        <v>14</v>
      </c>
      <c r="C15" s="4">
        <v>2506</v>
      </c>
      <c r="D15" s="4">
        <v>631</v>
      </c>
      <c r="E15" s="4">
        <v>5</v>
      </c>
      <c r="F15" s="4">
        <v>5</v>
      </c>
      <c r="G15" s="72">
        <v>363</v>
      </c>
      <c r="H15" s="72">
        <v>142</v>
      </c>
      <c r="I15" s="72">
        <v>2138</v>
      </c>
      <c r="J15" s="72">
        <v>484</v>
      </c>
      <c r="L15" s="72"/>
      <c r="M15" s="72"/>
      <c r="N15" s="72"/>
      <c r="O15" s="72"/>
      <c r="P15" s="72"/>
      <c r="Q15" s="72"/>
      <c r="R15" s="72"/>
      <c r="S15" s="72"/>
    </row>
    <row r="16" spans="1:19" x14ac:dyDescent="0.25">
      <c r="A16" s="72" t="s">
        <v>3</v>
      </c>
      <c r="B16" s="9">
        <v>15</v>
      </c>
      <c r="C16" s="4">
        <v>6502</v>
      </c>
      <c r="D16" s="4">
        <v>1500</v>
      </c>
      <c r="E16" s="4">
        <v>2171</v>
      </c>
      <c r="F16" s="4">
        <v>500</v>
      </c>
      <c r="G16" s="72">
        <v>2167</v>
      </c>
      <c r="H16" s="72">
        <v>500</v>
      </c>
      <c r="I16" s="72">
        <v>2164</v>
      </c>
      <c r="J16" s="72">
        <v>500</v>
      </c>
      <c r="L16" s="72"/>
      <c r="M16" s="72"/>
      <c r="N16" s="72"/>
      <c r="O16" s="72"/>
      <c r="P16" s="72"/>
      <c r="Q16" s="72"/>
      <c r="R16" s="72"/>
      <c r="S16" s="72"/>
    </row>
    <row r="17" spans="1:19" x14ac:dyDescent="0.25">
      <c r="A17" s="48" t="s">
        <v>3</v>
      </c>
      <c r="B17" s="9">
        <v>16</v>
      </c>
      <c r="C17" s="4">
        <v>4690</v>
      </c>
      <c r="D17" s="4">
        <v>1137</v>
      </c>
      <c r="E17" s="4">
        <v>359</v>
      </c>
      <c r="F17" s="4">
        <v>137</v>
      </c>
      <c r="G17" s="43">
        <v>2173</v>
      </c>
      <c r="H17" s="43">
        <v>500</v>
      </c>
      <c r="I17" s="43">
        <v>2158</v>
      </c>
      <c r="J17" s="43">
        <v>500</v>
      </c>
      <c r="L17" s="72"/>
      <c r="M17" s="72"/>
      <c r="N17" s="72"/>
      <c r="O17" s="72"/>
      <c r="P17" s="72"/>
      <c r="Q17" s="72"/>
      <c r="R17" s="72"/>
      <c r="S17" s="72"/>
    </row>
    <row r="18" spans="1:19" x14ac:dyDescent="0.25">
      <c r="A18" s="48" t="s">
        <v>6</v>
      </c>
      <c r="B18" s="9">
        <v>17</v>
      </c>
      <c r="C18" s="73">
        <v>7105</v>
      </c>
      <c r="D18" s="73">
        <v>1500</v>
      </c>
      <c r="E18" s="73">
        <v>2294</v>
      </c>
      <c r="F18" s="73">
        <v>500</v>
      </c>
      <c r="G18" s="72">
        <v>2435</v>
      </c>
      <c r="H18" s="43">
        <v>500</v>
      </c>
      <c r="I18" s="72">
        <v>2376</v>
      </c>
      <c r="J18" s="43">
        <v>500</v>
      </c>
      <c r="L18" s="72"/>
      <c r="M18" s="72"/>
      <c r="N18" s="72"/>
      <c r="O18" s="72"/>
      <c r="P18" s="72"/>
      <c r="Q18" s="72"/>
      <c r="R18" s="72"/>
      <c r="S18" s="72"/>
    </row>
    <row r="19" spans="1:19" x14ac:dyDescent="0.25">
      <c r="A19" s="48" t="s">
        <v>6</v>
      </c>
      <c r="B19" s="9">
        <v>18</v>
      </c>
      <c r="C19" s="73">
        <v>4367</v>
      </c>
      <c r="D19" s="73">
        <v>1015</v>
      </c>
      <c r="E19" s="73">
        <v>15</v>
      </c>
      <c r="F19" s="73">
        <v>15</v>
      </c>
      <c r="G19" s="72">
        <v>2174</v>
      </c>
      <c r="H19" s="43">
        <v>500</v>
      </c>
      <c r="I19" s="72">
        <v>2178</v>
      </c>
      <c r="J19" s="43">
        <v>500</v>
      </c>
      <c r="L19" s="72"/>
      <c r="M19" s="72"/>
      <c r="N19" s="72"/>
      <c r="O19" s="72"/>
      <c r="P19" s="72"/>
      <c r="Q19" s="72"/>
      <c r="R19" s="72"/>
      <c r="S19" s="72"/>
    </row>
    <row r="20" spans="1:19" x14ac:dyDescent="0.25">
      <c r="A20" s="48" t="s">
        <v>7</v>
      </c>
      <c r="B20" s="9">
        <v>19</v>
      </c>
      <c r="C20" s="4">
        <v>6126</v>
      </c>
      <c r="D20" s="4">
        <v>1388</v>
      </c>
      <c r="E20" s="4">
        <v>1636</v>
      </c>
      <c r="F20" s="4">
        <v>388</v>
      </c>
      <c r="G20" s="72">
        <v>2256</v>
      </c>
      <c r="H20" s="72">
        <v>500</v>
      </c>
      <c r="I20" s="72">
        <v>2234</v>
      </c>
      <c r="J20" s="72">
        <v>500</v>
      </c>
      <c r="L20" s="72"/>
      <c r="M20" s="72"/>
      <c r="N20" s="72"/>
      <c r="O20" s="72"/>
      <c r="P20" s="72"/>
      <c r="Q20" s="72"/>
      <c r="R20" s="72"/>
      <c r="S20" s="72"/>
    </row>
    <row r="21" spans="1:19" x14ac:dyDescent="0.25">
      <c r="A21" s="72" t="s">
        <v>7</v>
      </c>
      <c r="B21" s="9">
        <v>20</v>
      </c>
      <c r="C21" s="4">
        <v>4583</v>
      </c>
      <c r="D21" s="4">
        <v>1118</v>
      </c>
      <c r="E21" s="4">
        <v>942</v>
      </c>
      <c r="F21" s="4">
        <v>258</v>
      </c>
      <c r="G21" s="72">
        <v>2098</v>
      </c>
      <c r="H21" s="72">
        <v>486</v>
      </c>
      <c r="I21" s="72">
        <v>1543</v>
      </c>
      <c r="J21" s="72">
        <v>374</v>
      </c>
      <c r="L21" s="72"/>
      <c r="M21" s="72"/>
      <c r="N21" s="72"/>
      <c r="O21" s="72"/>
      <c r="P21" s="72"/>
      <c r="Q21" s="72"/>
      <c r="R21" s="72"/>
      <c r="S21" s="72"/>
    </row>
    <row r="22" spans="1:19" x14ac:dyDescent="0.25">
      <c r="A22" s="72" t="s">
        <v>9</v>
      </c>
      <c r="B22" s="9">
        <v>21</v>
      </c>
      <c r="C22" s="4">
        <v>803</v>
      </c>
      <c r="D22" s="4">
        <v>302</v>
      </c>
      <c r="E22" s="4">
        <v>5</v>
      </c>
      <c r="F22" s="4">
        <v>5</v>
      </c>
      <c r="G22" s="72">
        <v>186</v>
      </c>
      <c r="H22" s="72">
        <v>107</v>
      </c>
      <c r="I22" s="72">
        <v>612</v>
      </c>
      <c r="J22" s="72">
        <v>190</v>
      </c>
      <c r="L22" s="72"/>
      <c r="M22" s="72"/>
      <c r="N22" s="72"/>
      <c r="O22" s="72"/>
      <c r="P22" s="72"/>
      <c r="Q22" s="72"/>
      <c r="R22" s="72"/>
      <c r="S22" s="72"/>
    </row>
    <row r="23" spans="1:19" x14ac:dyDescent="0.25">
      <c r="A23" s="72" t="s">
        <v>9</v>
      </c>
      <c r="B23" s="9">
        <v>22</v>
      </c>
      <c r="C23" s="4">
        <v>12</v>
      </c>
      <c r="D23" s="4">
        <v>12</v>
      </c>
      <c r="E23" s="4">
        <v>4</v>
      </c>
      <c r="F23" s="4">
        <v>4</v>
      </c>
      <c r="G23" s="72">
        <v>3</v>
      </c>
      <c r="H23" s="72">
        <v>3</v>
      </c>
      <c r="I23" s="72">
        <v>5</v>
      </c>
      <c r="J23" s="72">
        <v>5</v>
      </c>
      <c r="L23" s="72"/>
      <c r="M23" s="72"/>
      <c r="N23" s="72"/>
      <c r="O23" s="72"/>
      <c r="P23" s="72"/>
      <c r="Q23" s="72"/>
      <c r="R23" s="72"/>
      <c r="S23" s="72"/>
    </row>
    <row r="24" spans="1:19" x14ac:dyDescent="0.25">
      <c r="A24" s="72" t="s">
        <v>87</v>
      </c>
      <c r="B24" s="9">
        <v>23</v>
      </c>
      <c r="C24" s="73">
        <v>1689</v>
      </c>
      <c r="D24" s="73">
        <v>545</v>
      </c>
      <c r="E24" s="73">
        <v>364</v>
      </c>
      <c r="F24" s="73">
        <v>142</v>
      </c>
      <c r="G24" s="72">
        <v>738</v>
      </c>
      <c r="H24" s="72">
        <v>216</v>
      </c>
      <c r="I24" s="72">
        <v>587</v>
      </c>
      <c r="J24" s="72">
        <v>187</v>
      </c>
      <c r="L24" s="72"/>
      <c r="M24" s="72"/>
      <c r="N24" s="72"/>
      <c r="O24" s="72"/>
      <c r="P24" s="72"/>
      <c r="Q24" s="72"/>
      <c r="R24" s="72"/>
      <c r="S24" s="72"/>
    </row>
    <row r="25" spans="1:19" x14ac:dyDescent="0.25">
      <c r="A25" s="72" t="s">
        <v>87</v>
      </c>
      <c r="B25" s="9">
        <v>24</v>
      </c>
      <c r="C25" s="73">
        <v>2702</v>
      </c>
      <c r="D25" s="73">
        <v>742</v>
      </c>
      <c r="E25" s="73">
        <v>1383</v>
      </c>
      <c r="F25" s="73">
        <v>341</v>
      </c>
      <c r="G25" s="72">
        <v>1013</v>
      </c>
      <c r="H25" s="72">
        <v>270</v>
      </c>
      <c r="I25" s="72">
        <v>306</v>
      </c>
      <c r="J25" s="72">
        <v>131</v>
      </c>
      <c r="L25" s="72"/>
      <c r="M25" s="72"/>
      <c r="N25" s="72"/>
      <c r="O25" s="72"/>
      <c r="P25" s="72"/>
      <c r="Q25" s="72"/>
      <c r="R25" s="72"/>
      <c r="S25" s="72"/>
    </row>
    <row r="26" spans="1:19" x14ac:dyDescent="0.25">
      <c r="A26" s="72" t="s">
        <v>129</v>
      </c>
      <c r="B26" s="9">
        <v>25</v>
      </c>
      <c r="C26" s="4">
        <v>4945</v>
      </c>
      <c r="D26" s="4">
        <v>1176</v>
      </c>
      <c r="E26" s="4">
        <v>1314</v>
      </c>
      <c r="F26" s="4">
        <v>327</v>
      </c>
      <c r="G26" s="72">
        <v>1913</v>
      </c>
      <c r="H26" s="72">
        <v>442</v>
      </c>
      <c r="I26" s="72">
        <v>1718</v>
      </c>
      <c r="J26" s="72">
        <v>407</v>
      </c>
      <c r="L26" s="72"/>
      <c r="M26" s="72"/>
      <c r="N26" s="72"/>
      <c r="O26" s="72"/>
      <c r="P26" s="72"/>
      <c r="Q26" s="72"/>
      <c r="R26" s="72"/>
      <c r="S26" s="72"/>
    </row>
    <row r="27" spans="1:19" x14ac:dyDescent="0.25">
      <c r="A27" s="72" t="s">
        <v>129</v>
      </c>
      <c r="B27" s="9">
        <v>26</v>
      </c>
      <c r="C27" s="4">
        <v>4216</v>
      </c>
      <c r="D27" s="4">
        <v>1034</v>
      </c>
      <c r="E27" s="4">
        <v>1487</v>
      </c>
      <c r="F27" s="4">
        <v>360</v>
      </c>
      <c r="G27" s="72">
        <v>1463</v>
      </c>
      <c r="H27" s="72">
        <v>355</v>
      </c>
      <c r="I27" s="72">
        <v>1266</v>
      </c>
      <c r="J27" s="72">
        <v>319</v>
      </c>
      <c r="L27" s="72"/>
      <c r="M27" s="72"/>
      <c r="N27" s="72"/>
      <c r="O27" s="72"/>
      <c r="P27" s="72"/>
      <c r="Q27" s="72"/>
      <c r="R27" s="72"/>
      <c r="S27" s="72"/>
    </row>
    <row r="28" spans="1:19" x14ac:dyDescent="0.25">
      <c r="A28" s="48" t="s">
        <v>129</v>
      </c>
      <c r="B28" s="9">
        <v>27</v>
      </c>
      <c r="C28" s="4">
        <v>4</v>
      </c>
      <c r="D28" s="4">
        <v>4</v>
      </c>
      <c r="E28" s="4">
        <v>3</v>
      </c>
      <c r="F28" s="4">
        <v>3</v>
      </c>
      <c r="G28" s="72">
        <v>0</v>
      </c>
      <c r="H28" s="72">
        <v>0</v>
      </c>
      <c r="I28" s="72">
        <v>1</v>
      </c>
      <c r="J28" s="72">
        <v>1</v>
      </c>
      <c r="L28" s="72"/>
      <c r="M28" s="72"/>
      <c r="N28" s="72"/>
      <c r="O28" s="72"/>
      <c r="P28" s="72"/>
      <c r="Q28" s="72"/>
      <c r="R28" s="72"/>
      <c r="S28" s="72"/>
    </row>
    <row r="29" spans="1:19" x14ac:dyDescent="0.25">
      <c r="A29" s="48" t="s">
        <v>185</v>
      </c>
      <c r="B29" s="9">
        <v>28</v>
      </c>
      <c r="C29" s="4">
        <v>10</v>
      </c>
      <c r="D29" s="4">
        <v>10</v>
      </c>
      <c r="E29" s="73">
        <v>10</v>
      </c>
      <c r="F29" s="73">
        <v>10</v>
      </c>
      <c r="G29" s="43">
        <v>0</v>
      </c>
      <c r="H29" s="43">
        <v>0</v>
      </c>
      <c r="I29" s="43">
        <v>0</v>
      </c>
      <c r="J29" s="43">
        <v>0</v>
      </c>
      <c r="L29" s="72"/>
      <c r="M29" s="72"/>
      <c r="N29" s="72"/>
      <c r="O29" s="72"/>
      <c r="P29" s="72"/>
      <c r="Q29" s="72"/>
      <c r="R29" s="72"/>
      <c r="S29" s="72"/>
    </row>
    <row r="30" spans="1:19" x14ac:dyDescent="0.25">
      <c r="A30" s="48" t="s">
        <v>185</v>
      </c>
      <c r="B30" s="9">
        <v>29</v>
      </c>
      <c r="C30" s="4">
        <v>2055</v>
      </c>
      <c r="D30" s="4">
        <v>574</v>
      </c>
      <c r="E30" s="73">
        <v>42</v>
      </c>
      <c r="F30" s="73">
        <v>40</v>
      </c>
      <c r="G30" s="43">
        <v>710</v>
      </c>
      <c r="H30" s="43">
        <v>209</v>
      </c>
      <c r="I30" s="43">
        <v>1303</v>
      </c>
      <c r="J30" s="43">
        <v>325</v>
      </c>
      <c r="L30" s="72"/>
      <c r="M30" s="72"/>
      <c r="N30" s="72"/>
      <c r="O30" s="72"/>
      <c r="P30" s="72"/>
      <c r="Q30" s="72"/>
      <c r="R30" s="72"/>
      <c r="S30" s="72"/>
    </row>
    <row r="31" spans="1:19" x14ac:dyDescent="0.25">
      <c r="A31" s="48" t="s">
        <v>175</v>
      </c>
      <c r="B31" s="9">
        <v>30</v>
      </c>
      <c r="C31" s="4">
        <v>2912</v>
      </c>
      <c r="D31" s="4">
        <v>772</v>
      </c>
      <c r="E31" s="4">
        <v>174</v>
      </c>
      <c r="F31" s="4">
        <v>103</v>
      </c>
      <c r="G31" s="43">
        <v>819</v>
      </c>
      <c r="H31" s="43">
        <v>228</v>
      </c>
      <c r="I31" s="43">
        <v>1919</v>
      </c>
      <c r="J31" s="43">
        <v>441</v>
      </c>
      <c r="L31" s="72"/>
      <c r="M31" s="72"/>
      <c r="N31" s="72"/>
      <c r="O31" s="72"/>
      <c r="P31" s="72"/>
      <c r="Q31" s="72"/>
      <c r="R31" s="72"/>
      <c r="S31" s="72"/>
    </row>
    <row r="32" spans="1:19" x14ac:dyDescent="0.25">
      <c r="A32" s="48" t="s">
        <v>175</v>
      </c>
      <c r="B32" s="9">
        <v>31</v>
      </c>
      <c r="C32" s="4">
        <v>1199</v>
      </c>
      <c r="D32" s="4">
        <v>443</v>
      </c>
      <c r="E32" s="4">
        <v>199</v>
      </c>
      <c r="F32" s="4">
        <v>107</v>
      </c>
      <c r="G32" s="43">
        <v>432</v>
      </c>
      <c r="H32" s="43">
        <v>153</v>
      </c>
      <c r="I32" s="43">
        <v>568</v>
      </c>
      <c r="J32" s="43">
        <v>183</v>
      </c>
      <c r="L32" s="72"/>
      <c r="M32" s="72"/>
      <c r="N32" s="72"/>
      <c r="O32" s="72"/>
      <c r="P32" s="72"/>
      <c r="Q32" s="72"/>
      <c r="R32" s="72"/>
      <c r="S32" s="72"/>
    </row>
    <row r="33" spans="1:19" x14ac:dyDescent="0.25">
      <c r="A33" s="48" t="s">
        <v>50</v>
      </c>
      <c r="B33" s="9">
        <v>32</v>
      </c>
      <c r="C33" s="4">
        <v>2712</v>
      </c>
      <c r="D33" s="4">
        <v>735</v>
      </c>
      <c r="E33" s="4">
        <v>593</v>
      </c>
      <c r="F33" s="4">
        <v>184</v>
      </c>
      <c r="G33" s="43">
        <v>1032</v>
      </c>
      <c r="H33" s="43">
        <v>270</v>
      </c>
      <c r="I33" s="43">
        <v>1087</v>
      </c>
      <c r="J33" s="43">
        <v>281</v>
      </c>
      <c r="L33" s="72"/>
      <c r="M33" s="72"/>
      <c r="N33" s="72"/>
      <c r="O33" s="72"/>
      <c r="P33" s="72"/>
      <c r="Q33" s="72"/>
      <c r="R33" s="72"/>
      <c r="S33" s="72"/>
    </row>
    <row r="34" spans="1:19" x14ac:dyDescent="0.25">
      <c r="A34" s="72" t="s">
        <v>50</v>
      </c>
      <c r="B34" s="9">
        <v>33</v>
      </c>
      <c r="C34" s="4">
        <v>9</v>
      </c>
      <c r="D34" s="4">
        <v>9</v>
      </c>
      <c r="E34" s="4">
        <v>8</v>
      </c>
      <c r="F34" s="4">
        <v>8</v>
      </c>
      <c r="G34" s="72">
        <v>0</v>
      </c>
      <c r="H34" s="72">
        <v>0</v>
      </c>
      <c r="I34" s="72">
        <v>1</v>
      </c>
      <c r="J34" s="72">
        <v>1</v>
      </c>
      <c r="L34" s="72"/>
      <c r="M34" s="72"/>
      <c r="N34" s="72"/>
      <c r="O34" s="72"/>
      <c r="P34" s="72"/>
      <c r="Q34" s="72"/>
      <c r="R34" s="72"/>
      <c r="S34" s="72"/>
    </row>
    <row r="35" spans="1:19" s="58" customFormat="1" x14ac:dyDescent="0.25">
      <c r="A35" s="58" t="s">
        <v>50</v>
      </c>
      <c r="B35" s="9">
        <v>34</v>
      </c>
      <c r="C35" s="4">
        <v>-9</v>
      </c>
      <c r="D35" s="4">
        <v>-9</v>
      </c>
      <c r="E35" s="4">
        <v>-9</v>
      </c>
      <c r="F35" s="4">
        <v>-9</v>
      </c>
      <c r="G35" s="73">
        <v>-9</v>
      </c>
      <c r="H35" s="73">
        <v>-9</v>
      </c>
      <c r="I35" s="73">
        <v>-9</v>
      </c>
      <c r="J35" s="73">
        <v>-9</v>
      </c>
      <c r="L35" s="72"/>
      <c r="M35" s="72"/>
      <c r="N35" s="72"/>
      <c r="O35" s="72"/>
      <c r="P35" s="72"/>
      <c r="Q35" s="72"/>
      <c r="R35" s="72"/>
      <c r="S35" s="72"/>
    </row>
    <row r="36" spans="1:19" x14ac:dyDescent="0.25">
      <c r="A36" s="48" t="s">
        <v>179</v>
      </c>
      <c r="B36" s="9">
        <v>35</v>
      </c>
      <c r="C36" s="4">
        <v>2061</v>
      </c>
      <c r="D36" s="4">
        <v>611</v>
      </c>
      <c r="E36" s="4">
        <v>261</v>
      </c>
      <c r="F36" s="4">
        <v>120</v>
      </c>
      <c r="G36" s="43">
        <v>1155</v>
      </c>
      <c r="H36" s="43">
        <v>295</v>
      </c>
      <c r="I36" s="43">
        <v>645</v>
      </c>
      <c r="J36" s="43">
        <v>196</v>
      </c>
      <c r="L36" s="72"/>
      <c r="M36" s="72"/>
      <c r="N36" s="72"/>
      <c r="O36" s="72"/>
      <c r="P36" s="72"/>
      <c r="Q36" s="72"/>
      <c r="R36" s="72"/>
      <c r="S36" s="72"/>
    </row>
    <row r="37" spans="1:19" x14ac:dyDescent="0.25">
      <c r="A37" s="48" t="s">
        <v>165</v>
      </c>
      <c r="B37" s="9">
        <v>36</v>
      </c>
      <c r="C37" s="4">
        <v>5037</v>
      </c>
      <c r="D37" s="4">
        <v>1174</v>
      </c>
      <c r="E37" s="4">
        <v>1645</v>
      </c>
      <c r="F37" s="4">
        <v>388</v>
      </c>
      <c r="G37" s="43">
        <v>1830</v>
      </c>
      <c r="H37" s="43">
        <v>420</v>
      </c>
      <c r="I37" s="43">
        <v>1562</v>
      </c>
      <c r="J37" s="43">
        <v>366</v>
      </c>
      <c r="L37" s="72"/>
      <c r="M37" s="72"/>
      <c r="N37" s="72"/>
      <c r="O37" s="72"/>
      <c r="P37" s="72"/>
      <c r="Q37" s="72"/>
      <c r="R37" s="72"/>
      <c r="S37" s="72"/>
    </row>
    <row r="38" spans="1:19" x14ac:dyDescent="0.25">
      <c r="A38" s="48" t="s">
        <v>166</v>
      </c>
      <c r="B38" s="9">
        <v>37</v>
      </c>
      <c r="C38" s="4">
        <v>4456</v>
      </c>
      <c r="D38" s="4">
        <v>994</v>
      </c>
      <c r="E38" s="4">
        <v>1568</v>
      </c>
      <c r="F38" s="4">
        <v>348</v>
      </c>
      <c r="G38" s="43">
        <v>1475</v>
      </c>
      <c r="H38" s="43">
        <v>334</v>
      </c>
      <c r="I38" s="43">
        <v>1413</v>
      </c>
      <c r="J38" s="43">
        <v>312</v>
      </c>
      <c r="L38" s="72"/>
      <c r="M38" s="72"/>
      <c r="N38" s="72"/>
      <c r="O38" s="72"/>
      <c r="P38" s="72"/>
      <c r="Q38" s="72"/>
      <c r="R38" s="72"/>
      <c r="S38" s="72"/>
    </row>
    <row r="39" spans="1:19" x14ac:dyDescent="0.25">
      <c r="A39" s="72" t="s">
        <v>166</v>
      </c>
      <c r="B39" s="9">
        <v>38</v>
      </c>
      <c r="C39" s="4">
        <v>3280</v>
      </c>
      <c r="D39" s="4">
        <v>833</v>
      </c>
      <c r="E39" s="4">
        <v>742</v>
      </c>
      <c r="F39" s="4">
        <v>210</v>
      </c>
      <c r="G39" s="43">
        <v>1382</v>
      </c>
      <c r="H39" s="43">
        <v>334</v>
      </c>
      <c r="I39" s="72">
        <v>1156</v>
      </c>
      <c r="J39" s="72">
        <v>289</v>
      </c>
      <c r="L39" s="72"/>
      <c r="M39" s="72"/>
      <c r="N39" s="72"/>
      <c r="O39" s="72"/>
      <c r="P39" s="72"/>
      <c r="Q39" s="72"/>
      <c r="R39" s="72"/>
      <c r="S39" s="72"/>
    </row>
    <row r="40" spans="1:19" x14ac:dyDescent="0.25">
      <c r="A40" s="72" t="s">
        <v>166</v>
      </c>
      <c r="B40" s="9">
        <v>39</v>
      </c>
      <c r="C40" s="4">
        <v>5491</v>
      </c>
      <c r="D40" s="4">
        <v>1244</v>
      </c>
      <c r="E40" s="4">
        <v>1464</v>
      </c>
      <c r="F40" s="4">
        <v>340</v>
      </c>
      <c r="G40" s="72">
        <v>1994</v>
      </c>
      <c r="H40" s="72">
        <v>445</v>
      </c>
      <c r="I40" s="72">
        <v>2033</v>
      </c>
      <c r="J40" s="72">
        <v>459</v>
      </c>
      <c r="L40" s="72"/>
      <c r="M40" s="72"/>
      <c r="N40" s="72"/>
      <c r="O40" s="72"/>
      <c r="P40" s="72"/>
      <c r="Q40" s="72"/>
      <c r="R40" s="72"/>
      <c r="S40" s="72"/>
    </row>
    <row r="41" spans="1:19" x14ac:dyDescent="0.25">
      <c r="A41" s="72" t="s">
        <v>177</v>
      </c>
      <c r="B41" s="9">
        <v>40</v>
      </c>
      <c r="C41" s="4">
        <v>1854</v>
      </c>
      <c r="D41" s="4">
        <v>550</v>
      </c>
      <c r="E41" s="4">
        <v>476</v>
      </c>
      <c r="F41" s="4">
        <v>154</v>
      </c>
      <c r="G41" s="72">
        <v>610</v>
      </c>
      <c r="H41" s="72">
        <v>183</v>
      </c>
      <c r="I41" s="72">
        <v>768</v>
      </c>
      <c r="J41" s="72">
        <v>213</v>
      </c>
      <c r="L41" s="72"/>
      <c r="M41" s="72"/>
      <c r="N41" s="72"/>
      <c r="O41" s="72"/>
      <c r="P41" s="72"/>
      <c r="Q41" s="72"/>
      <c r="R41" s="72"/>
      <c r="S41" s="72"/>
    </row>
    <row r="42" spans="1:19" x14ac:dyDescent="0.25">
      <c r="A42" s="48" t="s">
        <v>177</v>
      </c>
      <c r="B42" s="9">
        <v>41</v>
      </c>
      <c r="C42" s="4">
        <v>3772</v>
      </c>
      <c r="D42" s="4">
        <v>940</v>
      </c>
      <c r="E42" s="4">
        <v>1633</v>
      </c>
      <c r="F42" s="4">
        <v>388</v>
      </c>
      <c r="G42" s="43">
        <v>1040</v>
      </c>
      <c r="H42" s="43">
        <v>266</v>
      </c>
      <c r="I42" s="43">
        <v>1099</v>
      </c>
      <c r="J42" s="43">
        <v>286</v>
      </c>
      <c r="L42" s="72"/>
      <c r="M42" s="72"/>
      <c r="N42" s="72"/>
      <c r="O42" s="72"/>
      <c r="P42" s="72"/>
      <c r="Q42" s="72"/>
      <c r="R42" s="72"/>
      <c r="S42" s="72"/>
    </row>
    <row r="43" spans="1:19" x14ac:dyDescent="0.25">
      <c r="A43" s="48" t="s">
        <v>180</v>
      </c>
      <c r="B43" s="9">
        <v>42</v>
      </c>
      <c r="C43" s="4">
        <v>963</v>
      </c>
      <c r="D43" s="4">
        <v>275</v>
      </c>
      <c r="E43" s="4">
        <v>18</v>
      </c>
      <c r="F43" s="4">
        <v>17</v>
      </c>
      <c r="G43" s="43">
        <v>0</v>
      </c>
      <c r="H43" s="43">
        <v>0</v>
      </c>
      <c r="I43" s="43">
        <v>945</v>
      </c>
      <c r="J43" s="43">
        <v>258</v>
      </c>
      <c r="L43" s="72"/>
      <c r="M43" s="72"/>
      <c r="N43" s="72"/>
      <c r="O43" s="72"/>
      <c r="P43" s="72"/>
      <c r="Q43" s="72"/>
      <c r="R43" s="72"/>
      <c r="S43" s="72"/>
    </row>
    <row r="44" spans="1:19" x14ac:dyDescent="0.25">
      <c r="A44" s="48" t="s">
        <v>180</v>
      </c>
      <c r="B44" s="9">
        <v>43</v>
      </c>
      <c r="C44" s="4">
        <v>2366</v>
      </c>
      <c r="D44" s="4">
        <v>677</v>
      </c>
      <c r="E44" s="4">
        <v>280</v>
      </c>
      <c r="F44" s="4">
        <v>124</v>
      </c>
      <c r="G44" s="43">
        <v>467</v>
      </c>
      <c r="H44" s="43">
        <v>161</v>
      </c>
      <c r="I44" s="43">
        <v>1619</v>
      </c>
      <c r="J44" s="43">
        <v>392</v>
      </c>
      <c r="L44" s="72"/>
      <c r="M44" s="72"/>
      <c r="N44" s="72"/>
      <c r="O44" s="72"/>
      <c r="P44" s="72"/>
      <c r="Q44" s="72"/>
      <c r="R44" s="72"/>
      <c r="S44" s="72"/>
    </row>
    <row r="45" spans="1:19" x14ac:dyDescent="0.25">
      <c r="A45" s="72" t="s">
        <v>180</v>
      </c>
      <c r="B45" s="9">
        <v>44</v>
      </c>
      <c r="C45" s="4">
        <v>2791</v>
      </c>
      <c r="D45" s="4">
        <v>762</v>
      </c>
      <c r="E45" s="4">
        <v>1006</v>
      </c>
      <c r="F45" s="4">
        <v>266</v>
      </c>
      <c r="G45" s="43">
        <v>678</v>
      </c>
      <c r="H45" s="43">
        <v>205</v>
      </c>
      <c r="I45" s="43">
        <v>1107</v>
      </c>
      <c r="J45" s="43">
        <v>291</v>
      </c>
      <c r="L45" s="72"/>
      <c r="M45" s="72"/>
      <c r="N45" s="72"/>
      <c r="O45" s="72"/>
      <c r="P45" s="72"/>
      <c r="Q45" s="72"/>
      <c r="R45" s="72"/>
      <c r="S45" s="72"/>
    </row>
    <row r="46" spans="1:19" x14ac:dyDescent="0.25">
      <c r="A46" s="72" t="s">
        <v>178</v>
      </c>
      <c r="B46" s="9">
        <v>45</v>
      </c>
      <c r="C46" s="4">
        <v>1716</v>
      </c>
      <c r="D46" s="4">
        <v>540</v>
      </c>
      <c r="E46" s="4">
        <v>138</v>
      </c>
      <c r="F46" s="4">
        <v>91</v>
      </c>
      <c r="G46" s="72">
        <v>378</v>
      </c>
      <c r="H46" s="72">
        <v>143</v>
      </c>
      <c r="I46" s="72">
        <v>1200</v>
      </c>
      <c r="J46" s="72">
        <v>306</v>
      </c>
      <c r="L46" s="72"/>
      <c r="M46" s="72"/>
      <c r="N46" s="72"/>
      <c r="O46" s="72"/>
      <c r="P46" s="72"/>
      <c r="Q46" s="72"/>
      <c r="R46" s="72"/>
      <c r="S46" s="72"/>
    </row>
    <row r="47" spans="1:19" x14ac:dyDescent="0.25">
      <c r="A47" s="48" t="s">
        <v>178</v>
      </c>
      <c r="B47" s="9">
        <v>46</v>
      </c>
      <c r="C47" s="73">
        <v>6202</v>
      </c>
      <c r="D47" s="73">
        <v>1434</v>
      </c>
      <c r="E47" s="73">
        <v>1887</v>
      </c>
      <c r="F47" s="73">
        <v>444</v>
      </c>
      <c r="G47" s="72">
        <v>2162</v>
      </c>
      <c r="H47" s="72">
        <v>497</v>
      </c>
      <c r="I47" s="72">
        <v>2153</v>
      </c>
      <c r="J47" s="72">
        <v>493</v>
      </c>
      <c r="L47" s="72"/>
      <c r="M47" s="72"/>
      <c r="N47" s="72"/>
      <c r="O47" s="72"/>
      <c r="P47" s="72"/>
      <c r="Q47" s="72"/>
      <c r="R47" s="72"/>
      <c r="S47" s="72"/>
    </row>
    <row r="48" spans="1:19" x14ac:dyDescent="0.25">
      <c r="A48" s="72" t="s">
        <v>178</v>
      </c>
      <c r="B48" s="9">
        <v>47</v>
      </c>
      <c r="C48" s="4">
        <v>5011</v>
      </c>
      <c r="D48" s="4">
        <v>1207</v>
      </c>
      <c r="E48" s="4">
        <v>1168</v>
      </c>
      <c r="F48" s="4">
        <v>303</v>
      </c>
      <c r="G48" s="72">
        <v>1675</v>
      </c>
      <c r="H48" s="72">
        <v>404</v>
      </c>
      <c r="I48" s="72">
        <v>2168</v>
      </c>
      <c r="J48" s="72">
        <v>500</v>
      </c>
      <c r="L48" s="72"/>
      <c r="M48" s="72"/>
      <c r="N48" s="72"/>
      <c r="O48" s="72"/>
      <c r="P48" s="72"/>
      <c r="Q48" s="72"/>
      <c r="R48" s="72"/>
      <c r="S48" s="72"/>
    </row>
    <row r="49" spans="1:19" x14ac:dyDescent="0.25">
      <c r="A49" s="48" t="s">
        <v>181</v>
      </c>
      <c r="B49" s="9">
        <v>48</v>
      </c>
      <c r="C49" s="4">
        <v>5320</v>
      </c>
      <c r="D49" s="4">
        <v>1269</v>
      </c>
      <c r="E49" s="4">
        <v>1826</v>
      </c>
      <c r="F49" s="4">
        <v>432</v>
      </c>
      <c r="G49" s="72">
        <v>1379</v>
      </c>
      <c r="H49" s="72">
        <v>346</v>
      </c>
      <c r="I49" s="72">
        <v>2115</v>
      </c>
      <c r="J49" s="72">
        <v>491</v>
      </c>
      <c r="L49" s="72"/>
      <c r="M49" s="72"/>
      <c r="N49" s="72"/>
      <c r="O49" s="72"/>
      <c r="P49" s="72"/>
      <c r="Q49" s="72"/>
      <c r="R49" s="72"/>
      <c r="S49" s="72"/>
    </row>
    <row r="50" spans="1:19" x14ac:dyDescent="0.25">
      <c r="A50" s="48" t="s">
        <v>182</v>
      </c>
      <c r="B50" s="9">
        <v>49</v>
      </c>
      <c r="C50" s="4">
        <v>1730</v>
      </c>
      <c r="D50" s="4">
        <v>489</v>
      </c>
      <c r="E50" s="4">
        <v>9</v>
      </c>
      <c r="F50" s="4">
        <v>9</v>
      </c>
      <c r="G50" s="72">
        <v>774</v>
      </c>
      <c r="H50" s="72">
        <v>223</v>
      </c>
      <c r="I50" s="72">
        <v>947</v>
      </c>
      <c r="J50" s="72">
        <v>257</v>
      </c>
      <c r="L50" s="72"/>
      <c r="M50" s="72"/>
      <c r="N50" s="72"/>
      <c r="O50" s="72"/>
      <c r="P50" s="72"/>
      <c r="Q50" s="72"/>
      <c r="R50" s="72"/>
      <c r="S50" s="72"/>
    </row>
    <row r="51" spans="1:19" x14ac:dyDescent="0.25">
      <c r="A51" s="72" t="s">
        <v>182</v>
      </c>
      <c r="B51" s="9">
        <v>50</v>
      </c>
      <c r="C51" s="4">
        <v>11</v>
      </c>
      <c r="D51" s="4">
        <v>11</v>
      </c>
      <c r="E51" s="4">
        <v>9</v>
      </c>
      <c r="F51" s="4">
        <v>9</v>
      </c>
      <c r="G51" s="72">
        <v>1</v>
      </c>
      <c r="H51" s="72">
        <v>1</v>
      </c>
      <c r="I51" s="72">
        <v>1</v>
      </c>
      <c r="J51" s="72">
        <v>1</v>
      </c>
      <c r="L51" s="72"/>
      <c r="M51" s="72"/>
      <c r="N51" s="72"/>
      <c r="O51" s="72"/>
      <c r="P51" s="72"/>
      <c r="Q51" s="72"/>
      <c r="R51" s="72"/>
      <c r="S51" s="72"/>
    </row>
    <row r="52" spans="1:19" x14ac:dyDescent="0.25">
      <c r="A52" s="48" t="s">
        <v>182</v>
      </c>
      <c r="B52" s="9">
        <v>51</v>
      </c>
      <c r="C52" s="4">
        <v>9</v>
      </c>
      <c r="D52" s="4">
        <v>9</v>
      </c>
      <c r="E52" s="4">
        <v>5</v>
      </c>
      <c r="F52" s="4">
        <v>5</v>
      </c>
      <c r="G52" s="72">
        <v>3</v>
      </c>
      <c r="H52" s="72">
        <v>3</v>
      </c>
      <c r="I52" s="72">
        <v>1</v>
      </c>
      <c r="J52" s="72">
        <v>1</v>
      </c>
      <c r="L52" s="72"/>
      <c r="M52" s="72"/>
      <c r="N52" s="72"/>
      <c r="O52" s="72"/>
      <c r="P52" s="72"/>
      <c r="Q52" s="72"/>
      <c r="R52" s="72"/>
      <c r="S52" s="72"/>
    </row>
    <row r="53" spans="1:19" x14ac:dyDescent="0.25">
      <c r="A53" s="57" t="s">
        <v>183</v>
      </c>
      <c r="B53" s="9">
        <v>52</v>
      </c>
      <c r="C53" s="4">
        <v>55</v>
      </c>
      <c r="D53" s="4">
        <v>47</v>
      </c>
      <c r="E53" s="4">
        <v>9</v>
      </c>
      <c r="F53" s="4">
        <v>9</v>
      </c>
      <c r="G53" s="72">
        <v>1</v>
      </c>
      <c r="H53" s="72">
        <v>1</v>
      </c>
      <c r="I53" s="72">
        <v>45</v>
      </c>
      <c r="J53" s="72">
        <v>37</v>
      </c>
      <c r="L53" s="72"/>
      <c r="M53" s="72"/>
      <c r="N53" s="72"/>
      <c r="O53" s="72"/>
      <c r="P53" s="72"/>
      <c r="Q53" s="72"/>
      <c r="R53" s="72"/>
      <c r="S53" s="72"/>
    </row>
    <row r="54" spans="1:19" x14ac:dyDescent="0.25">
      <c r="A54" s="57" t="s">
        <v>183</v>
      </c>
      <c r="B54" s="9">
        <v>53</v>
      </c>
      <c r="C54" s="4">
        <v>11</v>
      </c>
      <c r="D54" s="4">
        <v>11</v>
      </c>
      <c r="E54" s="4">
        <v>6</v>
      </c>
      <c r="F54" s="4">
        <v>6</v>
      </c>
      <c r="G54" s="43">
        <v>4</v>
      </c>
      <c r="H54" s="43">
        <v>4</v>
      </c>
      <c r="I54" s="43">
        <v>1</v>
      </c>
      <c r="J54" s="43">
        <v>1</v>
      </c>
      <c r="L54" s="72"/>
      <c r="M54" s="72"/>
      <c r="N54" s="72"/>
      <c r="O54" s="72"/>
      <c r="P54" s="72"/>
      <c r="Q54" s="72"/>
      <c r="R54" s="72"/>
      <c r="S54" s="72"/>
    </row>
    <row r="55" spans="1:19" x14ac:dyDescent="0.25">
      <c r="A55" s="48" t="s">
        <v>181</v>
      </c>
      <c r="B55" s="9">
        <v>54</v>
      </c>
      <c r="C55" s="4">
        <v>5791</v>
      </c>
      <c r="D55" s="4">
        <v>1285</v>
      </c>
      <c r="E55" s="4">
        <v>1605</v>
      </c>
      <c r="F55" s="4">
        <v>362</v>
      </c>
      <c r="G55" s="43">
        <v>2091</v>
      </c>
      <c r="H55" s="43">
        <v>456</v>
      </c>
      <c r="I55" s="43">
        <v>2095</v>
      </c>
      <c r="J55" s="43">
        <v>467</v>
      </c>
      <c r="L55" s="72"/>
      <c r="M55" s="72"/>
      <c r="N55" s="72"/>
      <c r="O55" s="72"/>
      <c r="P55" s="72"/>
      <c r="Q55" s="72"/>
      <c r="R55" s="72"/>
      <c r="S55" s="72"/>
    </row>
    <row r="56" spans="1:19" x14ac:dyDescent="0.25">
      <c r="A56" s="48" t="s">
        <v>184</v>
      </c>
      <c r="B56" s="9">
        <v>55</v>
      </c>
      <c r="C56" s="4">
        <v>1743</v>
      </c>
      <c r="D56" s="4">
        <v>503</v>
      </c>
      <c r="E56" s="4">
        <v>65</v>
      </c>
      <c r="F56" s="4">
        <v>56</v>
      </c>
      <c r="G56" s="43">
        <v>704</v>
      </c>
      <c r="H56" s="43">
        <v>201</v>
      </c>
      <c r="I56" s="43">
        <v>974</v>
      </c>
      <c r="J56" s="43">
        <v>246</v>
      </c>
      <c r="L56" s="72"/>
      <c r="M56" s="72"/>
      <c r="N56" s="72"/>
      <c r="O56" s="72"/>
      <c r="P56" s="72"/>
      <c r="Q56" s="72"/>
      <c r="R56" s="72"/>
      <c r="S56" s="72"/>
    </row>
    <row r="57" spans="1:19" x14ac:dyDescent="0.25">
      <c r="A57" s="48" t="s">
        <v>184</v>
      </c>
      <c r="B57" s="9">
        <v>56</v>
      </c>
      <c r="C57" s="4">
        <v>1</v>
      </c>
      <c r="D57" s="4">
        <v>1</v>
      </c>
      <c r="E57" s="4">
        <v>0</v>
      </c>
      <c r="F57" s="4">
        <v>0</v>
      </c>
      <c r="G57" s="43">
        <v>1</v>
      </c>
      <c r="H57" s="43">
        <v>1</v>
      </c>
      <c r="I57" s="43">
        <v>0</v>
      </c>
      <c r="J57" s="43">
        <v>0</v>
      </c>
      <c r="L57" s="72"/>
      <c r="M57" s="72"/>
      <c r="N57" s="72"/>
      <c r="O57" s="72"/>
      <c r="P57" s="72"/>
      <c r="Q57" s="72"/>
      <c r="R57" s="72"/>
      <c r="S57" s="72"/>
    </row>
    <row r="58" spans="1:19" x14ac:dyDescent="0.25">
      <c r="A58" s="48" t="s">
        <v>166</v>
      </c>
      <c r="B58" s="9">
        <v>57</v>
      </c>
      <c r="C58" s="4">
        <v>2980</v>
      </c>
      <c r="D58" s="4">
        <v>793</v>
      </c>
      <c r="E58" s="4">
        <v>646</v>
      </c>
      <c r="F58" s="4">
        <v>196</v>
      </c>
      <c r="G58" s="43">
        <v>1240</v>
      </c>
      <c r="H58" s="43">
        <v>312</v>
      </c>
      <c r="I58" s="43">
        <v>1094</v>
      </c>
      <c r="J58" s="43">
        <v>285</v>
      </c>
      <c r="L58" s="72"/>
      <c r="M58" s="72"/>
      <c r="N58" s="72"/>
      <c r="O58" s="72"/>
      <c r="P58" s="72"/>
      <c r="Q58" s="72"/>
      <c r="R58" s="72"/>
      <c r="S58" s="72"/>
    </row>
    <row r="59" spans="1:19" x14ac:dyDescent="0.25">
      <c r="A59" s="72" t="s">
        <v>166</v>
      </c>
      <c r="B59" s="9">
        <v>58</v>
      </c>
      <c r="C59" s="4">
        <v>2072</v>
      </c>
      <c r="D59" s="4">
        <v>608</v>
      </c>
      <c r="E59" s="4">
        <v>638</v>
      </c>
      <c r="F59" s="4">
        <v>191</v>
      </c>
      <c r="G59" s="72">
        <v>792</v>
      </c>
      <c r="H59" s="72">
        <v>222</v>
      </c>
      <c r="I59" s="72">
        <v>642</v>
      </c>
      <c r="J59" s="72">
        <v>195</v>
      </c>
      <c r="L59" s="72"/>
      <c r="M59" s="72"/>
      <c r="N59" s="72"/>
      <c r="O59" s="72"/>
      <c r="P59" s="72"/>
      <c r="Q59" s="72"/>
      <c r="R59" s="72"/>
      <c r="S59" s="72"/>
    </row>
    <row r="60" spans="1:19" x14ac:dyDescent="0.25">
      <c r="A60" s="48" t="s">
        <v>177</v>
      </c>
      <c r="B60" s="9">
        <v>59</v>
      </c>
      <c r="C60" s="4">
        <v>23</v>
      </c>
      <c r="D60" s="4">
        <v>22</v>
      </c>
      <c r="E60" s="4">
        <v>16</v>
      </c>
      <c r="F60" s="4">
        <v>15</v>
      </c>
      <c r="G60" s="43">
        <v>5</v>
      </c>
      <c r="H60" s="43">
        <v>5</v>
      </c>
      <c r="I60" s="43">
        <v>2</v>
      </c>
      <c r="J60" s="43">
        <v>2</v>
      </c>
      <c r="L60" s="72"/>
      <c r="M60" s="72"/>
      <c r="N60" s="72"/>
      <c r="O60" s="72"/>
      <c r="P60" s="72"/>
      <c r="Q60" s="72"/>
      <c r="R60" s="72"/>
      <c r="S60" s="72"/>
    </row>
    <row r="61" spans="1:19" x14ac:dyDescent="0.25">
      <c r="A61" s="48" t="s">
        <v>177</v>
      </c>
      <c r="B61" s="9">
        <v>60</v>
      </c>
      <c r="C61" s="4">
        <v>753</v>
      </c>
      <c r="D61" s="4">
        <v>354</v>
      </c>
      <c r="E61" s="4">
        <v>246</v>
      </c>
      <c r="F61" s="4">
        <v>116</v>
      </c>
      <c r="G61" s="43">
        <v>274</v>
      </c>
      <c r="H61" s="43">
        <v>122</v>
      </c>
      <c r="I61" s="43">
        <v>233</v>
      </c>
      <c r="J61" s="43">
        <v>116</v>
      </c>
      <c r="L61" s="72"/>
      <c r="M61" s="72"/>
      <c r="N61" s="72"/>
      <c r="O61" s="72"/>
      <c r="P61" s="72"/>
      <c r="Q61" s="72"/>
      <c r="R61" s="72"/>
      <c r="S61" s="72"/>
    </row>
    <row r="62" spans="1:19" x14ac:dyDescent="0.25">
      <c r="A62" s="48" t="s">
        <v>167</v>
      </c>
      <c r="B62" s="9">
        <v>61</v>
      </c>
      <c r="C62" s="4">
        <v>6</v>
      </c>
      <c r="D62" s="4">
        <v>6</v>
      </c>
      <c r="E62" s="4">
        <v>5</v>
      </c>
      <c r="F62" s="4">
        <v>5</v>
      </c>
      <c r="G62" s="43">
        <v>0</v>
      </c>
      <c r="H62" s="43">
        <v>0</v>
      </c>
      <c r="I62" s="43">
        <v>1</v>
      </c>
      <c r="J62" s="43">
        <v>1</v>
      </c>
      <c r="L62" s="72"/>
      <c r="M62" s="72"/>
      <c r="N62" s="72"/>
      <c r="O62" s="72"/>
      <c r="P62" s="72"/>
      <c r="Q62" s="72"/>
      <c r="R62" s="72"/>
      <c r="S62" s="72"/>
    </row>
    <row r="63" spans="1:19" x14ac:dyDescent="0.25">
      <c r="A63" s="48" t="s">
        <v>167</v>
      </c>
      <c r="B63" s="9">
        <v>62</v>
      </c>
      <c r="C63" s="4">
        <v>3265</v>
      </c>
      <c r="D63" s="4">
        <v>844</v>
      </c>
      <c r="E63" s="4">
        <v>182</v>
      </c>
      <c r="F63" s="4">
        <v>102</v>
      </c>
      <c r="G63" s="72">
        <v>1306</v>
      </c>
      <c r="H63" s="72">
        <v>325</v>
      </c>
      <c r="I63" s="72">
        <v>1777</v>
      </c>
      <c r="J63" s="72">
        <v>417</v>
      </c>
      <c r="L63" s="72"/>
      <c r="M63" s="72"/>
      <c r="N63" s="72"/>
      <c r="O63" s="72"/>
      <c r="P63" s="72"/>
      <c r="Q63" s="72"/>
      <c r="R63" s="72"/>
      <c r="S63" s="72"/>
    </row>
    <row r="64" spans="1:19" x14ac:dyDescent="0.25">
      <c r="A64" s="48" t="s">
        <v>167</v>
      </c>
      <c r="B64" s="9">
        <v>63</v>
      </c>
      <c r="C64" s="4">
        <v>3</v>
      </c>
      <c r="D64" s="4">
        <v>3</v>
      </c>
      <c r="E64" s="4">
        <v>1</v>
      </c>
      <c r="F64" s="4">
        <v>1</v>
      </c>
      <c r="G64" s="43">
        <v>1</v>
      </c>
      <c r="H64" s="43">
        <v>1</v>
      </c>
      <c r="I64" s="43">
        <v>1</v>
      </c>
      <c r="J64" s="43">
        <v>1</v>
      </c>
      <c r="L64" s="72"/>
      <c r="M64" s="72"/>
      <c r="N64" s="72"/>
      <c r="O64" s="72"/>
      <c r="P64" s="72"/>
      <c r="Q64" s="72"/>
      <c r="R64" s="72"/>
      <c r="S64" s="72"/>
    </row>
    <row r="65" spans="1:19" x14ac:dyDescent="0.25">
      <c r="A65" s="48" t="s">
        <v>168</v>
      </c>
      <c r="B65" s="9">
        <v>64</v>
      </c>
      <c r="C65" s="4">
        <v>1670</v>
      </c>
      <c r="D65" s="4">
        <v>536</v>
      </c>
      <c r="E65" s="4">
        <v>978</v>
      </c>
      <c r="F65" s="4">
        <v>261</v>
      </c>
      <c r="G65" s="43">
        <v>387</v>
      </c>
      <c r="H65" s="43">
        <v>145</v>
      </c>
      <c r="I65" s="43">
        <v>305</v>
      </c>
      <c r="J65" s="43">
        <v>130</v>
      </c>
      <c r="L65" s="72"/>
      <c r="M65" s="72"/>
      <c r="N65" s="72"/>
      <c r="O65" s="72"/>
      <c r="P65" s="72"/>
      <c r="Q65" s="72"/>
      <c r="R65" s="72"/>
      <c r="S65" s="72"/>
    </row>
    <row r="66" spans="1:19" x14ac:dyDescent="0.25">
      <c r="A66" s="72" t="s">
        <v>168</v>
      </c>
      <c r="B66" s="9">
        <v>65</v>
      </c>
      <c r="C66" s="4">
        <v>353</v>
      </c>
      <c r="D66" s="4">
        <v>188</v>
      </c>
      <c r="E66" s="4">
        <v>24</v>
      </c>
      <c r="F66" s="4">
        <v>22</v>
      </c>
      <c r="G66" s="43">
        <v>45</v>
      </c>
      <c r="H66" s="43">
        <v>43</v>
      </c>
      <c r="I66" s="43">
        <v>284</v>
      </c>
      <c r="J66" s="43">
        <v>123</v>
      </c>
      <c r="L66" s="72"/>
      <c r="M66" s="72"/>
      <c r="N66" s="72"/>
      <c r="O66" s="72"/>
      <c r="P66" s="72"/>
      <c r="Q66" s="72"/>
      <c r="R66" s="72"/>
      <c r="S66" s="72"/>
    </row>
    <row r="67" spans="1:19" x14ac:dyDescent="0.25">
      <c r="A67" s="48" t="s">
        <v>169</v>
      </c>
      <c r="B67" s="9">
        <v>66</v>
      </c>
      <c r="C67" s="4">
        <v>10</v>
      </c>
      <c r="D67" s="4">
        <v>9</v>
      </c>
      <c r="E67" s="4">
        <v>9</v>
      </c>
      <c r="F67" s="4">
        <v>8</v>
      </c>
      <c r="G67" s="72">
        <v>0</v>
      </c>
      <c r="H67" s="72">
        <v>0</v>
      </c>
      <c r="I67" s="72">
        <v>1</v>
      </c>
      <c r="J67" s="72">
        <v>1</v>
      </c>
      <c r="L67" s="72"/>
      <c r="M67" s="72"/>
      <c r="N67" s="72"/>
      <c r="O67" s="72"/>
      <c r="P67" s="72"/>
      <c r="Q67" s="72"/>
      <c r="R67" s="72"/>
      <c r="S67" s="72"/>
    </row>
    <row r="68" spans="1:19" x14ac:dyDescent="0.25">
      <c r="A68" s="72" t="s">
        <v>169</v>
      </c>
      <c r="B68" s="9">
        <v>67</v>
      </c>
      <c r="C68" s="4">
        <v>5</v>
      </c>
      <c r="D68" s="4">
        <v>4</v>
      </c>
      <c r="E68" s="4">
        <v>3</v>
      </c>
      <c r="F68" s="4">
        <v>2</v>
      </c>
      <c r="G68" s="72">
        <v>2</v>
      </c>
      <c r="H68" s="72">
        <v>2</v>
      </c>
      <c r="I68" s="72">
        <v>0</v>
      </c>
      <c r="J68" s="72">
        <v>0</v>
      </c>
      <c r="L68" s="72"/>
      <c r="M68" s="72"/>
      <c r="N68" s="72"/>
      <c r="O68" s="72"/>
      <c r="P68" s="72"/>
      <c r="Q68" s="72"/>
      <c r="R68" s="72"/>
      <c r="S68" s="72"/>
    </row>
    <row r="69" spans="1:19" x14ac:dyDescent="0.25">
      <c r="A69" s="72" t="s">
        <v>170</v>
      </c>
      <c r="B69" s="9">
        <v>68</v>
      </c>
      <c r="C69" s="4">
        <v>10</v>
      </c>
      <c r="D69" s="4">
        <v>8</v>
      </c>
      <c r="E69" s="4">
        <v>8</v>
      </c>
      <c r="F69" s="4">
        <v>6</v>
      </c>
      <c r="G69" s="72">
        <v>1</v>
      </c>
      <c r="H69" s="72">
        <v>1</v>
      </c>
      <c r="I69" s="72">
        <v>1</v>
      </c>
      <c r="J69" s="72">
        <v>1</v>
      </c>
      <c r="L69" s="72"/>
      <c r="M69" s="72"/>
      <c r="N69" s="72"/>
      <c r="O69" s="72"/>
      <c r="P69" s="72"/>
      <c r="Q69" s="72"/>
      <c r="R69" s="72"/>
      <c r="S69" s="72"/>
    </row>
    <row r="70" spans="1:19" x14ac:dyDescent="0.25">
      <c r="A70" s="72" t="s">
        <v>170</v>
      </c>
      <c r="B70" s="9">
        <v>69</v>
      </c>
      <c r="C70" s="4">
        <v>7</v>
      </c>
      <c r="D70" s="4">
        <v>7</v>
      </c>
      <c r="E70" s="73">
        <v>4</v>
      </c>
      <c r="F70" s="73">
        <v>4</v>
      </c>
      <c r="G70" s="43">
        <v>1</v>
      </c>
      <c r="H70" s="43">
        <v>1</v>
      </c>
      <c r="I70" s="43">
        <v>2</v>
      </c>
      <c r="J70" s="43">
        <v>2</v>
      </c>
      <c r="L70" s="72"/>
      <c r="M70" s="72"/>
      <c r="N70" s="72"/>
      <c r="O70" s="72"/>
      <c r="P70" s="72"/>
      <c r="Q70" s="72"/>
      <c r="R70" s="72"/>
      <c r="S70" s="72"/>
    </row>
    <row r="71" spans="1:19" x14ac:dyDescent="0.25">
      <c r="A71" s="72" t="s">
        <v>183</v>
      </c>
      <c r="B71" s="9">
        <v>70</v>
      </c>
      <c r="C71" s="4">
        <v>4426</v>
      </c>
      <c r="D71" s="4">
        <v>1077</v>
      </c>
      <c r="E71" s="73">
        <v>1212</v>
      </c>
      <c r="F71" s="73">
        <v>308</v>
      </c>
      <c r="G71" s="72">
        <v>1289</v>
      </c>
      <c r="H71" s="72">
        <v>323</v>
      </c>
      <c r="I71" s="72">
        <v>1925</v>
      </c>
      <c r="J71" s="72">
        <v>446</v>
      </c>
      <c r="L71" s="72"/>
      <c r="M71" s="72"/>
      <c r="N71" s="72"/>
      <c r="O71" s="72"/>
      <c r="P71" s="72"/>
      <c r="Q71" s="72"/>
      <c r="R71" s="72"/>
      <c r="S71" s="72"/>
    </row>
    <row r="72" spans="1:19" x14ac:dyDescent="0.25">
      <c r="A72" s="72" t="s">
        <v>183</v>
      </c>
      <c r="B72" s="9">
        <v>71</v>
      </c>
      <c r="C72" s="4">
        <v>0</v>
      </c>
      <c r="D72" s="4">
        <v>0</v>
      </c>
      <c r="E72" s="73">
        <v>0</v>
      </c>
      <c r="F72" s="73">
        <v>0</v>
      </c>
      <c r="G72" s="72">
        <v>0</v>
      </c>
      <c r="H72" s="72">
        <v>0</v>
      </c>
      <c r="I72" s="72">
        <v>0</v>
      </c>
      <c r="J72" s="72">
        <v>0</v>
      </c>
      <c r="L72" s="72"/>
      <c r="M72" s="72"/>
      <c r="N72" s="72"/>
      <c r="O72" s="72"/>
      <c r="P72" s="72"/>
      <c r="Q72" s="72"/>
      <c r="R72" s="72"/>
      <c r="S72" s="72"/>
    </row>
    <row r="73" spans="1:19" x14ac:dyDescent="0.25">
      <c r="A73" s="72" t="s">
        <v>183</v>
      </c>
      <c r="B73" s="9">
        <v>72</v>
      </c>
      <c r="C73" s="73">
        <v>2404</v>
      </c>
      <c r="D73" s="73">
        <v>688</v>
      </c>
      <c r="E73" s="73">
        <v>317</v>
      </c>
      <c r="F73" s="73">
        <v>133</v>
      </c>
      <c r="G73" s="43">
        <v>780</v>
      </c>
      <c r="H73" s="43">
        <v>224</v>
      </c>
      <c r="I73" s="43">
        <v>1307</v>
      </c>
      <c r="J73" s="43">
        <v>331</v>
      </c>
      <c r="L73" s="72"/>
      <c r="M73" s="72"/>
      <c r="N73" s="72"/>
      <c r="O73" s="72"/>
      <c r="P73" s="72"/>
      <c r="Q73" s="72"/>
      <c r="R73" s="72"/>
      <c r="S73" s="72"/>
    </row>
    <row r="74" spans="1:19" x14ac:dyDescent="0.25">
      <c r="A74" s="72" t="s">
        <v>175</v>
      </c>
      <c r="B74" s="9">
        <v>73</v>
      </c>
      <c r="C74" s="4">
        <v>401</v>
      </c>
      <c r="D74" s="4">
        <v>157</v>
      </c>
      <c r="E74" s="4">
        <v>6</v>
      </c>
      <c r="F74" s="4">
        <v>6</v>
      </c>
      <c r="G74" s="72">
        <v>6</v>
      </c>
      <c r="H74" s="72">
        <v>6</v>
      </c>
      <c r="I74" s="72">
        <v>389</v>
      </c>
      <c r="J74" s="72">
        <v>145</v>
      </c>
      <c r="L74" s="72"/>
      <c r="M74" s="72"/>
      <c r="N74" s="72"/>
      <c r="O74" s="72"/>
      <c r="P74" s="72"/>
      <c r="Q74" s="72"/>
      <c r="R74" s="72"/>
      <c r="S74" s="72"/>
    </row>
    <row r="75" spans="1:19" x14ac:dyDescent="0.25">
      <c r="A75" s="72" t="s">
        <v>175</v>
      </c>
      <c r="B75" s="9">
        <v>74</v>
      </c>
      <c r="C75" s="4">
        <v>4768</v>
      </c>
      <c r="D75" s="4">
        <v>1128</v>
      </c>
      <c r="E75" s="4">
        <v>908</v>
      </c>
      <c r="F75" s="4">
        <v>246</v>
      </c>
      <c r="G75" s="72">
        <v>1605</v>
      </c>
      <c r="H75" s="72">
        <v>382</v>
      </c>
      <c r="I75" s="72">
        <v>2255</v>
      </c>
      <c r="J75" s="72">
        <v>500</v>
      </c>
      <c r="L75" s="72"/>
      <c r="M75" s="72"/>
      <c r="N75" s="72"/>
      <c r="O75" s="72"/>
      <c r="P75" s="72"/>
      <c r="Q75" s="72"/>
      <c r="R75" s="72"/>
      <c r="S75" s="72"/>
    </row>
    <row r="76" spans="1:19" x14ac:dyDescent="0.25">
      <c r="A76" s="48" t="s">
        <v>175</v>
      </c>
      <c r="B76" s="9">
        <v>75</v>
      </c>
      <c r="C76" s="4">
        <v>965</v>
      </c>
      <c r="D76" s="4">
        <v>389</v>
      </c>
      <c r="E76" s="4">
        <v>237</v>
      </c>
      <c r="F76" s="4">
        <v>115</v>
      </c>
      <c r="G76" s="43">
        <v>314</v>
      </c>
      <c r="H76" s="43">
        <v>128</v>
      </c>
      <c r="I76" s="43">
        <v>414</v>
      </c>
      <c r="J76" s="43">
        <v>146</v>
      </c>
      <c r="L76" s="72"/>
      <c r="M76" s="72"/>
      <c r="N76" s="72"/>
      <c r="O76" s="72"/>
      <c r="P76" s="72"/>
      <c r="Q76" s="72"/>
      <c r="R76" s="72"/>
      <c r="S76" s="72"/>
    </row>
    <row r="77" spans="1:19" x14ac:dyDescent="0.25">
      <c r="A77" s="48" t="s">
        <v>186</v>
      </c>
      <c r="B77" s="9">
        <v>76</v>
      </c>
      <c r="C77" s="73">
        <v>125</v>
      </c>
      <c r="D77" s="73">
        <v>88</v>
      </c>
      <c r="E77" s="73">
        <v>12</v>
      </c>
      <c r="F77" s="73">
        <v>10</v>
      </c>
      <c r="G77" s="72">
        <v>9</v>
      </c>
      <c r="H77" s="43">
        <v>9</v>
      </c>
      <c r="I77" s="72">
        <v>104</v>
      </c>
      <c r="J77" s="43">
        <v>69</v>
      </c>
      <c r="L77" s="72"/>
      <c r="M77" s="72"/>
      <c r="N77" s="72"/>
      <c r="O77" s="72"/>
      <c r="P77" s="72"/>
      <c r="Q77" s="72"/>
      <c r="R77" s="72"/>
      <c r="S77" s="72"/>
    </row>
    <row r="78" spans="1:19" x14ac:dyDescent="0.25">
      <c r="A78" s="48" t="s">
        <v>186</v>
      </c>
      <c r="B78" s="9">
        <v>77</v>
      </c>
      <c r="C78" s="4">
        <v>5390</v>
      </c>
      <c r="D78" s="4">
        <v>1226</v>
      </c>
      <c r="E78" s="4">
        <v>1337</v>
      </c>
      <c r="F78" s="4">
        <v>319</v>
      </c>
      <c r="G78" s="43">
        <v>1777</v>
      </c>
      <c r="H78" s="43">
        <v>407</v>
      </c>
      <c r="I78" s="43">
        <v>2276</v>
      </c>
      <c r="J78" s="43">
        <v>500</v>
      </c>
      <c r="L78" s="72"/>
      <c r="M78" s="72"/>
      <c r="N78" s="72"/>
      <c r="O78" s="72"/>
      <c r="P78" s="72"/>
      <c r="Q78" s="72"/>
      <c r="R78" s="72"/>
      <c r="S78" s="72"/>
    </row>
    <row r="79" spans="1:19" x14ac:dyDescent="0.25">
      <c r="A79" s="48" t="s">
        <v>176</v>
      </c>
      <c r="B79" s="9">
        <v>78</v>
      </c>
      <c r="C79" s="4">
        <v>812</v>
      </c>
      <c r="D79" s="4">
        <v>368</v>
      </c>
      <c r="E79" s="4">
        <v>274</v>
      </c>
      <c r="F79" s="4">
        <v>124</v>
      </c>
      <c r="G79" s="43">
        <v>205</v>
      </c>
      <c r="H79" s="43">
        <v>109</v>
      </c>
      <c r="I79" s="43">
        <v>333</v>
      </c>
      <c r="J79" s="43">
        <v>135</v>
      </c>
      <c r="L79" s="72"/>
      <c r="M79" s="72"/>
      <c r="N79" s="72"/>
      <c r="O79" s="72"/>
      <c r="P79" s="72"/>
      <c r="Q79" s="72"/>
      <c r="R79" s="72"/>
      <c r="S79" s="72"/>
    </row>
    <row r="80" spans="1:19" x14ac:dyDescent="0.25">
      <c r="A80" s="48" t="s">
        <v>176</v>
      </c>
      <c r="B80" s="9">
        <v>79</v>
      </c>
      <c r="C80" s="4">
        <v>1382</v>
      </c>
      <c r="D80" s="4">
        <v>481</v>
      </c>
      <c r="E80" s="4">
        <v>194</v>
      </c>
      <c r="F80" s="4">
        <v>106</v>
      </c>
      <c r="G80" s="43">
        <v>410</v>
      </c>
      <c r="H80" s="43">
        <v>150</v>
      </c>
      <c r="I80" s="43">
        <v>778</v>
      </c>
      <c r="J80" s="43">
        <v>225</v>
      </c>
      <c r="L80" s="72"/>
      <c r="M80" s="72"/>
      <c r="N80" s="72"/>
      <c r="O80" s="72"/>
      <c r="P80" s="72"/>
      <c r="Q80" s="72"/>
      <c r="R80" s="72"/>
      <c r="S80" s="72"/>
    </row>
    <row r="81" spans="1:19" x14ac:dyDescent="0.25">
      <c r="A81" s="72" t="s">
        <v>176</v>
      </c>
      <c r="B81" s="9">
        <v>80</v>
      </c>
      <c r="C81" s="4">
        <v>8</v>
      </c>
      <c r="D81" s="4">
        <v>8</v>
      </c>
      <c r="E81" s="4">
        <v>5</v>
      </c>
      <c r="F81" s="4">
        <v>5</v>
      </c>
      <c r="G81" s="72">
        <v>1</v>
      </c>
      <c r="H81" s="72">
        <v>1</v>
      </c>
      <c r="I81" s="72">
        <v>2</v>
      </c>
      <c r="J81" s="72">
        <v>2</v>
      </c>
      <c r="L81" s="72"/>
      <c r="M81" s="72"/>
      <c r="N81" s="72"/>
      <c r="O81" s="72"/>
      <c r="P81" s="72"/>
      <c r="Q81" s="72"/>
      <c r="R81" s="72"/>
      <c r="S81" s="72"/>
    </row>
    <row r="82" spans="1:19" x14ac:dyDescent="0.25">
      <c r="A82" s="48" t="s">
        <v>174</v>
      </c>
      <c r="B82" s="9">
        <v>81</v>
      </c>
      <c r="C82" s="4">
        <v>5</v>
      </c>
      <c r="D82" s="4">
        <v>5</v>
      </c>
      <c r="E82" s="4">
        <v>5</v>
      </c>
      <c r="F82" s="4">
        <v>5</v>
      </c>
      <c r="G82" s="43">
        <v>0</v>
      </c>
      <c r="H82" s="43">
        <v>0</v>
      </c>
      <c r="I82" s="43">
        <v>0</v>
      </c>
      <c r="J82" s="43">
        <v>0</v>
      </c>
      <c r="L82" s="72"/>
      <c r="M82" s="72"/>
      <c r="N82" s="72"/>
      <c r="O82" s="72"/>
      <c r="P82" s="72"/>
      <c r="Q82" s="72"/>
      <c r="R82" s="72"/>
      <c r="S82" s="72"/>
    </row>
    <row r="83" spans="1:19" x14ac:dyDescent="0.25">
      <c r="A83" s="48" t="s">
        <v>174</v>
      </c>
      <c r="B83" s="9">
        <v>82</v>
      </c>
      <c r="C83" s="4">
        <v>5</v>
      </c>
      <c r="D83" s="4">
        <v>5</v>
      </c>
      <c r="E83" s="4">
        <v>4</v>
      </c>
      <c r="F83" s="4">
        <v>4</v>
      </c>
      <c r="G83" s="43">
        <v>1</v>
      </c>
      <c r="H83" s="43">
        <v>1</v>
      </c>
      <c r="I83" s="43">
        <v>0</v>
      </c>
      <c r="J83" s="43">
        <v>0</v>
      </c>
      <c r="L83" s="72"/>
      <c r="M83" s="72"/>
      <c r="N83" s="72"/>
      <c r="O83" s="72"/>
      <c r="P83" s="72"/>
      <c r="Q83" s="72"/>
      <c r="R83" s="72"/>
      <c r="S83" s="72"/>
    </row>
    <row r="84" spans="1:19" x14ac:dyDescent="0.25">
      <c r="A84" s="72" t="s">
        <v>171</v>
      </c>
      <c r="B84" s="9">
        <v>83</v>
      </c>
      <c r="C84" s="4">
        <v>485</v>
      </c>
      <c r="D84" s="4">
        <v>171</v>
      </c>
      <c r="E84" s="4">
        <v>4</v>
      </c>
      <c r="F84" s="4">
        <v>4</v>
      </c>
      <c r="G84" s="72">
        <v>2</v>
      </c>
      <c r="H84" s="72">
        <v>2</v>
      </c>
      <c r="I84" s="72">
        <v>479</v>
      </c>
      <c r="J84" s="72">
        <v>165</v>
      </c>
      <c r="L84" s="72"/>
      <c r="M84" s="72"/>
      <c r="N84" s="72"/>
      <c r="O84" s="72"/>
      <c r="P84" s="72"/>
      <c r="Q84" s="72"/>
      <c r="R84" s="72"/>
      <c r="S84" s="72"/>
    </row>
    <row r="85" spans="1:19" x14ac:dyDescent="0.25">
      <c r="A85" s="72" t="s">
        <v>171</v>
      </c>
      <c r="B85" s="9">
        <v>84</v>
      </c>
      <c r="C85" s="4">
        <v>0</v>
      </c>
      <c r="D85" s="4">
        <v>0</v>
      </c>
      <c r="E85" s="4">
        <v>0</v>
      </c>
      <c r="F85" s="4">
        <v>0</v>
      </c>
      <c r="G85" s="43">
        <v>0</v>
      </c>
      <c r="H85" s="43">
        <v>0</v>
      </c>
      <c r="I85" s="43">
        <v>0</v>
      </c>
      <c r="J85" s="43">
        <v>0</v>
      </c>
      <c r="L85" s="72"/>
      <c r="M85" s="72"/>
      <c r="N85" s="72"/>
      <c r="O85" s="72"/>
      <c r="P85" s="72"/>
      <c r="Q85" s="72"/>
      <c r="R85" s="72"/>
      <c r="S85" s="72"/>
    </row>
    <row r="86" spans="1:19" x14ac:dyDescent="0.25">
      <c r="A86" s="48" t="s">
        <v>169</v>
      </c>
      <c r="B86" s="9">
        <v>85</v>
      </c>
      <c r="C86" s="4">
        <v>85</v>
      </c>
      <c r="D86" s="4">
        <v>70</v>
      </c>
      <c r="E86" s="4">
        <v>4</v>
      </c>
      <c r="F86" s="4">
        <v>4</v>
      </c>
      <c r="G86" s="43">
        <v>4</v>
      </c>
      <c r="H86" s="43">
        <v>4</v>
      </c>
      <c r="I86" s="43">
        <v>77</v>
      </c>
      <c r="J86" s="43">
        <v>62</v>
      </c>
      <c r="L86" s="72"/>
      <c r="M86" s="72"/>
      <c r="N86" s="72"/>
      <c r="O86" s="72"/>
      <c r="P86" s="72"/>
      <c r="Q86" s="72"/>
      <c r="R86" s="72"/>
      <c r="S86" s="72"/>
    </row>
    <row r="87" spans="1:19" x14ac:dyDescent="0.25">
      <c r="A87" s="72" t="s">
        <v>169</v>
      </c>
      <c r="B87" s="9">
        <v>86</v>
      </c>
      <c r="C87" s="4">
        <v>503</v>
      </c>
      <c r="D87" s="4">
        <v>175</v>
      </c>
      <c r="E87" s="4">
        <v>3</v>
      </c>
      <c r="F87" s="4">
        <v>3</v>
      </c>
      <c r="G87" s="43">
        <v>2</v>
      </c>
      <c r="H87" s="43">
        <v>2</v>
      </c>
      <c r="I87" s="43">
        <v>498</v>
      </c>
      <c r="J87" s="43">
        <v>170</v>
      </c>
      <c r="L87" s="72"/>
      <c r="M87" s="72"/>
      <c r="N87" s="72"/>
      <c r="O87" s="72"/>
      <c r="P87" s="72"/>
      <c r="Q87" s="72"/>
      <c r="R87" s="72"/>
      <c r="S87" s="72"/>
    </row>
    <row r="88" spans="1:19" x14ac:dyDescent="0.25">
      <c r="A88" s="72" t="s">
        <v>179</v>
      </c>
      <c r="B88" s="9">
        <v>87</v>
      </c>
      <c r="C88" s="4">
        <v>14</v>
      </c>
      <c r="D88" s="4">
        <v>13</v>
      </c>
      <c r="E88" s="4">
        <v>9</v>
      </c>
      <c r="F88" s="4">
        <v>9</v>
      </c>
      <c r="G88" s="72">
        <v>2</v>
      </c>
      <c r="H88" s="72">
        <v>2</v>
      </c>
      <c r="I88" s="72">
        <v>3</v>
      </c>
      <c r="J88" s="72">
        <v>2</v>
      </c>
      <c r="L88" s="72"/>
      <c r="M88" s="72"/>
      <c r="N88" s="72"/>
      <c r="O88" s="72"/>
      <c r="P88" s="72"/>
      <c r="Q88" s="72"/>
      <c r="R88" s="72"/>
      <c r="S88" s="72"/>
    </row>
    <row r="89" spans="1:19" x14ac:dyDescent="0.25">
      <c r="A89" s="48" t="s">
        <v>179</v>
      </c>
      <c r="B89" s="9">
        <v>88</v>
      </c>
      <c r="C89" s="4">
        <v>4</v>
      </c>
      <c r="D89" s="4">
        <v>4</v>
      </c>
      <c r="E89" s="4">
        <v>2</v>
      </c>
      <c r="F89" s="4">
        <v>2</v>
      </c>
      <c r="G89" s="43">
        <v>0</v>
      </c>
      <c r="H89" s="43">
        <v>0</v>
      </c>
      <c r="I89" s="43">
        <v>2</v>
      </c>
      <c r="J89" s="43">
        <v>2</v>
      </c>
      <c r="L89" s="72"/>
      <c r="M89" s="72"/>
      <c r="N89" s="72"/>
      <c r="O89" s="72"/>
      <c r="P89" s="72"/>
      <c r="Q89" s="72"/>
      <c r="R89" s="72"/>
      <c r="S89" s="72"/>
    </row>
    <row r="90" spans="1:19" x14ac:dyDescent="0.25">
      <c r="A90" s="72" t="s">
        <v>174</v>
      </c>
      <c r="B90" s="9">
        <v>89</v>
      </c>
      <c r="C90" s="4">
        <v>5983</v>
      </c>
      <c r="D90" s="4">
        <v>1370</v>
      </c>
      <c r="E90" s="73">
        <v>1554</v>
      </c>
      <c r="F90" s="73">
        <v>370</v>
      </c>
      <c r="G90" s="43">
        <v>2216</v>
      </c>
      <c r="H90" s="43">
        <v>500</v>
      </c>
      <c r="I90" s="43">
        <v>2213</v>
      </c>
      <c r="J90" s="43">
        <v>500</v>
      </c>
      <c r="L90" s="72"/>
      <c r="M90" s="72"/>
      <c r="N90" s="72"/>
      <c r="O90" s="72"/>
      <c r="P90" s="72"/>
      <c r="Q90" s="72"/>
      <c r="R90" s="72"/>
      <c r="S90" s="72"/>
    </row>
    <row r="91" spans="1:19" x14ac:dyDescent="0.25">
      <c r="A91" s="72" t="s">
        <v>165</v>
      </c>
      <c r="B91" s="9">
        <v>90</v>
      </c>
      <c r="C91" s="4">
        <v>5</v>
      </c>
      <c r="D91" s="4">
        <v>5</v>
      </c>
      <c r="E91" s="4">
        <v>4</v>
      </c>
      <c r="F91" s="4">
        <v>4</v>
      </c>
      <c r="G91" s="72">
        <v>1</v>
      </c>
      <c r="H91" s="72">
        <v>1</v>
      </c>
      <c r="I91" s="72">
        <v>0</v>
      </c>
      <c r="J91" s="72">
        <v>0</v>
      </c>
      <c r="L91" s="72"/>
      <c r="M91" s="72"/>
      <c r="N91" s="72"/>
      <c r="O91" s="72"/>
      <c r="P91" s="72"/>
      <c r="Q91" s="72"/>
      <c r="R91" s="72"/>
      <c r="S91" s="72"/>
    </row>
    <row r="92" spans="1:19" x14ac:dyDescent="0.25">
      <c r="A92" s="48" t="s">
        <v>172</v>
      </c>
      <c r="B92" s="9">
        <v>91</v>
      </c>
      <c r="C92" s="4">
        <v>3719</v>
      </c>
      <c r="D92" s="4">
        <v>945</v>
      </c>
      <c r="E92" s="4">
        <v>300</v>
      </c>
      <c r="F92" s="4">
        <v>128</v>
      </c>
      <c r="G92" s="72">
        <v>1712</v>
      </c>
      <c r="H92" s="72">
        <v>409</v>
      </c>
      <c r="I92" s="72">
        <v>1707</v>
      </c>
      <c r="J92" s="72">
        <v>408</v>
      </c>
      <c r="L92" s="72"/>
      <c r="M92" s="72"/>
      <c r="N92" s="72"/>
      <c r="O92" s="72"/>
      <c r="P92" s="72"/>
      <c r="Q92" s="72"/>
      <c r="R92" s="72"/>
      <c r="S92" s="72"/>
    </row>
    <row r="93" spans="1:19" x14ac:dyDescent="0.25">
      <c r="A93" s="48" t="s">
        <v>172</v>
      </c>
      <c r="B93" s="9">
        <v>92</v>
      </c>
      <c r="C93" s="4">
        <v>3</v>
      </c>
      <c r="D93" s="4">
        <v>3</v>
      </c>
      <c r="E93" s="4">
        <v>2</v>
      </c>
      <c r="F93" s="4">
        <v>2</v>
      </c>
      <c r="G93" s="43">
        <v>1</v>
      </c>
      <c r="H93" s="43">
        <v>1</v>
      </c>
      <c r="I93" s="43">
        <v>0</v>
      </c>
      <c r="J93" s="43">
        <v>0</v>
      </c>
      <c r="L93" s="72"/>
      <c r="M93" s="72"/>
      <c r="N93" s="72"/>
      <c r="O93" s="72"/>
      <c r="P93" s="72"/>
      <c r="Q93" s="72"/>
      <c r="R93" s="72"/>
      <c r="S93" s="72"/>
    </row>
    <row r="94" spans="1:19" x14ac:dyDescent="0.25">
      <c r="A94" s="72" t="s">
        <v>168</v>
      </c>
      <c r="B94" s="9">
        <v>93</v>
      </c>
      <c r="C94" s="4">
        <v>583</v>
      </c>
      <c r="D94" s="4">
        <v>309</v>
      </c>
      <c r="E94" s="73">
        <v>107</v>
      </c>
      <c r="F94" s="73">
        <v>76</v>
      </c>
      <c r="G94" s="43">
        <v>278</v>
      </c>
      <c r="H94" s="43">
        <v>124</v>
      </c>
      <c r="I94" s="59">
        <v>198</v>
      </c>
      <c r="J94" s="59">
        <v>110</v>
      </c>
      <c r="L94" s="72"/>
      <c r="M94" s="72"/>
      <c r="N94" s="72"/>
      <c r="O94" s="72"/>
      <c r="P94" s="72"/>
      <c r="Q94" s="72"/>
      <c r="R94" s="72"/>
      <c r="S94" s="72"/>
    </row>
    <row r="95" spans="1:19" x14ac:dyDescent="0.25">
      <c r="A95" s="48" t="s">
        <v>168</v>
      </c>
      <c r="B95" s="9">
        <v>94</v>
      </c>
      <c r="C95" s="4">
        <v>1301</v>
      </c>
      <c r="D95" s="4">
        <v>460</v>
      </c>
      <c r="E95" s="4">
        <v>170</v>
      </c>
      <c r="F95" s="4">
        <v>103</v>
      </c>
      <c r="G95" s="43">
        <v>715</v>
      </c>
      <c r="H95" s="43">
        <v>209</v>
      </c>
      <c r="I95" s="59">
        <v>416</v>
      </c>
      <c r="J95" s="59">
        <v>149</v>
      </c>
      <c r="L95" s="72"/>
      <c r="M95" s="72"/>
      <c r="N95" s="72"/>
      <c r="O95" s="72"/>
      <c r="P95" s="72"/>
      <c r="Q95" s="72"/>
      <c r="R95" s="72"/>
      <c r="S95" s="72"/>
    </row>
    <row r="96" spans="1:19" x14ac:dyDescent="0.25">
      <c r="A96" s="72" t="s">
        <v>175</v>
      </c>
      <c r="B96" s="9">
        <v>95</v>
      </c>
      <c r="C96" s="4">
        <v>6</v>
      </c>
      <c r="D96" s="4">
        <v>6</v>
      </c>
      <c r="E96" s="4">
        <v>2</v>
      </c>
      <c r="F96" s="4">
        <v>2</v>
      </c>
      <c r="G96" s="43">
        <v>3</v>
      </c>
      <c r="H96" s="43">
        <v>3</v>
      </c>
      <c r="I96" s="43">
        <v>1</v>
      </c>
      <c r="J96" s="43">
        <v>1</v>
      </c>
      <c r="L96" s="72"/>
      <c r="M96" s="72"/>
      <c r="N96" s="72"/>
      <c r="O96" s="72"/>
      <c r="P96" s="72"/>
      <c r="Q96" s="72"/>
      <c r="R96" s="72"/>
      <c r="S96" s="72"/>
    </row>
    <row r="97" spans="1:19" x14ac:dyDescent="0.25">
      <c r="A97" s="48" t="s">
        <v>175</v>
      </c>
      <c r="B97" s="9">
        <v>96</v>
      </c>
      <c r="C97" s="4">
        <v>4</v>
      </c>
      <c r="D97" s="4">
        <v>3</v>
      </c>
      <c r="E97" s="4">
        <v>3</v>
      </c>
      <c r="F97" s="4">
        <v>2</v>
      </c>
      <c r="G97" s="72">
        <v>1</v>
      </c>
      <c r="H97" s="72">
        <v>1</v>
      </c>
      <c r="I97" s="72">
        <v>0</v>
      </c>
      <c r="J97" s="72">
        <v>0</v>
      </c>
      <c r="L97" s="72"/>
      <c r="M97" s="72"/>
      <c r="N97" s="72"/>
      <c r="O97" s="72"/>
      <c r="P97" s="72"/>
      <c r="Q97" s="72"/>
      <c r="R97" s="72"/>
      <c r="S97" s="72"/>
    </row>
    <row r="98" spans="1:19" x14ac:dyDescent="0.25">
      <c r="A98" s="48" t="s">
        <v>170</v>
      </c>
      <c r="B98" s="9">
        <v>97</v>
      </c>
      <c r="C98" s="4">
        <v>4</v>
      </c>
      <c r="D98" s="4">
        <v>4</v>
      </c>
      <c r="E98" s="4">
        <v>2</v>
      </c>
      <c r="F98" s="4">
        <v>2</v>
      </c>
      <c r="G98" s="43">
        <v>1</v>
      </c>
      <c r="H98" s="43">
        <v>1</v>
      </c>
      <c r="I98" s="43">
        <v>1</v>
      </c>
      <c r="J98" s="43">
        <v>1</v>
      </c>
      <c r="L98" s="72"/>
      <c r="M98" s="72"/>
      <c r="N98" s="72"/>
      <c r="O98" s="72"/>
      <c r="P98" s="72"/>
      <c r="Q98" s="72"/>
      <c r="R98" s="72"/>
      <c r="S98" s="72"/>
    </row>
    <row r="99" spans="1:19" x14ac:dyDescent="0.25">
      <c r="A99" s="48" t="s">
        <v>170</v>
      </c>
      <c r="B99" s="9">
        <v>98</v>
      </c>
      <c r="C99" s="4">
        <v>4</v>
      </c>
      <c r="D99" s="4">
        <v>4</v>
      </c>
      <c r="E99" s="4">
        <v>2</v>
      </c>
      <c r="F99" s="4">
        <v>2</v>
      </c>
      <c r="G99" s="43">
        <v>2</v>
      </c>
      <c r="H99" s="43">
        <v>2</v>
      </c>
      <c r="I99" s="43">
        <v>0</v>
      </c>
      <c r="J99" s="43">
        <v>0</v>
      </c>
      <c r="L99" s="72"/>
      <c r="M99" s="72"/>
      <c r="N99" s="72"/>
      <c r="O99" s="72"/>
      <c r="P99" s="72"/>
      <c r="Q99" s="72"/>
      <c r="R99" s="72"/>
      <c r="S99" s="72"/>
    </row>
    <row r="100" spans="1:19" x14ac:dyDescent="0.25">
      <c r="A100" s="48" t="s">
        <v>170</v>
      </c>
      <c r="B100" s="9">
        <v>99</v>
      </c>
      <c r="C100" s="4">
        <v>1</v>
      </c>
      <c r="D100" s="4">
        <v>1</v>
      </c>
      <c r="E100" s="4">
        <v>1</v>
      </c>
      <c r="F100" s="4">
        <v>1</v>
      </c>
      <c r="G100" s="72">
        <v>0</v>
      </c>
      <c r="H100" s="72">
        <v>0</v>
      </c>
      <c r="I100" s="72">
        <v>0</v>
      </c>
      <c r="J100" s="72">
        <v>0</v>
      </c>
      <c r="L100" s="72"/>
      <c r="M100" s="72"/>
      <c r="N100" s="72"/>
      <c r="O100" s="72"/>
      <c r="P100" s="72"/>
      <c r="Q100" s="72"/>
      <c r="R100" s="72"/>
      <c r="S100" s="72"/>
    </row>
    <row r="101" spans="1:19" x14ac:dyDescent="0.25">
      <c r="A101" s="48" t="s">
        <v>165</v>
      </c>
      <c r="B101" s="9">
        <v>100</v>
      </c>
      <c r="C101" s="4">
        <v>5368</v>
      </c>
      <c r="D101" s="4">
        <v>1202</v>
      </c>
      <c r="E101" s="4">
        <v>1722</v>
      </c>
      <c r="F101" s="4">
        <v>398</v>
      </c>
      <c r="G101" s="43">
        <v>1838</v>
      </c>
      <c r="H101" s="43">
        <v>408</v>
      </c>
      <c r="I101" s="43">
        <v>1808</v>
      </c>
      <c r="J101" s="43">
        <v>396</v>
      </c>
      <c r="L101" s="72"/>
      <c r="M101" s="72"/>
      <c r="N101" s="72"/>
      <c r="O101" s="72"/>
      <c r="P101" s="72"/>
      <c r="Q101" s="72"/>
      <c r="R101" s="72"/>
      <c r="S101" s="72"/>
    </row>
    <row r="102" spans="1:19" x14ac:dyDescent="0.25">
      <c r="A102" s="48" t="s">
        <v>165</v>
      </c>
      <c r="B102" s="9">
        <v>101</v>
      </c>
      <c r="C102" s="4">
        <v>4024</v>
      </c>
      <c r="D102" s="4">
        <v>985</v>
      </c>
      <c r="E102" s="4">
        <v>1805</v>
      </c>
      <c r="F102" s="4">
        <v>420</v>
      </c>
      <c r="G102" s="43">
        <v>1215</v>
      </c>
      <c r="H102" s="43">
        <v>304</v>
      </c>
      <c r="I102" s="43">
        <v>1004</v>
      </c>
      <c r="J102" s="43">
        <v>261</v>
      </c>
      <c r="L102" s="72"/>
      <c r="M102" s="72"/>
      <c r="N102" s="72"/>
      <c r="O102" s="72"/>
      <c r="P102" s="72"/>
      <c r="Q102" s="72"/>
      <c r="R102" s="72"/>
      <c r="S102" s="72"/>
    </row>
    <row r="103" spans="1:19" x14ac:dyDescent="0.25">
      <c r="A103" s="72" t="s">
        <v>171</v>
      </c>
      <c r="B103" s="9">
        <v>102</v>
      </c>
      <c r="C103" s="4">
        <v>4341</v>
      </c>
      <c r="D103" s="4">
        <v>1042</v>
      </c>
      <c r="E103" s="4">
        <v>1249</v>
      </c>
      <c r="F103" s="4">
        <v>311</v>
      </c>
      <c r="G103" s="72">
        <v>1421</v>
      </c>
      <c r="H103" s="72">
        <v>341</v>
      </c>
      <c r="I103" s="72">
        <v>1671</v>
      </c>
      <c r="J103" s="72">
        <v>390</v>
      </c>
      <c r="L103" s="72"/>
      <c r="M103" s="72"/>
      <c r="N103" s="72"/>
      <c r="O103" s="72"/>
      <c r="P103" s="72"/>
      <c r="Q103" s="72"/>
      <c r="R103" s="72"/>
      <c r="S103" s="72"/>
    </row>
    <row r="104" spans="1:19" x14ac:dyDescent="0.25">
      <c r="A104" s="48" t="s">
        <v>171</v>
      </c>
      <c r="B104" s="9">
        <v>103</v>
      </c>
      <c r="C104" s="4">
        <v>3470</v>
      </c>
      <c r="D104" s="4">
        <v>873</v>
      </c>
      <c r="E104" s="4">
        <v>1006</v>
      </c>
      <c r="F104" s="4">
        <v>261</v>
      </c>
      <c r="G104" s="43">
        <v>1350</v>
      </c>
      <c r="H104" s="43">
        <v>328</v>
      </c>
      <c r="I104" s="43">
        <v>1114</v>
      </c>
      <c r="J104" s="43">
        <v>284</v>
      </c>
      <c r="L104" s="72"/>
      <c r="M104" s="72"/>
      <c r="N104" s="72"/>
      <c r="O104" s="72"/>
      <c r="P104" s="72"/>
      <c r="Q104" s="72"/>
      <c r="R104" s="72"/>
      <c r="S104" s="72"/>
    </row>
    <row r="105" spans="1:19" x14ac:dyDescent="0.25">
      <c r="A105" s="72" t="s">
        <v>171</v>
      </c>
      <c r="B105" s="9">
        <v>104</v>
      </c>
      <c r="C105" s="4">
        <v>8</v>
      </c>
      <c r="D105" s="4">
        <v>7</v>
      </c>
      <c r="E105" s="73">
        <v>4</v>
      </c>
      <c r="F105" s="73">
        <v>4</v>
      </c>
      <c r="G105" s="43">
        <v>0</v>
      </c>
      <c r="H105" s="43">
        <v>0</v>
      </c>
      <c r="I105" s="43">
        <v>4</v>
      </c>
      <c r="J105" s="43">
        <v>3</v>
      </c>
      <c r="L105" s="72"/>
      <c r="M105" s="72"/>
      <c r="N105" s="72"/>
      <c r="O105" s="72"/>
      <c r="P105" s="72"/>
      <c r="Q105" s="72"/>
      <c r="R105" s="72"/>
      <c r="S105" s="72"/>
    </row>
    <row r="106" spans="1:19" x14ac:dyDescent="0.25">
      <c r="A106" s="48" t="s">
        <v>177</v>
      </c>
      <c r="B106" s="9">
        <v>105</v>
      </c>
      <c r="C106" s="4">
        <v>9</v>
      </c>
      <c r="D106" s="4">
        <v>9</v>
      </c>
      <c r="E106" s="4">
        <v>4</v>
      </c>
      <c r="F106" s="4">
        <v>4</v>
      </c>
      <c r="G106" s="43">
        <v>1</v>
      </c>
      <c r="H106" s="43">
        <v>1</v>
      </c>
      <c r="I106" s="43">
        <v>4</v>
      </c>
      <c r="J106" s="43">
        <v>4</v>
      </c>
      <c r="L106" s="72"/>
      <c r="M106" s="72"/>
      <c r="N106" s="72"/>
      <c r="O106" s="72"/>
      <c r="P106" s="72"/>
      <c r="Q106" s="72"/>
      <c r="R106" s="72"/>
      <c r="S106" s="72"/>
    </row>
    <row r="107" spans="1:19" x14ac:dyDescent="0.25">
      <c r="A107" s="72" t="s">
        <v>177</v>
      </c>
      <c r="B107" s="9">
        <v>106</v>
      </c>
      <c r="C107" s="4">
        <v>228</v>
      </c>
      <c r="D107" s="4">
        <v>150</v>
      </c>
      <c r="E107" s="4">
        <v>19</v>
      </c>
      <c r="F107" s="4">
        <v>18</v>
      </c>
      <c r="G107" s="72">
        <v>34</v>
      </c>
      <c r="H107" s="72">
        <v>31</v>
      </c>
      <c r="I107" s="72">
        <v>175</v>
      </c>
      <c r="J107" s="72">
        <v>101</v>
      </c>
      <c r="L107" s="72"/>
      <c r="M107" s="72"/>
      <c r="N107" s="72"/>
      <c r="O107" s="72"/>
      <c r="P107" s="72"/>
      <c r="Q107" s="72"/>
      <c r="R107" s="72"/>
      <c r="S107" s="72"/>
    </row>
    <row r="108" spans="1:19" x14ac:dyDescent="0.25">
      <c r="A108" s="72" t="s">
        <v>174</v>
      </c>
      <c r="B108" s="9">
        <v>107</v>
      </c>
      <c r="C108" s="4">
        <v>47</v>
      </c>
      <c r="D108" s="4">
        <v>43</v>
      </c>
      <c r="E108" s="4">
        <v>5</v>
      </c>
      <c r="F108" s="4">
        <v>5</v>
      </c>
      <c r="G108" s="72">
        <v>1</v>
      </c>
      <c r="H108" s="72">
        <v>1</v>
      </c>
      <c r="I108" s="72">
        <v>41</v>
      </c>
      <c r="J108" s="72">
        <v>37</v>
      </c>
      <c r="L108" s="72"/>
      <c r="M108" s="72"/>
      <c r="N108" s="72"/>
      <c r="O108" s="72"/>
      <c r="P108" s="72"/>
      <c r="Q108" s="72"/>
      <c r="R108" s="72"/>
      <c r="S108" s="72"/>
    </row>
    <row r="109" spans="1:19" x14ac:dyDescent="0.25">
      <c r="A109" s="48" t="s">
        <v>174</v>
      </c>
      <c r="B109" s="9">
        <v>108</v>
      </c>
      <c r="C109" s="4">
        <v>6</v>
      </c>
      <c r="D109" s="4">
        <v>6</v>
      </c>
      <c r="E109" s="4">
        <v>4</v>
      </c>
      <c r="F109" s="4">
        <v>4</v>
      </c>
      <c r="G109" s="72">
        <v>1</v>
      </c>
      <c r="H109" s="72">
        <v>1</v>
      </c>
      <c r="I109" s="72">
        <v>1</v>
      </c>
      <c r="J109" s="72">
        <v>1</v>
      </c>
      <c r="L109" s="72"/>
      <c r="M109" s="72"/>
      <c r="N109" s="72"/>
      <c r="O109" s="72"/>
      <c r="P109" s="72"/>
      <c r="Q109" s="72"/>
      <c r="R109" s="72"/>
      <c r="S109" s="72"/>
    </row>
    <row r="110" spans="1:19" x14ac:dyDescent="0.25">
      <c r="A110" s="48" t="s">
        <v>171</v>
      </c>
      <c r="B110" s="9">
        <v>109</v>
      </c>
      <c r="C110" s="4">
        <v>5083</v>
      </c>
      <c r="D110" s="4">
        <v>1201</v>
      </c>
      <c r="E110" s="4">
        <v>1133</v>
      </c>
      <c r="F110" s="4">
        <v>290</v>
      </c>
      <c r="G110" s="43">
        <v>1917</v>
      </c>
      <c r="H110" s="43">
        <v>441</v>
      </c>
      <c r="I110" s="72">
        <v>2033</v>
      </c>
      <c r="J110" s="72">
        <v>470</v>
      </c>
      <c r="L110" s="72"/>
      <c r="M110" s="72"/>
      <c r="N110" s="72"/>
      <c r="O110" s="72"/>
      <c r="P110" s="72"/>
      <c r="Q110" s="72"/>
      <c r="R110" s="72"/>
      <c r="S110" s="72"/>
    </row>
    <row r="111" spans="1:19" x14ac:dyDescent="0.25">
      <c r="A111" s="48" t="s">
        <v>171</v>
      </c>
      <c r="B111" s="9">
        <v>110</v>
      </c>
      <c r="C111" s="4">
        <v>1882</v>
      </c>
      <c r="D111" s="4">
        <v>579</v>
      </c>
      <c r="E111" s="4">
        <v>436</v>
      </c>
      <c r="F111" s="4">
        <v>155</v>
      </c>
      <c r="G111" s="72">
        <v>716</v>
      </c>
      <c r="H111" s="72">
        <v>211</v>
      </c>
      <c r="I111" s="72">
        <v>730</v>
      </c>
      <c r="J111" s="72">
        <v>213</v>
      </c>
      <c r="L111" s="72"/>
      <c r="M111" s="72"/>
      <c r="N111" s="72"/>
      <c r="O111" s="72"/>
      <c r="P111" s="72"/>
      <c r="Q111" s="72"/>
      <c r="R111" s="72"/>
      <c r="S111" s="72"/>
    </row>
    <row r="112" spans="1:19" x14ac:dyDescent="0.25">
      <c r="A112" s="72" t="s">
        <v>171</v>
      </c>
      <c r="B112" s="9">
        <v>111</v>
      </c>
      <c r="C112" s="4">
        <v>5063</v>
      </c>
      <c r="D112" s="4">
        <v>1177</v>
      </c>
      <c r="E112" s="4">
        <v>1634</v>
      </c>
      <c r="F112" s="4">
        <v>385</v>
      </c>
      <c r="G112" s="72">
        <v>1604</v>
      </c>
      <c r="H112" s="72">
        <v>376</v>
      </c>
      <c r="I112" s="72">
        <v>1825</v>
      </c>
      <c r="J112" s="72">
        <v>416</v>
      </c>
      <c r="L112" s="72"/>
      <c r="M112" s="72"/>
      <c r="N112" s="72"/>
      <c r="O112" s="72"/>
      <c r="P112" s="72"/>
      <c r="Q112" s="72"/>
      <c r="R112" s="72"/>
      <c r="S112" s="72"/>
    </row>
    <row r="113" spans="1:19" x14ac:dyDescent="0.25">
      <c r="A113" s="48" t="s">
        <v>104</v>
      </c>
      <c r="B113" s="9">
        <v>112</v>
      </c>
      <c r="C113" s="4">
        <v>5718</v>
      </c>
      <c r="D113" s="4">
        <v>1342</v>
      </c>
      <c r="E113" s="4">
        <v>1461</v>
      </c>
      <c r="F113" s="4">
        <v>358</v>
      </c>
      <c r="G113" s="43">
        <v>2168</v>
      </c>
      <c r="H113" s="43">
        <v>500</v>
      </c>
      <c r="I113" s="43">
        <v>2089</v>
      </c>
      <c r="J113" s="43">
        <v>484</v>
      </c>
      <c r="L113" s="72"/>
      <c r="M113" s="72"/>
      <c r="N113" s="72"/>
      <c r="O113" s="72"/>
      <c r="P113" s="72"/>
      <c r="Q113" s="72"/>
      <c r="R113" s="72"/>
      <c r="S113" s="72"/>
    </row>
    <row r="114" spans="1:19" x14ac:dyDescent="0.25">
      <c r="A114" s="72" t="s">
        <v>104</v>
      </c>
      <c r="B114" s="9">
        <v>113</v>
      </c>
      <c r="C114" s="4">
        <v>6584</v>
      </c>
      <c r="D114" s="4">
        <v>1500</v>
      </c>
      <c r="E114" s="4">
        <v>2192</v>
      </c>
      <c r="F114" s="4">
        <v>500</v>
      </c>
      <c r="G114" s="72">
        <v>2203</v>
      </c>
      <c r="H114" s="72">
        <v>500</v>
      </c>
      <c r="I114" s="72">
        <v>2189</v>
      </c>
      <c r="J114" s="72">
        <v>500</v>
      </c>
      <c r="L114" s="72"/>
      <c r="M114" s="72"/>
      <c r="N114" s="72"/>
      <c r="O114" s="72"/>
      <c r="P114" s="72"/>
      <c r="Q114" s="72"/>
      <c r="R114" s="72"/>
      <c r="S114" s="72"/>
    </row>
    <row r="115" spans="1:19" x14ac:dyDescent="0.25">
      <c r="A115" s="72" t="s">
        <v>105</v>
      </c>
      <c r="B115" s="9">
        <v>114</v>
      </c>
      <c r="C115" s="4">
        <v>7</v>
      </c>
      <c r="D115" s="4">
        <v>7</v>
      </c>
      <c r="E115" s="4">
        <v>4</v>
      </c>
      <c r="F115" s="4">
        <v>4</v>
      </c>
      <c r="G115" s="43">
        <v>2</v>
      </c>
      <c r="H115" s="43">
        <v>2</v>
      </c>
      <c r="I115" s="43">
        <v>1</v>
      </c>
      <c r="J115" s="43">
        <v>1</v>
      </c>
      <c r="L115" s="72"/>
      <c r="M115" s="72"/>
      <c r="N115" s="72"/>
      <c r="O115" s="72"/>
      <c r="P115" s="72"/>
      <c r="Q115" s="72"/>
      <c r="R115" s="72"/>
      <c r="S115" s="72"/>
    </row>
    <row r="116" spans="1:19" x14ac:dyDescent="0.25">
      <c r="A116" s="48" t="s">
        <v>105</v>
      </c>
      <c r="B116" s="9">
        <v>115</v>
      </c>
      <c r="C116" s="4">
        <v>1600</v>
      </c>
      <c r="D116" s="4">
        <v>524</v>
      </c>
      <c r="E116" s="4">
        <v>409</v>
      </c>
      <c r="F116" s="4">
        <v>150</v>
      </c>
      <c r="G116" s="43">
        <v>680</v>
      </c>
      <c r="H116" s="43">
        <v>204</v>
      </c>
      <c r="I116" s="43">
        <v>511</v>
      </c>
      <c r="J116" s="43">
        <v>170</v>
      </c>
      <c r="L116" s="72"/>
      <c r="M116" s="72"/>
      <c r="N116" s="72"/>
      <c r="O116" s="72"/>
      <c r="P116" s="72"/>
      <c r="Q116" s="72"/>
      <c r="R116" s="72"/>
      <c r="S116" s="72"/>
    </row>
    <row r="117" spans="1:19" x14ac:dyDescent="0.25">
      <c r="A117" s="48" t="s">
        <v>106</v>
      </c>
      <c r="B117" s="9">
        <v>116</v>
      </c>
      <c r="C117" s="4">
        <v>6419</v>
      </c>
      <c r="D117" s="4">
        <v>1488</v>
      </c>
      <c r="E117" s="4">
        <v>2097</v>
      </c>
      <c r="F117" s="4">
        <v>488</v>
      </c>
      <c r="G117" s="43">
        <v>2154</v>
      </c>
      <c r="H117" s="43">
        <v>500</v>
      </c>
      <c r="I117" s="43">
        <v>2168</v>
      </c>
      <c r="J117" s="43">
        <v>500</v>
      </c>
      <c r="L117" s="72"/>
      <c r="M117" s="72"/>
      <c r="N117" s="72"/>
      <c r="O117" s="72"/>
      <c r="P117" s="72"/>
      <c r="Q117" s="72"/>
      <c r="R117" s="72"/>
      <c r="S117" s="72"/>
    </row>
    <row r="118" spans="1:19" x14ac:dyDescent="0.25">
      <c r="A118" s="72" t="s">
        <v>106</v>
      </c>
      <c r="B118" s="9">
        <v>117</v>
      </c>
      <c r="C118" s="4">
        <v>6852</v>
      </c>
      <c r="D118" s="4">
        <v>1500</v>
      </c>
      <c r="E118" s="4">
        <v>2218</v>
      </c>
      <c r="F118" s="4">
        <v>500</v>
      </c>
      <c r="G118" s="72">
        <v>2262</v>
      </c>
      <c r="H118" s="72">
        <v>500</v>
      </c>
      <c r="I118" s="72">
        <v>2372</v>
      </c>
      <c r="J118" s="72">
        <v>500</v>
      </c>
      <c r="L118" s="72"/>
      <c r="M118" s="72"/>
      <c r="N118" s="72"/>
      <c r="O118" s="72"/>
      <c r="P118" s="72"/>
      <c r="Q118" s="72"/>
      <c r="R118" s="72"/>
      <c r="S118" s="72"/>
    </row>
    <row r="119" spans="1:19" x14ac:dyDescent="0.25">
      <c r="A119" s="72" t="s">
        <v>56</v>
      </c>
      <c r="B119" s="9">
        <v>118</v>
      </c>
      <c r="C119" s="4">
        <v>6537</v>
      </c>
      <c r="D119" s="4">
        <v>1464</v>
      </c>
      <c r="E119" s="4">
        <v>2029</v>
      </c>
      <c r="F119" s="4">
        <v>464</v>
      </c>
      <c r="G119" s="72">
        <v>2228</v>
      </c>
      <c r="H119" s="72">
        <v>500</v>
      </c>
      <c r="I119" s="72">
        <v>2280</v>
      </c>
      <c r="J119" s="72">
        <v>500</v>
      </c>
      <c r="L119" s="72"/>
      <c r="M119" s="72"/>
      <c r="N119" s="72"/>
      <c r="O119" s="72"/>
      <c r="P119" s="72"/>
      <c r="Q119" s="72"/>
      <c r="R119" s="72"/>
      <c r="S119" s="72"/>
    </row>
    <row r="120" spans="1:19" x14ac:dyDescent="0.25">
      <c r="A120" s="72" t="s">
        <v>56</v>
      </c>
      <c r="B120" s="9">
        <v>119</v>
      </c>
      <c r="C120" s="4">
        <v>4916</v>
      </c>
      <c r="D120" s="4">
        <v>1124</v>
      </c>
      <c r="E120" s="73">
        <v>283</v>
      </c>
      <c r="F120" s="73">
        <v>124</v>
      </c>
      <c r="G120" s="43">
        <v>2275</v>
      </c>
      <c r="H120" s="43">
        <v>500</v>
      </c>
      <c r="I120" s="43">
        <v>2358</v>
      </c>
      <c r="J120" s="43">
        <v>500</v>
      </c>
      <c r="L120" s="72"/>
      <c r="M120" s="72"/>
      <c r="N120" s="72"/>
      <c r="O120" s="72"/>
      <c r="P120" s="72"/>
      <c r="Q120" s="72"/>
      <c r="R120" s="72"/>
      <c r="S120" s="72"/>
    </row>
    <row r="121" spans="1:19" x14ac:dyDescent="0.25">
      <c r="A121" s="48" t="s">
        <v>55</v>
      </c>
      <c r="B121" s="9">
        <v>120</v>
      </c>
      <c r="C121" s="4">
        <v>1142</v>
      </c>
      <c r="D121" s="4">
        <v>435</v>
      </c>
      <c r="E121" s="4">
        <v>150</v>
      </c>
      <c r="F121" s="4">
        <v>98</v>
      </c>
      <c r="G121" s="43">
        <v>792</v>
      </c>
      <c r="H121" s="43">
        <v>228</v>
      </c>
      <c r="I121" s="43">
        <v>200</v>
      </c>
      <c r="J121" s="43">
        <v>109</v>
      </c>
      <c r="L121" s="72"/>
      <c r="M121" s="72"/>
      <c r="N121" s="72"/>
      <c r="O121" s="72"/>
      <c r="P121" s="72"/>
      <c r="Q121" s="72"/>
      <c r="R121" s="72"/>
      <c r="S121" s="72"/>
    </row>
    <row r="122" spans="1:19" x14ac:dyDescent="0.25">
      <c r="A122" s="48" t="s">
        <v>55</v>
      </c>
      <c r="B122" s="9">
        <v>121</v>
      </c>
      <c r="C122" s="4">
        <v>320</v>
      </c>
      <c r="D122" s="4">
        <v>186</v>
      </c>
      <c r="E122" s="4">
        <v>6</v>
      </c>
      <c r="F122" s="4">
        <v>6</v>
      </c>
      <c r="G122" s="43">
        <v>78</v>
      </c>
      <c r="H122" s="43">
        <v>63</v>
      </c>
      <c r="I122" s="43">
        <v>236</v>
      </c>
      <c r="J122" s="43">
        <v>117</v>
      </c>
      <c r="L122" s="72"/>
      <c r="M122" s="72"/>
      <c r="N122" s="72"/>
      <c r="O122" s="72"/>
      <c r="P122" s="72"/>
      <c r="Q122" s="72"/>
      <c r="R122" s="72"/>
      <c r="S122" s="72"/>
    </row>
    <row r="123" spans="1:19" x14ac:dyDescent="0.25">
      <c r="A123" s="55" t="s">
        <v>107</v>
      </c>
      <c r="B123" s="9">
        <v>122</v>
      </c>
      <c r="C123" s="4">
        <v>5877</v>
      </c>
      <c r="D123" s="4">
        <v>1376</v>
      </c>
      <c r="E123" s="4">
        <v>1543</v>
      </c>
      <c r="F123" s="4">
        <v>376</v>
      </c>
      <c r="G123" s="72">
        <v>2165</v>
      </c>
      <c r="H123" s="72">
        <v>500</v>
      </c>
      <c r="I123" s="72">
        <v>2169</v>
      </c>
      <c r="J123" s="72">
        <v>500</v>
      </c>
      <c r="L123" s="72"/>
      <c r="M123" s="72"/>
      <c r="N123" s="72"/>
      <c r="O123" s="72"/>
      <c r="P123" s="72"/>
      <c r="Q123" s="72"/>
      <c r="R123" s="72"/>
      <c r="S123" s="72"/>
    </row>
    <row r="124" spans="1:19" x14ac:dyDescent="0.25">
      <c r="A124" s="55" t="s">
        <v>107</v>
      </c>
      <c r="B124" s="9">
        <v>123</v>
      </c>
      <c r="C124" s="73">
        <v>782</v>
      </c>
      <c r="D124" s="73">
        <v>317</v>
      </c>
      <c r="E124" s="73">
        <v>32</v>
      </c>
      <c r="F124" s="73">
        <v>31</v>
      </c>
      <c r="G124" s="72">
        <v>275</v>
      </c>
      <c r="H124" s="72">
        <v>122</v>
      </c>
      <c r="I124" s="72">
        <v>475</v>
      </c>
      <c r="J124" s="72">
        <v>164</v>
      </c>
      <c r="L124" s="72"/>
      <c r="M124" s="72"/>
      <c r="N124" s="72"/>
      <c r="O124" s="72"/>
      <c r="P124" s="72"/>
      <c r="Q124" s="72"/>
      <c r="R124" s="72"/>
      <c r="S124" s="72"/>
    </row>
    <row r="125" spans="1:19" x14ac:dyDescent="0.25">
      <c r="A125" s="48" t="s">
        <v>110</v>
      </c>
      <c r="B125" s="9">
        <v>124</v>
      </c>
      <c r="C125" s="4">
        <v>1926</v>
      </c>
      <c r="D125" s="4">
        <v>548</v>
      </c>
      <c r="E125" s="4">
        <v>38</v>
      </c>
      <c r="F125" s="4">
        <v>38</v>
      </c>
      <c r="G125" s="72">
        <v>366</v>
      </c>
      <c r="H125" s="72">
        <v>140</v>
      </c>
      <c r="I125" s="72">
        <v>1522</v>
      </c>
      <c r="J125" s="72">
        <v>370</v>
      </c>
      <c r="L125" s="72"/>
      <c r="M125" s="72"/>
      <c r="N125" s="72"/>
      <c r="O125" s="72"/>
      <c r="P125" s="72"/>
      <c r="Q125" s="72"/>
      <c r="R125" s="72"/>
      <c r="S125" s="72"/>
    </row>
    <row r="126" spans="1:19" x14ac:dyDescent="0.25">
      <c r="A126" s="48" t="s">
        <v>110</v>
      </c>
      <c r="B126" s="9">
        <v>125</v>
      </c>
      <c r="C126" s="4">
        <v>5686</v>
      </c>
      <c r="D126" s="4">
        <v>1321</v>
      </c>
      <c r="E126" s="4">
        <v>1284</v>
      </c>
      <c r="F126" s="4">
        <v>322</v>
      </c>
      <c r="G126" s="72">
        <v>2194</v>
      </c>
      <c r="H126" s="72">
        <v>499</v>
      </c>
      <c r="I126" s="72">
        <v>2208</v>
      </c>
      <c r="J126" s="72">
        <v>500</v>
      </c>
      <c r="L126" s="72"/>
      <c r="M126" s="72"/>
      <c r="N126" s="72"/>
      <c r="O126" s="72"/>
      <c r="P126" s="72"/>
      <c r="Q126" s="72"/>
      <c r="R126" s="72"/>
      <c r="S126" s="72"/>
    </row>
    <row r="127" spans="1:19" x14ac:dyDescent="0.25">
      <c r="A127" s="48" t="s">
        <v>111</v>
      </c>
      <c r="B127" s="9">
        <v>126</v>
      </c>
      <c r="C127" s="4">
        <v>3962</v>
      </c>
      <c r="D127" s="4">
        <v>992</v>
      </c>
      <c r="E127" s="4">
        <v>1216</v>
      </c>
      <c r="F127" s="4">
        <v>310</v>
      </c>
      <c r="G127" s="43">
        <v>1217</v>
      </c>
      <c r="H127" s="43">
        <v>310</v>
      </c>
      <c r="I127" s="43">
        <v>1529</v>
      </c>
      <c r="J127" s="43">
        <v>372</v>
      </c>
      <c r="L127" s="72"/>
      <c r="M127" s="72"/>
      <c r="N127" s="72"/>
      <c r="O127" s="72"/>
      <c r="P127" s="72"/>
      <c r="Q127" s="72"/>
      <c r="R127" s="72"/>
      <c r="S127" s="72"/>
    </row>
    <row r="128" spans="1:19" x14ac:dyDescent="0.25">
      <c r="A128" s="72" t="s">
        <v>111</v>
      </c>
      <c r="B128" s="9">
        <v>127</v>
      </c>
      <c r="C128" s="73">
        <v>1004</v>
      </c>
      <c r="D128" s="73">
        <v>403</v>
      </c>
      <c r="E128" s="73">
        <v>176</v>
      </c>
      <c r="F128" s="73">
        <v>103</v>
      </c>
      <c r="G128" s="59">
        <v>338</v>
      </c>
      <c r="H128" s="59">
        <v>135</v>
      </c>
      <c r="I128" s="72">
        <v>490</v>
      </c>
      <c r="J128" s="55">
        <v>165</v>
      </c>
      <c r="L128" s="72"/>
      <c r="M128" s="72"/>
      <c r="N128" s="72"/>
      <c r="O128" s="72"/>
      <c r="P128" s="72"/>
      <c r="Q128" s="72"/>
      <c r="R128" s="72"/>
      <c r="S128" s="72"/>
    </row>
    <row r="129" spans="1:19" x14ac:dyDescent="0.25">
      <c r="A129" s="48" t="s">
        <v>501</v>
      </c>
      <c r="B129" s="9">
        <v>128</v>
      </c>
      <c r="C129" s="4">
        <v>4</v>
      </c>
      <c r="D129" s="4">
        <v>4</v>
      </c>
      <c r="E129" s="4">
        <v>4</v>
      </c>
      <c r="F129" s="4">
        <v>4</v>
      </c>
      <c r="G129" s="72">
        <v>0</v>
      </c>
      <c r="H129" s="72">
        <v>0</v>
      </c>
      <c r="I129" s="72">
        <v>0</v>
      </c>
      <c r="J129" s="72">
        <v>0</v>
      </c>
      <c r="L129" s="72"/>
      <c r="M129" s="72"/>
      <c r="N129" s="72"/>
      <c r="O129" s="72"/>
      <c r="P129" s="72"/>
      <c r="Q129" s="72"/>
      <c r="R129" s="72"/>
      <c r="S129" s="72"/>
    </row>
    <row r="130" spans="1:19" x14ac:dyDescent="0.25">
      <c r="A130" s="48" t="s">
        <v>501</v>
      </c>
      <c r="B130" s="9">
        <v>129</v>
      </c>
      <c r="C130" s="4">
        <v>3</v>
      </c>
      <c r="D130" s="4">
        <v>3</v>
      </c>
      <c r="E130" s="4">
        <v>2</v>
      </c>
      <c r="F130" s="4">
        <v>2</v>
      </c>
      <c r="G130" s="43">
        <v>1</v>
      </c>
      <c r="H130" s="43">
        <v>1</v>
      </c>
      <c r="I130" s="43">
        <v>0</v>
      </c>
      <c r="J130" s="43">
        <v>0</v>
      </c>
      <c r="L130" s="72"/>
      <c r="M130" s="72"/>
      <c r="N130" s="72"/>
      <c r="O130" s="72"/>
      <c r="P130" s="72"/>
      <c r="Q130" s="72"/>
      <c r="R130" s="72"/>
      <c r="S130" s="72"/>
    </row>
    <row r="131" spans="1:19" x14ac:dyDescent="0.25">
      <c r="A131" s="72" t="s">
        <v>112</v>
      </c>
      <c r="B131" s="9">
        <v>130</v>
      </c>
      <c r="C131" s="4">
        <v>184</v>
      </c>
      <c r="D131" s="4">
        <v>109</v>
      </c>
      <c r="E131" s="4">
        <v>9</v>
      </c>
      <c r="F131" s="4">
        <v>8</v>
      </c>
      <c r="G131" s="72">
        <v>0</v>
      </c>
      <c r="H131" s="72">
        <v>0</v>
      </c>
      <c r="I131" s="72">
        <v>175</v>
      </c>
      <c r="J131" s="72">
        <v>101</v>
      </c>
      <c r="L131" s="72"/>
      <c r="M131" s="72"/>
      <c r="N131" s="72"/>
      <c r="O131" s="72"/>
      <c r="P131" s="72"/>
      <c r="Q131" s="72"/>
      <c r="R131" s="72"/>
      <c r="S131" s="72"/>
    </row>
    <row r="132" spans="1:19" x14ac:dyDescent="0.25">
      <c r="A132" s="48" t="s">
        <v>112</v>
      </c>
      <c r="B132" s="9">
        <v>131</v>
      </c>
      <c r="C132" s="4">
        <v>6</v>
      </c>
      <c r="D132" s="4">
        <v>5</v>
      </c>
      <c r="E132" s="73">
        <v>3</v>
      </c>
      <c r="F132" s="73">
        <v>3</v>
      </c>
      <c r="G132" s="43">
        <v>1</v>
      </c>
      <c r="H132" s="43">
        <v>1</v>
      </c>
      <c r="I132" s="43">
        <v>2</v>
      </c>
      <c r="J132" s="43">
        <v>1</v>
      </c>
      <c r="L132" s="72"/>
      <c r="M132" s="72"/>
      <c r="N132" s="72"/>
      <c r="O132" s="72"/>
      <c r="P132" s="72"/>
      <c r="Q132" s="72"/>
      <c r="R132" s="72"/>
      <c r="S132" s="72"/>
    </row>
    <row r="133" spans="1:19" x14ac:dyDescent="0.25">
      <c r="A133" s="54" t="s">
        <v>113</v>
      </c>
      <c r="B133" s="9">
        <v>132</v>
      </c>
      <c r="C133" s="73">
        <v>1735</v>
      </c>
      <c r="D133" s="73">
        <v>552</v>
      </c>
      <c r="E133" s="73">
        <v>360</v>
      </c>
      <c r="F133" s="73">
        <v>140</v>
      </c>
      <c r="G133" s="72">
        <v>417</v>
      </c>
      <c r="H133" s="43">
        <v>152</v>
      </c>
      <c r="I133" s="72">
        <v>958</v>
      </c>
      <c r="J133" s="43">
        <v>260</v>
      </c>
      <c r="L133" s="72"/>
      <c r="M133" s="72"/>
      <c r="N133" s="72"/>
      <c r="O133" s="72"/>
      <c r="P133" s="72"/>
      <c r="Q133" s="72"/>
      <c r="R133" s="72"/>
      <c r="S133" s="72"/>
    </row>
    <row r="134" spans="1:19" x14ac:dyDescent="0.25">
      <c r="A134" s="54" t="s">
        <v>113</v>
      </c>
      <c r="B134" s="9">
        <v>133</v>
      </c>
      <c r="C134" s="4">
        <v>1781</v>
      </c>
      <c r="D134" s="4">
        <v>558</v>
      </c>
      <c r="E134" s="4">
        <v>482</v>
      </c>
      <c r="F134" s="4">
        <v>162</v>
      </c>
      <c r="G134" s="72">
        <v>145</v>
      </c>
      <c r="H134" s="72">
        <v>96</v>
      </c>
      <c r="I134" s="72">
        <v>1154</v>
      </c>
      <c r="J134" s="72">
        <v>300</v>
      </c>
      <c r="L134" s="72"/>
      <c r="M134" s="72"/>
      <c r="N134" s="72"/>
      <c r="O134" s="72"/>
      <c r="P134" s="72"/>
      <c r="Q134" s="72"/>
      <c r="R134" s="72"/>
      <c r="S134" s="72"/>
    </row>
    <row r="135" spans="1:19" x14ac:dyDescent="0.25">
      <c r="A135" s="72" t="s">
        <v>114</v>
      </c>
      <c r="B135" s="9">
        <v>134</v>
      </c>
      <c r="C135" s="4">
        <v>5173</v>
      </c>
      <c r="D135" s="4">
        <v>1216</v>
      </c>
      <c r="E135" s="4">
        <v>1585</v>
      </c>
      <c r="F135" s="4">
        <v>382</v>
      </c>
      <c r="G135" s="72">
        <v>1360</v>
      </c>
      <c r="H135" s="72">
        <v>334</v>
      </c>
      <c r="I135" s="72">
        <v>2228</v>
      </c>
      <c r="J135" s="72">
        <v>500</v>
      </c>
      <c r="L135" s="72"/>
      <c r="M135" s="72"/>
      <c r="N135" s="72"/>
      <c r="O135" s="72"/>
      <c r="P135" s="72"/>
      <c r="Q135" s="72"/>
      <c r="R135" s="72"/>
      <c r="S135" s="72"/>
    </row>
    <row r="136" spans="1:19" x14ac:dyDescent="0.25">
      <c r="A136" s="48" t="s">
        <v>114</v>
      </c>
      <c r="B136" s="9">
        <v>135</v>
      </c>
      <c r="C136" s="4">
        <v>2171</v>
      </c>
      <c r="D136" s="4">
        <v>638</v>
      </c>
      <c r="E136" s="4">
        <v>592</v>
      </c>
      <c r="F136" s="4">
        <v>185</v>
      </c>
      <c r="G136" s="72">
        <v>860</v>
      </c>
      <c r="H136" s="72">
        <v>241</v>
      </c>
      <c r="I136" s="72">
        <v>719</v>
      </c>
      <c r="J136" s="72">
        <v>212</v>
      </c>
      <c r="L136" s="72"/>
      <c r="M136" s="72"/>
      <c r="N136" s="72"/>
      <c r="O136" s="72"/>
      <c r="P136" s="72"/>
      <c r="Q136" s="72"/>
      <c r="R136" s="72"/>
      <c r="S136" s="72"/>
    </row>
    <row r="137" spans="1:19" x14ac:dyDescent="0.25">
      <c r="A137" s="56" t="s">
        <v>117</v>
      </c>
      <c r="B137" s="9">
        <v>136</v>
      </c>
      <c r="C137" s="4">
        <v>5</v>
      </c>
      <c r="D137" s="4">
        <v>5</v>
      </c>
      <c r="E137" s="4">
        <v>3</v>
      </c>
      <c r="F137" s="4">
        <v>3</v>
      </c>
      <c r="G137" s="43">
        <v>1</v>
      </c>
      <c r="H137" s="43">
        <v>1</v>
      </c>
      <c r="I137" s="43">
        <v>1</v>
      </c>
      <c r="J137" s="43">
        <v>1</v>
      </c>
      <c r="L137" s="72"/>
      <c r="M137" s="72"/>
      <c r="N137" s="72"/>
      <c r="O137" s="72"/>
      <c r="P137" s="72"/>
      <c r="Q137" s="72"/>
      <c r="R137" s="72"/>
      <c r="S137" s="72"/>
    </row>
    <row r="138" spans="1:19" x14ac:dyDescent="0.25">
      <c r="A138" s="56" t="s">
        <v>117</v>
      </c>
      <c r="B138" s="9">
        <v>137</v>
      </c>
      <c r="C138" s="4">
        <v>111</v>
      </c>
      <c r="D138" s="4">
        <v>91</v>
      </c>
      <c r="E138" s="4">
        <v>21</v>
      </c>
      <c r="F138" s="4">
        <v>20</v>
      </c>
      <c r="G138" s="72">
        <v>6</v>
      </c>
      <c r="H138" s="72">
        <v>6</v>
      </c>
      <c r="I138" s="72">
        <v>84</v>
      </c>
      <c r="J138" s="72">
        <v>65</v>
      </c>
      <c r="L138" s="72"/>
      <c r="M138" s="72"/>
      <c r="N138" s="72"/>
      <c r="O138" s="72"/>
      <c r="P138" s="72"/>
      <c r="Q138" s="72"/>
      <c r="R138" s="72"/>
      <c r="S138" s="72"/>
    </row>
    <row r="139" spans="1:19" x14ac:dyDescent="0.25">
      <c r="A139" s="56" t="s">
        <v>116</v>
      </c>
      <c r="B139" s="9">
        <v>138</v>
      </c>
      <c r="C139" s="4">
        <v>1644</v>
      </c>
      <c r="D139" s="4">
        <v>531</v>
      </c>
      <c r="E139" s="4">
        <v>196</v>
      </c>
      <c r="F139" s="4">
        <v>106</v>
      </c>
      <c r="G139" s="72">
        <v>812</v>
      </c>
      <c r="H139" s="72">
        <v>229</v>
      </c>
      <c r="I139" s="72">
        <v>636</v>
      </c>
      <c r="J139" s="72">
        <v>196</v>
      </c>
      <c r="L139" s="72"/>
      <c r="M139" s="72"/>
      <c r="N139" s="72"/>
      <c r="O139" s="72"/>
      <c r="P139" s="72"/>
      <c r="Q139" s="72"/>
      <c r="R139" s="72"/>
      <c r="S139" s="72"/>
    </row>
    <row r="140" spans="1:19" x14ac:dyDescent="0.25">
      <c r="A140" s="56" t="s">
        <v>135</v>
      </c>
      <c r="B140" s="9">
        <v>140</v>
      </c>
      <c r="C140" s="4">
        <v>6609</v>
      </c>
      <c r="D140" s="4">
        <v>1442</v>
      </c>
      <c r="E140" s="4">
        <v>2022</v>
      </c>
      <c r="F140" s="4">
        <v>456</v>
      </c>
      <c r="G140" s="72">
        <v>2174</v>
      </c>
      <c r="H140" s="72">
        <v>486</v>
      </c>
      <c r="I140" s="72">
        <v>2413</v>
      </c>
      <c r="J140" s="72">
        <v>500</v>
      </c>
      <c r="L140" s="72"/>
      <c r="M140" s="72"/>
      <c r="N140" s="72"/>
      <c r="O140" s="72"/>
      <c r="P140" s="72"/>
      <c r="Q140" s="72"/>
      <c r="R140" s="72"/>
      <c r="S140" s="72"/>
    </row>
    <row r="141" spans="1:19" x14ac:dyDescent="0.25">
      <c r="A141" s="56" t="s">
        <v>135</v>
      </c>
      <c r="B141" s="9">
        <v>141</v>
      </c>
      <c r="C141" s="4">
        <v>279</v>
      </c>
      <c r="D141" s="4">
        <v>163</v>
      </c>
      <c r="E141" s="4">
        <v>20</v>
      </c>
      <c r="F141" s="4">
        <v>20</v>
      </c>
      <c r="G141" s="43">
        <v>28</v>
      </c>
      <c r="H141" s="43">
        <v>28</v>
      </c>
      <c r="I141" s="43">
        <v>231</v>
      </c>
      <c r="J141" s="43">
        <v>115</v>
      </c>
      <c r="L141" s="72"/>
      <c r="M141" s="72"/>
      <c r="N141" s="72"/>
      <c r="O141" s="72"/>
      <c r="P141" s="72"/>
      <c r="Q141" s="72"/>
      <c r="R141" s="72"/>
      <c r="S141" s="72"/>
    </row>
    <row r="142" spans="1:19" x14ac:dyDescent="0.25">
      <c r="A142" s="55" t="s">
        <v>173</v>
      </c>
      <c r="B142" s="9">
        <v>142</v>
      </c>
      <c r="C142" s="4">
        <v>3</v>
      </c>
      <c r="D142" s="4">
        <v>3</v>
      </c>
      <c r="E142" s="4">
        <v>1</v>
      </c>
      <c r="F142" s="4">
        <v>1</v>
      </c>
      <c r="G142" s="72">
        <v>2</v>
      </c>
      <c r="H142" s="72">
        <v>2</v>
      </c>
      <c r="I142" s="72">
        <v>0</v>
      </c>
      <c r="J142" s="72">
        <v>0</v>
      </c>
      <c r="L142" s="72"/>
      <c r="M142" s="72"/>
      <c r="N142" s="72"/>
      <c r="O142" s="72"/>
      <c r="P142" s="72"/>
      <c r="Q142" s="72"/>
      <c r="R142" s="72"/>
      <c r="S142" s="72"/>
    </row>
    <row r="143" spans="1:19" x14ac:dyDescent="0.25">
      <c r="A143" s="55" t="s">
        <v>173</v>
      </c>
      <c r="B143" s="9">
        <v>143</v>
      </c>
      <c r="C143" s="73">
        <v>6583</v>
      </c>
      <c r="D143" s="73">
        <v>1443</v>
      </c>
      <c r="E143" s="73">
        <v>1970</v>
      </c>
      <c r="F143" s="73">
        <v>443</v>
      </c>
      <c r="G143" s="72">
        <v>2304</v>
      </c>
      <c r="H143" s="72">
        <v>500</v>
      </c>
      <c r="I143" s="72">
        <v>2309</v>
      </c>
      <c r="J143" s="72">
        <v>500</v>
      </c>
      <c r="L143" s="72"/>
      <c r="M143" s="72"/>
      <c r="N143" s="72"/>
      <c r="O143" s="72"/>
      <c r="P143" s="72"/>
      <c r="Q143" s="72"/>
      <c r="R143" s="72"/>
      <c r="S143" s="72"/>
    </row>
    <row r="144" spans="1:19" x14ac:dyDescent="0.25">
      <c r="A144" s="55" t="s">
        <v>188</v>
      </c>
      <c r="B144" s="9">
        <v>144</v>
      </c>
      <c r="C144" s="4">
        <v>6481</v>
      </c>
      <c r="D144" s="4">
        <v>1500</v>
      </c>
      <c r="E144" s="4">
        <v>2158</v>
      </c>
      <c r="F144" s="4">
        <v>500</v>
      </c>
      <c r="G144" s="43">
        <v>2163</v>
      </c>
      <c r="H144" s="43">
        <v>500</v>
      </c>
      <c r="I144" s="43">
        <v>2160</v>
      </c>
      <c r="J144" s="43">
        <v>500</v>
      </c>
      <c r="L144" s="72"/>
      <c r="M144" s="72"/>
      <c r="N144" s="72"/>
      <c r="O144" s="72"/>
      <c r="P144" s="72"/>
      <c r="Q144" s="72"/>
      <c r="R144" s="72"/>
      <c r="S144" s="72"/>
    </row>
    <row r="145" spans="1:19" x14ac:dyDescent="0.25">
      <c r="A145" s="55" t="s">
        <v>188</v>
      </c>
      <c r="B145" s="9">
        <v>145</v>
      </c>
      <c r="C145" s="4">
        <v>6167</v>
      </c>
      <c r="D145" s="4">
        <v>1425</v>
      </c>
      <c r="E145" s="4">
        <v>1804</v>
      </c>
      <c r="F145" s="4">
        <v>425</v>
      </c>
      <c r="G145" s="43">
        <v>2187</v>
      </c>
      <c r="H145" s="43">
        <v>500</v>
      </c>
      <c r="I145" s="43">
        <v>2176</v>
      </c>
      <c r="J145" s="43">
        <v>500</v>
      </c>
      <c r="L145" s="72"/>
      <c r="M145" s="72"/>
      <c r="N145" s="72"/>
      <c r="O145" s="72"/>
      <c r="P145" s="72"/>
      <c r="Q145" s="72"/>
      <c r="R145" s="72"/>
      <c r="S145" s="72"/>
    </row>
    <row r="146" spans="1:19" x14ac:dyDescent="0.25">
      <c r="A146" s="55" t="s">
        <v>122</v>
      </c>
      <c r="B146" s="9">
        <v>146</v>
      </c>
      <c r="C146" s="4">
        <v>3372</v>
      </c>
      <c r="D146" s="4">
        <v>872</v>
      </c>
      <c r="E146" s="4">
        <v>831</v>
      </c>
      <c r="F146" s="4">
        <v>231</v>
      </c>
      <c r="G146" s="72">
        <v>1169</v>
      </c>
      <c r="H146" s="72">
        <v>300</v>
      </c>
      <c r="I146" s="72">
        <v>1372</v>
      </c>
      <c r="J146" s="72">
        <v>341</v>
      </c>
      <c r="L146" s="72"/>
      <c r="M146" s="72"/>
      <c r="N146" s="72"/>
      <c r="O146" s="72"/>
      <c r="P146" s="72"/>
      <c r="Q146" s="72"/>
      <c r="R146" s="72"/>
      <c r="S146" s="72"/>
    </row>
    <row r="147" spans="1:19" x14ac:dyDescent="0.25">
      <c r="A147" s="55" t="s">
        <v>122</v>
      </c>
      <c r="B147" s="9">
        <v>147</v>
      </c>
      <c r="C147" s="4">
        <v>1642</v>
      </c>
      <c r="D147" s="4">
        <v>531</v>
      </c>
      <c r="E147" s="4">
        <v>368</v>
      </c>
      <c r="F147" s="4">
        <v>141</v>
      </c>
      <c r="G147" s="72">
        <v>391</v>
      </c>
      <c r="H147" s="72">
        <v>147</v>
      </c>
      <c r="I147" s="72">
        <v>883</v>
      </c>
      <c r="J147" s="72">
        <v>243</v>
      </c>
      <c r="L147" s="72"/>
      <c r="M147" s="72"/>
      <c r="N147" s="72"/>
      <c r="O147" s="72"/>
      <c r="P147" s="72"/>
      <c r="Q147" s="72"/>
      <c r="R147" s="72"/>
      <c r="S147" s="72"/>
    </row>
    <row r="148" spans="1:19" x14ac:dyDescent="0.25">
      <c r="A148" s="55" t="s">
        <v>123</v>
      </c>
      <c r="B148" s="9">
        <v>148</v>
      </c>
      <c r="C148" s="4">
        <v>2883</v>
      </c>
      <c r="D148" s="4">
        <v>777</v>
      </c>
      <c r="E148" s="4">
        <v>502</v>
      </c>
      <c r="F148" s="4">
        <v>166</v>
      </c>
      <c r="G148" s="72">
        <v>807</v>
      </c>
      <c r="H148" s="72">
        <v>230</v>
      </c>
      <c r="I148" s="72">
        <v>1574</v>
      </c>
      <c r="J148" s="72">
        <v>381</v>
      </c>
      <c r="L148" s="72"/>
      <c r="M148" s="72"/>
      <c r="N148" s="72"/>
      <c r="O148" s="72"/>
      <c r="P148" s="72"/>
      <c r="Q148" s="72"/>
      <c r="R148" s="72"/>
      <c r="S148" s="72"/>
    </row>
    <row r="149" spans="1:19" x14ac:dyDescent="0.25">
      <c r="A149" s="55" t="s">
        <v>123</v>
      </c>
      <c r="B149" s="9">
        <v>149</v>
      </c>
      <c r="C149" s="73">
        <v>3503</v>
      </c>
      <c r="D149" s="73">
        <v>816</v>
      </c>
      <c r="E149" s="73">
        <v>64</v>
      </c>
      <c r="F149" s="73">
        <v>53</v>
      </c>
      <c r="G149" s="43">
        <v>1243</v>
      </c>
      <c r="H149" s="43">
        <v>298</v>
      </c>
      <c r="I149" s="43">
        <v>2196</v>
      </c>
      <c r="J149" s="43">
        <v>465</v>
      </c>
      <c r="L149" s="72"/>
      <c r="M149" s="72"/>
      <c r="N149" s="72"/>
      <c r="O149" s="72"/>
      <c r="P149" s="72"/>
      <c r="Q149" s="72"/>
      <c r="R149" s="72"/>
      <c r="S149" s="72"/>
    </row>
    <row r="150" spans="1:19" x14ac:dyDescent="0.25">
      <c r="A150" s="55" t="s">
        <v>136</v>
      </c>
      <c r="B150" s="9">
        <v>150</v>
      </c>
      <c r="C150" s="73">
        <v>4686</v>
      </c>
      <c r="D150" s="73">
        <v>1126</v>
      </c>
      <c r="E150" s="72">
        <v>1084</v>
      </c>
      <c r="F150" s="72">
        <v>284</v>
      </c>
      <c r="G150" s="43">
        <v>1892</v>
      </c>
      <c r="H150" s="43">
        <v>442</v>
      </c>
      <c r="I150" s="43">
        <v>1672</v>
      </c>
      <c r="J150" s="43">
        <v>400</v>
      </c>
      <c r="L150" s="72"/>
      <c r="M150" s="72"/>
      <c r="N150" s="72"/>
      <c r="O150" s="72"/>
      <c r="P150" s="72"/>
      <c r="Q150" s="72"/>
      <c r="R150" s="72"/>
      <c r="S150" s="72"/>
    </row>
    <row r="151" spans="1:19" x14ac:dyDescent="0.25">
      <c r="A151" s="55" t="s">
        <v>136</v>
      </c>
      <c r="B151" s="9">
        <v>151</v>
      </c>
      <c r="C151" s="4">
        <v>4125</v>
      </c>
      <c r="D151" s="4">
        <v>1000</v>
      </c>
      <c r="E151" s="72">
        <v>965</v>
      </c>
      <c r="F151" s="72">
        <v>255</v>
      </c>
      <c r="G151" s="72">
        <v>1489</v>
      </c>
      <c r="H151" s="72">
        <v>356</v>
      </c>
      <c r="I151" s="72">
        <v>1671</v>
      </c>
      <c r="J151" s="72">
        <v>389</v>
      </c>
      <c r="L151" s="72"/>
      <c r="M151" s="72"/>
      <c r="N151" s="72"/>
      <c r="O151" s="72"/>
      <c r="P151" s="72"/>
      <c r="Q151" s="72"/>
      <c r="R151" s="72"/>
      <c r="S151" s="72"/>
    </row>
    <row r="152" spans="1:19" x14ac:dyDescent="0.25">
      <c r="A152" s="55" t="s">
        <v>125</v>
      </c>
      <c r="B152" s="9">
        <v>152</v>
      </c>
      <c r="C152" s="4">
        <v>497</v>
      </c>
      <c r="D152" s="4">
        <v>252</v>
      </c>
      <c r="E152" s="72">
        <v>21</v>
      </c>
      <c r="F152" s="72">
        <v>20</v>
      </c>
      <c r="G152" s="72">
        <v>204</v>
      </c>
      <c r="H152" s="72">
        <v>110</v>
      </c>
      <c r="I152" s="72">
        <v>272</v>
      </c>
      <c r="J152" s="72">
        <v>122</v>
      </c>
      <c r="L152" s="72"/>
      <c r="M152" s="72"/>
      <c r="N152" s="72"/>
      <c r="O152" s="72"/>
      <c r="P152" s="72"/>
      <c r="Q152" s="72"/>
      <c r="R152" s="72"/>
      <c r="S152" s="72"/>
    </row>
    <row r="153" spans="1:19" x14ac:dyDescent="0.25">
      <c r="A153" s="55" t="s">
        <v>125</v>
      </c>
      <c r="B153" s="9">
        <v>153</v>
      </c>
      <c r="C153" s="4">
        <v>947</v>
      </c>
      <c r="D153" s="4">
        <v>396</v>
      </c>
      <c r="E153" s="72">
        <v>303</v>
      </c>
      <c r="F153" s="72">
        <v>129</v>
      </c>
      <c r="G153" s="72">
        <v>369</v>
      </c>
      <c r="H153" s="72">
        <v>143</v>
      </c>
      <c r="I153" s="72">
        <v>275</v>
      </c>
      <c r="J153" s="72">
        <v>124</v>
      </c>
      <c r="L153" s="72"/>
      <c r="M153" s="72"/>
      <c r="N153" s="72"/>
      <c r="O153" s="72"/>
      <c r="P153" s="72"/>
      <c r="Q153" s="72"/>
      <c r="R153" s="72"/>
      <c r="S153" s="72"/>
    </row>
    <row r="154" spans="1:19" x14ac:dyDescent="0.25">
      <c r="A154" s="72" t="s">
        <v>141</v>
      </c>
      <c r="B154" s="9">
        <v>154</v>
      </c>
      <c r="C154" s="4">
        <v>3554</v>
      </c>
      <c r="D154" s="4">
        <v>887</v>
      </c>
      <c r="E154" s="72">
        <v>1083</v>
      </c>
      <c r="F154" s="72">
        <v>279</v>
      </c>
      <c r="G154" s="72">
        <v>1030</v>
      </c>
      <c r="H154" s="72">
        <v>263</v>
      </c>
      <c r="I154" s="72">
        <v>1441</v>
      </c>
      <c r="J154" s="72">
        <v>345</v>
      </c>
      <c r="L154" s="72"/>
      <c r="M154" s="72"/>
      <c r="N154" s="72"/>
      <c r="O154" s="72"/>
      <c r="P154" s="72"/>
      <c r="Q154" s="72"/>
      <c r="R154" s="72"/>
      <c r="S154" s="72"/>
    </row>
    <row r="155" spans="1:19" x14ac:dyDescent="0.25">
      <c r="A155" s="48" t="s">
        <v>141</v>
      </c>
      <c r="B155" s="9">
        <v>155</v>
      </c>
      <c r="C155" s="4">
        <v>1222</v>
      </c>
      <c r="D155" s="4">
        <v>441</v>
      </c>
      <c r="E155" s="72">
        <v>326</v>
      </c>
      <c r="F155" s="72">
        <v>130</v>
      </c>
      <c r="G155" s="72">
        <v>403</v>
      </c>
      <c r="H155" s="72">
        <v>147</v>
      </c>
      <c r="I155" s="72">
        <v>493</v>
      </c>
      <c r="J155" s="72">
        <v>164</v>
      </c>
      <c r="L155" s="72"/>
      <c r="M155" s="72"/>
      <c r="N155" s="72"/>
      <c r="O155" s="72"/>
      <c r="P155" s="72"/>
      <c r="Q155" s="72"/>
      <c r="R155" s="72"/>
      <c r="S155" s="72"/>
    </row>
    <row r="156" spans="1:19" x14ac:dyDescent="0.25">
      <c r="A156" s="56" t="s">
        <v>140</v>
      </c>
      <c r="B156" s="9">
        <v>156</v>
      </c>
      <c r="C156" s="4">
        <v>142</v>
      </c>
      <c r="D156" s="4">
        <v>102</v>
      </c>
      <c r="E156" s="72">
        <v>100</v>
      </c>
      <c r="F156" s="72">
        <v>70</v>
      </c>
      <c r="G156" s="43">
        <v>8</v>
      </c>
      <c r="H156" s="43">
        <v>7</v>
      </c>
      <c r="I156" s="43">
        <v>34</v>
      </c>
      <c r="J156" s="43">
        <v>25</v>
      </c>
      <c r="L156" s="72"/>
      <c r="M156" s="72"/>
      <c r="N156" s="72"/>
      <c r="O156" s="72"/>
      <c r="P156" s="72"/>
      <c r="Q156" s="72"/>
      <c r="R156" s="72"/>
      <c r="S156" s="72"/>
    </row>
    <row r="157" spans="1:19" x14ac:dyDescent="0.25">
      <c r="A157" s="55" t="s">
        <v>171</v>
      </c>
      <c r="B157" s="9">
        <v>158</v>
      </c>
      <c r="C157" s="4">
        <v>5309</v>
      </c>
      <c r="D157" s="4">
        <v>1246</v>
      </c>
      <c r="E157" s="72">
        <v>1655</v>
      </c>
      <c r="F157" s="72">
        <v>393</v>
      </c>
      <c r="G157" s="43">
        <v>1767</v>
      </c>
      <c r="H157" s="43">
        <v>415</v>
      </c>
      <c r="I157" s="43">
        <v>1887</v>
      </c>
      <c r="J157" s="43">
        <v>438</v>
      </c>
      <c r="L157" s="72"/>
      <c r="M157" s="72"/>
      <c r="N157" s="72"/>
      <c r="O157" s="72"/>
      <c r="P157" s="72"/>
      <c r="Q157" s="72"/>
      <c r="R157" s="72"/>
      <c r="S157" s="72"/>
    </row>
    <row r="158" spans="1:19" x14ac:dyDescent="0.25">
      <c r="A158" s="55" t="s">
        <v>171</v>
      </c>
      <c r="B158" s="9">
        <v>159</v>
      </c>
      <c r="C158" s="4">
        <v>190</v>
      </c>
      <c r="D158" s="4">
        <v>116</v>
      </c>
      <c r="E158" s="72">
        <v>8</v>
      </c>
      <c r="F158" s="72">
        <v>8</v>
      </c>
      <c r="G158" s="43">
        <v>2</v>
      </c>
      <c r="H158" s="43">
        <v>2</v>
      </c>
      <c r="I158" s="43">
        <v>180</v>
      </c>
      <c r="J158" s="43">
        <v>106</v>
      </c>
      <c r="L158" s="72"/>
      <c r="M158" s="72"/>
      <c r="N158" s="72"/>
      <c r="O158" s="72"/>
      <c r="P158" s="72"/>
      <c r="Q158" s="72"/>
      <c r="R158" s="72"/>
      <c r="S158" s="72"/>
    </row>
    <row r="159" spans="1:19" x14ac:dyDescent="0.25">
      <c r="A159" s="55" t="s">
        <v>171</v>
      </c>
      <c r="B159" s="9">
        <v>160</v>
      </c>
      <c r="C159" s="4">
        <v>5027</v>
      </c>
      <c r="D159" s="4">
        <v>1180</v>
      </c>
      <c r="E159" s="72">
        <v>1994</v>
      </c>
      <c r="F159" s="72">
        <v>453</v>
      </c>
      <c r="G159" s="72">
        <v>1705</v>
      </c>
      <c r="H159" s="72">
        <v>396</v>
      </c>
      <c r="I159" s="72">
        <v>1328</v>
      </c>
      <c r="J159" s="72">
        <v>331</v>
      </c>
      <c r="L159" s="72"/>
      <c r="M159" s="72"/>
      <c r="N159" s="72"/>
      <c r="O159" s="72"/>
      <c r="P159" s="72"/>
      <c r="Q159" s="72"/>
      <c r="R159" s="72"/>
      <c r="S159" s="72"/>
    </row>
    <row r="160" spans="1:19" x14ac:dyDescent="0.25">
      <c r="A160" s="48" t="s">
        <v>145</v>
      </c>
      <c r="B160" s="9">
        <v>161</v>
      </c>
      <c r="C160" s="72">
        <v>6508</v>
      </c>
      <c r="D160" s="72">
        <v>1500</v>
      </c>
      <c r="E160" s="72">
        <v>2180</v>
      </c>
      <c r="F160" s="72">
        <v>500</v>
      </c>
      <c r="G160" s="72">
        <v>2164</v>
      </c>
      <c r="H160" s="72">
        <v>500</v>
      </c>
      <c r="I160" s="72">
        <v>2164</v>
      </c>
      <c r="J160" s="72">
        <v>500</v>
      </c>
      <c r="L160" s="72"/>
      <c r="M160" s="72"/>
      <c r="N160" s="72"/>
      <c r="O160" s="72"/>
      <c r="P160" s="72"/>
      <c r="Q160" s="72"/>
      <c r="R160" s="72"/>
      <c r="S160" s="72"/>
    </row>
    <row r="161" spans="1:23" x14ac:dyDescent="0.25">
      <c r="A161" s="48" t="s">
        <v>146</v>
      </c>
      <c r="B161" s="9">
        <v>162</v>
      </c>
      <c r="C161" s="72">
        <v>5543</v>
      </c>
      <c r="D161" s="72">
        <v>1291</v>
      </c>
      <c r="E161" s="72">
        <v>1910</v>
      </c>
      <c r="F161" s="72">
        <v>441</v>
      </c>
      <c r="G161" s="72">
        <v>2208</v>
      </c>
      <c r="H161" s="72">
        <v>500</v>
      </c>
      <c r="I161" s="72">
        <v>1425</v>
      </c>
      <c r="J161" s="72">
        <v>350</v>
      </c>
      <c r="L161" s="72"/>
      <c r="M161" s="72"/>
      <c r="N161" s="72"/>
      <c r="O161" s="72"/>
      <c r="P161" s="72"/>
      <c r="Q161" s="72"/>
      <c r="R161" s="72"/>
      <c r="S161" s="72"/>
    </row>
    <row r="162" spans="1:23" x14ac:dyDescent="0.25">
      <c r="A162" s="72" t="s">
        <v>146</v>
      </c>
      <c r="B162" s="9">
        <v>163</v>
      </c>
      <c r="C162" s="72">
        <v>3488</v>
      </c>
      <c r="D162" s="72">
        <v>899</v>
      </c>
      <c r="E162" s="72">
        <v>1586</v>
      </c>
      <c r="F162" s="72">
        <v>385</v>
      </c>
      <c r="G162" s="72">
        <v>1179</v>
      </c>
      <c r="H162" s="72">
        <v>302</v>
      </c>
      <c r="I162" s="72">
        <v>723</v>
      </c>
      <c r="J162" s="72">
        <v>212</v>
      </c>
      <c r="L162" s="72"/>
      <c r="M162" s="72"/>
      <c r="N162" s="72"/>
      <c r="O162" s="72"/>
      <c r="P162" s="72"/>
      <c r="Q162" s="72"/>
      <c r="R162" s="72"/>
      <c r="S162" s="72"/>
      <c r="T162" s="72"/>
      <c r="U162" s="72"/>
      <c r="V162" s="72"/>
      <c r="W162" s="72"/>
    </row>
    <row r="163" spans="1:23" x14ac:dyDescent="0.25">
      <c r="A163" s="72" t="s">
        <v>173</v>
      </c>
      <c r="B163" s="9">
        <v>164</v>
      </c>
      <c r="C163" s="72">
        <v>6694</v>
      </c>
      <c r="D163" s="72">
        <v>1500</v>
      </c>
      <c r="E163" s="55">
        <v>2181</v>
      </c>
      <c r="F163" s="72">
        <v>500</v>
      </c>
      <c r="G163" s="55">
        <v>2231</v>
      </c>
      <c r="H163" s="43">
        <v>500</v>
      </c>
      <c r="I163" s="55">
        <v>2282</v>
      </c>
      <c r="J163" s="43">
        <v>500</v>
      </c>
      <c r="L163" s="72"/>
      <c r="M163" s="72"/>
      <c r="N163" s="72"/>
      <c r="O163" s="72"/>
      <c r="P163" s="72"/>
      <c r="Q163" s="72"/>
      <c r="R163" s="72"/>
      <c r="S163" s="72"/>
      <c r="T163" s="72"/>
      <c r="U163" s="72"/>
      <c r="V163" s="72"/>
      <c r="W163" s="72"/>
    </row>
    <row r="164" spans="1:23" x14ac:dyDescent="0.25">
      <c r="A164" s="72" t="s">
        <v>6</v>
      </c>
      <c r="B164" s="9">
        <v>165</v>
      </c>
      <c r="C164" s="72">
        <v>7544</v>
      </c>
      <c r="D164" s="72">
        <v>1500</v>
      </c>
      <c r="E164" s="55">
        <v>2448</v>
      </c>
      <c r="F164" s="72">
        <v>500</v>
      </c>
      <c r="G164" s="55">
        <v>2472</v>
      </c>
      <c r="H164" s="43">
        <v>500</v>
      </c>
      <c r="I164" s="55">
        <v>2624</v>
      </c>
      <c r="J164" s="43">
        <v>500</v>
      </c>
      <c r="L164" s="72"/>
      <c r="M164" s="72"/>
      <c r="N164" s="72"/>
      <c r="O164" s="72"/>
      <c r="P164" s="72"/>
      <c r="Q164" s="72"/>
      <c r="R164" s="72"/>
      <c r="S164" s="72"/>
      <c r="T164" s="73"/>
      <c r="U164" s="73"/>
      <c r="V164" s="73"/>
      <c r="W164" s="73"/>
    </row>
    <row r="165" spans="1:23" x14ac:dyDescent="0.25">
      <c r="A165" s="72" t="s">
        <v>6</v>
      </c>
      <c r="B165" s="9">
        <v>166</v>
      </c>
      <c r="C165" s="72">
        <v>16</v>
      </c>
      <c r="D165" s="72">
        <v>15</v>
      </c>
      <c r="E165" s="55">
        <v>11</v>
      </c>
      <c r="F165" s="72">
        <v>10</v>
      </c>
      <c r="G165" s="55">
        <v>1</v>
      </c>
      <c r="H165" s="72">
        <v>1</v>
      </c>
      <c r="I165" s="55">
        <v>4</v>
      </c>
      <c r="J165" s="72">
        <v>4</v>
      </c>
      <c r="L165" s="72"/>
      <c r="M165" s="72"/>
      <c r="N165" s="72"/>
      <c r="O165" s="72"/>
      <c r="P165" s="72"/>
      <c r="Q165" s="72"/>
      <c r="R165" s="72"/>
      <c r="S165" s="72"/>
      <c r="T165" s="4"/>
      <c r="U165" s="4"/>
      <c r="V165" s="4"/>
      <c r="W165" s="4"/>
    </row>
    <row r="166" spans="1:23" x14ac:dyDescent="0.25">
      <c r="A166" s="48" t="s">
        <v>3</v>
      </c>
      <c r="B166" s="9">
        <v>167</v>
      </c>
      <c r="C166" s="72">
        <v>5183</v>
      </c>
      <c r="D166" s="72">
        <v>1222</v>
      </c>
      <c r="E166" s="55">
        <v>823</v>
      </c>
      <c r="F166" s="72">
        <v>222</v>
      </c>
      <c r="G166" s="55">
        <v>2183</v>
      </c>
      <c r="H166" s="43">
        <v>500</v>
      </c>
      <c r="I166" s="55">
        <v>2177</v>
      </c>
      <c r="J166" s="43">
        <v>500</v>
      </c>
      <c r="L166" s="72"/>
      <c r="M166" s="72"/>
      <c r="N166" s="72"/>
      <c r="O166" s="72"/>
      <c r="P166" s="72"/>
      <c r="Q166" s="72"/>
      <c r="R166" s="72"/>
      <c r="S166" s="72"/>
      <c r="T166" s="73"/>
      <c r="U166" s="73"/>
      <c r="V166" s="73"/>
      <c r="W166" s="73"/>
    </row>
    <row r="167" spans="1:23" x14ac:dyDescent="0.25">
      <c r="A167" s="48" t="s">
        <v>3</v>
      </c>
      <c r="B167" s="9">
        <v>168</v>
      </c>
      <c r="C167" s="72">
        <v>6486</v>
      </c>
      <c r="D167" s="72">
        <v>1500</v>
      </c>
      <c r="E167" s="55">
        <v>2165</v>
      </c>
      <c r="F167" s="72">
        <v>500</v>
      </c>
      <c r="G167" s="55">
        <v>2162</v>
      </c>
      <c r="H167" s="72">
        <v>500</v>
      </c>
      <c r="I167" s="55">
        <v>2159</v>
      </c>
      <c r="J167" s="72">
        <v>500</v>
      </c>
      <c r="L167" s="72"/>
      <c r="M167" s="72"/>
      <c r="N167" s="72"/>
      <c r="O167" s="72"/>
      <c r="P167" s="72"/>
      <c r="Q167" s="72"/>
      <c r="R167" s="72"/>
      <c r="S167" s="72"/>
      <c r="T167" s="4"/>
      <c r="U167" s="4"/>
      <c r="V167" s="4"/>
      <c r="W167" s="4"/>
    </row>
    <row r="168" spans="1:23" ht="14.25" customHeight="1" x14ac:dyDescent="0.25">
      <c r="A168" s="48" t="s">
        <v>5</v>
      </c>
      <c r="B168" s="9">
        <v>169</v>
      </c>
      <c r="C168" s="72">
        <v>1235</v>
      </c>
      <c r="D168" s="72">
        <v>323</v>
      </c>
      <c r="E168" s="55">
        <v>4</v>
      </c>
      <c r="F168" s="72">
        <v>4</v>
      </c>
      <c r="G168" s="55">
        <v>7</v>
      </c>
      <c r="H168" s="43">
        <v>7</v>
      </c>
      <c r="I168" s="55">
        <v>1224</v>
      </c>
      <c r="J168" s="43">
        <v>312</v>
      </c>
      <c r="L168" s="72"/>
      <c r="M168" s="72"/>
      <c r="N168" s="72"/>
      <c r="O168" s="72"/>
      <c r="P168" s="72"/>
      <c r="Q168" s="72"/>
      <c r="R168" s="72"/>
      <c r="S168" s="72"/>
      <c r="T168" s="73"/>
      <c r="U168" s="73"/>
      <c r="V168" s="73"/>
      <c r="W168" s="73"/>
    </row>
    <row r="169" spans="1:23" x14ac:dyDescent="0.25">
      <c r="A169" s="48" t="s">
        <v>5</v>
      </c>
      <c r="B169" s="9">
        <v>170</v>
      </c>
      <c r="C169" s="72">
        <v>3964</v>
      </c>
      <c r="D169" s="72">
        <v>934</v>
      </c>
      <c r="E169" s="55">
        <v>24</v>
      </c>
      <c r="F169" s="72">
        <v>23</v>
      </c>
      <c r="G169" s="55">
        <v>1756</v>
      </c>
      <c r="H169" s="72">
        <v>411</v>
      </c>
      <c r="I169" s="55">
        <v>2184</v>
      </c>
      <c r="J169" s="72">
        <v>500</v>
      </c>
      <c r="L169" s="72"/>
      <c r="M169" s="72"/>
      <c r="N169" s="72"/>
      <c r="O169" s="72"/>
      <c r="P169" s="72"/>
      <c r="Q169" s="72"/>
      <c r="R169" s="72"/>
      <c r="S169" s="72"/>
      <c r="T169" s="4"/>
      <c r="U169" s="4"/>
      <c r="V169" s="4"/>
      <c r="W169" s="4"/>
    </row>
    <row r="170" spans="1:23" x14ac:dyDescent="0.25">
      <c r="A170" s="48" t="s">
        <v>147</v>
      </c>
      <c r="B170" s="9">
        <v>171</v>
      </c>
      <c r="C170" s="72">
        <v>6125</v>
      </c>
      <c r="D170" s="72">
        <v>1415</v>
      </c>
      <c r="E170" s="55">
        <v>1875</v>
      </c>
      <c r="F170" s="72">
        <v>435</v>
      </c>
      <c r="G170" s="55">
        <v>2077</v>
      </c>
      <c r="H170" s="72">
        <v>480</v>
      </c>
      <c r="I170" s="55">
        <v>2173</v>
      </c>
      <c r="J170" s="72">
        <v>500</v>
      </c>
      <c r="L170" s="72"/>
      <c r="M170" s="72"/>
      <c r="N170" s="72"/>
      <c r="O170" s="72"/>
      <c r="P170" s="72"/>
      <c r="Q170" s="72"/>
      <c r="R170" s="72"/>
      <c r="S170" s="72"/>
      <c r="T170" s="4"/>
      <c r="U170" s="4"/>
      <c r="V170" s="4"/>
      <c r="W170" s="4"/>
    </row>
    <row r="171" spans="1:23" x14ac:dyDescent="0.25">
      <c r="A171" s="48" t="s">
        <v>147</v>
      </c>
      <c r="B171" s="9">
        <v>172</v>
      </c>
      <c r="C171" s="72">
        <v>6425</v>
      </c>
      <c r="D171" s="72">
        <v>1451</v>
      </c>
      <c r="E171" s="72">
        <v>2214</v>
      </c>
      <c r="F171" s="72">
        <v>500</v>
      </c>
      <c r="G171" s="72">
        <v>1985</v>
      </c>
      <c r="H171" s="72">
        <v>454</v>
      </c>
      <c r="I171" s="72">
        <v>2226</v>
      </c>
      <c r="J171" s="72">
        <v>497</v>
      </c>
      <c r="L171" s="72"/>
      <c r="M171" s="72"/>
      <c r="N171" s="72"/>
      <c r="O171" s="72"/>
      <c r="P171" s="72"/>
      <c r="Q171" s="72"/>
      <c r="R171" s="72"/>
      <c r="S171" s="72"/>
      <c r="T171" s="73"/>
      <c r="U171" s="73"/>
      <c r="V171" s="73"/>
      <c r="W171" s="73"/>
    </row>
    <row r="172" spans="1:23" x14ac:dyDescent="0.25">
      <c r="A172" s="48" t="s">
        <v>9</v>
      </c>
      <c r="B172" s="9">
        <v>173</v>
      </c>
      <c r="C172" s="72">
        <v>13</v>
      </c>
      <c r="D172" s="72">
        <v>13</v>
      </c>
      <c r="E172" s="72">
        <v>11</v>
      </c>
      <c r="F172" s="72">
        <v>11</v>
      </c>
      <c r="G172" s="72">
        <v>1</v>
      </c>
      <c r="H172" s="72">
        <v>1</v>
      </c>
      <c r="I172" s="72">
        <v>1</v>
      </c>
      <c r="J172" s="72">
        <v>1</v>
      </c>
      <c r="L172" s="72"/>
      <c r="M172" s="72"/>
      <c r="N172" s="72"/>
      <c r="O172" s="72"/>
      <c r="P172" s="72"/>
      <c r="Q172" s="72"/>
      <c r="R172" s="72"/>
      <c r="S172" s="72"/>
      <c r="T172" s="4"/>
      <c r="U172" s="4"/>
      <c r="V172" s="4"/>
      <c r="W172" s="4"/>
    </row>
    <row r="173" spans="1:23" x14ac:dyDescent="0.25">
      <c r="A173" s="56" t="s">
        <v>113</v>
      </c>
      <c r="B173" s="9">
        <v>174</v>
      </c>
      <c r="C173" s="72">
        <v>1050</v>
      </c>
      <c r="D173" s="72">
        <v>413</v>
      </c>
      <c r="E173" s="72">
        <v>138</v>
      </c>
      <c r="F173" s="72">
        <v>92</v>
      </c>
      <c r="G173" s="72">
        <v>412</v>
      </c>
      <c r="H173" s="72">
        <v>151</v>
      </c>
      <c r="I173" s="72">
        <v>500</v>
      </c>
      <c r="J173" s="72">
        <v>170</v>
      </c>
      <c r="L173" s="72"/>
      <c r="M173" s="72"/>
      <c r="N173" s="72"/>
      <c r="O173" s="72"/>
      <c r="P173" s="72"/>
      <c r="Q173" s="72"/>
      <c r="R173" s="72"/>
      <c r="S173" s="72"/>
      <c r="T173" s="4"/>
      <c r="U173" s="4"/>
      <c r="V173" s="4"/>
      <c r="W173" s="4"/>
    </row>
    <row r="174" spans="1:23" x14ac:dyDescent="0.25">
      <c r="A174" s="72" t="s">
        <v>112</v>
      </c>
      <c r="B174" s="9">
        <v>175</v>
      </c>
      <c r="C174" s="72">
        <v>2251</v>
      </c>
      <c r="D174" s="72">
        <v>649</v>
      </c>
      <c r="E174" s="72">
        <v>712</v>
      </c>
      <c r="F174" s="72">
        <v>208</v>
      </c>
      <c r="G174" s="43">
        <v>883</v>
      </c>
      <c r="H174" s="43">
        <v>242</v>
      </c>
      <c r="I174" s="43">
        <v>656</v>
      </c>
      <c r="J174" s="43">
        <v>199</v>
      </c>
      <c r="L174" s="72"/>
      <c r="M174" s="72"/>
      <c r="N174" s="72"/>
      <c r="O174" s="72"/>
      <c r="P174" s="72"/>
      <c r="Q174" s="72"/>
      <c r="R174" s="72"/>
      <c r="S174" s="72"/>
      <c r="T174" s="73"/>
      <c r="U174" s="73"/>
      <c r="V174" s="73"/>
      <c r="W174" s="73"/>
    </row>
    <row r="175" spans="1:23" x14ac:dyDescent="0.25">
      <c r="A175" s="48" t="s">
        <v>110</v>
      </c>
      <c r="B175" s="9">
        <v>176</v>
      </c>
      <c r="C175" s="72">
        <v>3382</v>
      </c>
      <c r="D175" s="72">
        <v>866</v>
      </c>
      <c r="E175" s="72">
        <v>843</v>
      </c>
      <c r="F175" s="72">
        <v>232</v>
      </c>
      <c r="G175" s="72">
        <v>951</v>
      </c>
      <c r="H175" s="43">
        <v>255</v>
      </c>
      <c r="I175" s="72">
        <v>1588</v>
      </c>
      <c r="J175" s="43">
        <v>379</v>
      </c>
      <c r="L175" s="72"/>
      <c r="M175" s="72"/>
      <c r="N175" s="72"/>
      <c r="O175" s="72"/>
      <c r="P175" s="72"/>
      <c r="Q175" s="72"/>
      <c r="R175" s="72"/>
      <c r="S175" s="72"/>
      <c r="T175" s="73"/>
      <c r="U175" s="73"/>
      <c r="V175" s="73"/>
      <c r="W175" s="73"/>
    </row>
    <row r="176" spans="1:23" x14ac:dyDescent="0.25">
      <c r="A176" s="55" t="s">
        <v>366</v>
      </c>
      <c r="B176" s="9">
        <v>177</v>
      </c>
      <c r="C176" s="73">
        <v>451</v>
      </c>
      <c r="D176" s="73">
        <v>224</v>
      </c>
      <c r="E176" s="73">
        <v>142</v>
      </c>
      <c r="F176" s="73">
        <v>92</v>
      </c>
      <c r="G176" s="73">
        <v>3</v>
      </c>
      <c r="H176" s="73">
        <v>3</v>
      </c>
      <c r="I176" s="73">
        <v>306</v>
      </c>
      <c r="J176" s="73">
        <v>129</v>
      </c>
      <c r="L176" s="72"/>
      <c r="M176" s="72"/>
      <c r="N176" s="72"/>
      <c r="O176" s="72"/>
      <c r="P176" s="72"/>
      <c r="Q176" s="72"/>
      <c r="R176" s="72"/>
      <c r="S176" s="72"/>
      <c r="T176" s="73"/>
      <c r="U176" s="73"/>
      <c r="V176" s="73"/>
      <c r="W176" s="73"/>
    </row>
    <row r="177" spans="1:23" x14ac:dyDescent="0.25">
      <c r="A177" s="55" t="s">
        <v>366</v>
      </c>
      <c r="B177" s="9">
        <v>178</v>
      </c>
      <c r="C177" s="4">
        <v>6</v>
      </c>
      <c r="D177" s="4">
        <v>6</v>
      </c>
      <c r="E177" s="4">
        <v>6</v>
      </c>
      <c r="F177" s="4">
        <v>6</v>
      </c>
      <c r="G177" s="73">
        <v>0</v>
      </c>
      <c r="H177" s="73">
        <v>0</v>
      </c>
      <c r="I177" s="73">
        <v>0</v>
      </c>
      <c r="J177" s="73">
        <v>0</v>
      </c>
      <c r="L177" s="72"/>
      <c r="M177" s="72"/>
      <c r="N177" s="72"/>
      <c r="O177" s="72"/>
      <c r="P177" s="72"/>
      <c r="Q177" s="72"/>
      <c r="R177" s="72"/>
      <c r="S177" s="72"/>
      <c r="T177" s="73"/>
      <c r="U177" s="73"/>
      <c r="V177" s="73"/>
      <c r="W177" s="73"/>
    </row>
    <row r="178" spans="1:23" x14ac:dyDescent="0.25">
      <c r="A178" s="55" t="s">
        <v>366</v>
      </c>
      <c r="B178" s="9">
        <v>179</v>
      </c>
      <c r="C178" s="4">
        <v>13</v>
      </c>
      <c r="D178" s="4">
        <v>13</v>
      </c>
      <c r="E178" s="4">
        <v>7</v>
      </c>
      <c r="F178" s="4">
        <v>7</v>
      </c>
      <c r="G178" s="73">
        <v>3</v>
      </c>
      <c r="H178" s="73">
        <v>3</v>
      </c>
      <c r="I178" s="73">
        <v>3</v>
      </c>
      <c r="J178" s="73">
        <v>3</v>
      </c>
      <c r="L178" s="72"/>
      <c r="M178" s="72"/>
      <c r="N178" s="72"/>
      <c r="O178" s="72"/>
      <c r="P178" s="72"/>
      <c r="Q178" s="72"/>
      <c r="R178" s="72"/>
      <c r="S178" s="72"/>
      <c r="T178" s="4"/>
      <c r="U178" s="4"/>
      <c r="V178" s="4"/>
      <c r="W178" s="4"/>
    </row>
    <row r="179" spans="1:23" x14ac:dyDescent="0.25">
      <c r="A179" s="55" t="s">
        <v>366</v>
      </c>
      <c r="B179" s="9">
        <v>180</v>
      </c>
      <c r="C179" s="4">
        <v>4892</v>
      </c>
      <c r="D179" s="4">
        <v>1185</v>
      </c>
      <c r="E179" s="4">
        <v>1068</v>
      </c>
      <c r="F179" s="4">
        <v>281</v>
      </c>
      <c r="G179" s="73">
        <v>1676</v>
      </c>
      <c r="H179" s="73">
        <v>404</v>
      </c>
      <c r="I179" s="73">
        <v>2148</v>
      </c>
      <c r="J179" s="73">
        <v>500</v>
      </c>
      <c r="L179" s="72"/>
      <c r="M179" s="72"/>
      <c r="N179" s="72"/>
      <c r="O179" s="72"/>
      <c r="P179" s="72"/>
      <c r="Q179" s="72"/>
      <c r="R179" s="72"/>
      <c r="S179" s="72"/>
      <c r="T179" s="73"/>
      <c r="U179" s="73"/>
      <c r="V179" s="73"/>
      <c r="W179" s="73"/>
    </row>
    <row r="180" spans="1:23" x14ac:dyDescent="0.25">
      <c r="A180" s="55" t="s">
        <v>122</v>
      </c>
      <c r="B180" s="9">
        <v>181</v>
      </c>
      <c r="C180" s="4">
        <v>1144</v>
      </c>
      <c r="D180" s="4">
        <v>436</v>
      </c>
      <c r="E180" s="4">
        <v>454</v>
      </c>
      <c r="F180" s="4">
        <v>158</v>
      </c>
      <c r="G180" s="73">
        <v>363</v>
      </c>
      <c r="H180" s="73">
        <v>143</v>
      </c>
      <c r="I180" s="73">
        <v>327</v>
      </c>
      <c r="J180" s="73">
        <v>135</v>
      </c>
      <c r="L180" s="72"/>
      <c r="M180" s="72"/>
      <c r="N180" s="72"/>
      <c r="O180" s="72"/>
      <c r="P180" s="72"/>
      <c r="Q180" s="72"/>
      <c r="R180" s="72"/>
      <c r="S180" s="72"/>
      <c r="T180" s="73"/>
      <c r="U180" s="73"/>
      <c r="V180" s="73"/>
      <c r="W180" s="73"/>
    </row>
    <row r="181" spans="1:23" x14ac:dyDescent="0.25">
      <c r="A181" s="55" t="s">
        <v>122</v>
      </c>
      <c r="B181" s="9">
        <v>182</v>
      </c>
      <c r="C181" s="73">
        <v>1200</v>
      </c>
      <c r="D181" s="73">
        <v>442</v>
      </c>
      <c r="E181" s="73">
        <v>139</v>
      </c>
      <c r="F181" s="73">
        <v>91</v>
      </c>
      <c r="G181" s="73">
        <v>534</v>
      </c>
      <c r="H181" s="73">
        <v>175</v>
      </c>
      <c r="I181" s="73">
        <v>527</v>
      </c>
      <c r="J181" s="73">
        <v>176</v>
      </c>
      <c r="L181" s="72"/>
      <c r="M181" s="72"/>
      <c r="N181" s="72"/>
      <c r="O181" s="72"/>
      <c r="P181" s="72"/>
      <c r="Q181" s="72"/>
      <c r="R181" s="72"/>
      <c r="S181" s="72"/>
      <c r="T181" s="4"/>
      <c r="U181" s="4"/>
      <c r="V181" s="4"/>
      <c r="W181" s="4"/>
    </row>
    <row r="182" spans="1:23" x14ac:dyDescent="0.25">
      <c r="A182" s="55" t="s">
        <v>122</v>
      </c>
      <c r="B182" s="9">
        <v>183</v>
      </c>
      <c r="C182" s="4">
        <v>923</v>
      </c>
      <c r="D182" s="4">
        <v>394</v>
      </c>
      <c r="E182" s="4">
        <v>246</v>
      </c>
      <c r="F182" s="4">
        <v>120</v>
      </c>
      <c r="G182" s="73">
        <v>413</v>
      </c>
      <c r="H182" s="73">
        <v>152</v>
      </c>
      <c r="I182" s="73">
        <v>264</v>
      </c>
      <c r="J182" s="73">
        <v>122</v>
      </c>
      <c r="L182" s="72"/>
      <c r="M182" s="72"/>
      <c r="N182" s="72"/>
      <c r="O182" s="72"/>
      <c r="P182" s="72"/>
      <c r="Q182" s="72"/>
      <c r="R182" s="72"/>
      <c r="S182" s="72"/>
      <c r="T182" s="73"/>
      <c r="U182" s="73"/>
      <c r="V182" s="73"/>
      <c r="W182" s="73"/>
    </row>
    <row r="183" spans="1:23" x14ac:dyDescent="0.25">
      <c r="A183" s="55" t="s">
        <v>122</v>
      </c>
      <c r="B183" s="9">
        <v>184</v>
      </c>
      <c r="C183" s="4">
        <v>7</v>
      </c>
      <c r="D183" s="4">
        <v>7</v>
      </c>
      <c r="E183" s="4">
        <v>5</v>
      </c>
      <c r="F183" s="4">
        <v>5</v>
      </c>
      <c r="G183" s="73">
        <v>0</v>
      </c>
      <c r="H183" s="73">
        <v>0</v>
      </c>
      <c r="I183" s="73">
        <v>2</v>
      </c>
      <c r="J183" s="73">
        <v>2</v>
      </c>
      <c r="L183" s="72"/>
      <c r="M183" s="72"/>
      <c r="N183" s="72"/>
      <c r="O183" s="72"/>
      <c r="P183" s="72"/>
      <c r="Q183" s="72"/>
      <c r="R183" s="72"/>
      <c r="S183" s="72"/>
      <c r="T183" s="4"/>
      <c r="U183" s="4"/>
      <c r="V183" s="4"/>
      <c r="W183" s="4"/>
    </row>
    <row r="184" spans="1:23" x14ac:dyDescent="0.25">
      <c r="A184" s="58" t="s">
        <v>8</v>
      </c>
      <c r="B184" s="9">
        <v>185</v>
      </c>
      <c r="C184" s="4">
        <v>3459</v>
      </c>
      <c r="D184" s="4">
        <v>884</v>
      </c>
      <c r="E184" s="4">
        <v>447</v>
      </c>
      <c r="F184" s="4">
        <v>159</v>
      </c>
      <c r="G184" s="73">
        <v>794</v>
      </c>
      <c r="H184" s="73">
        <v>225</v>
      </c>
      <c r="I184" s="73">
        <v>2218</v>
      </c>
      <c r="J184" s="73">
        <v>500</v>
      </c>
      <c r="L184" s="72"/>
      <c r="M184" s="72"/>
      <c r="N184" s="72"/>
      <c r="O184" s="72"/>
      <c r="P184" s="72"/>
      <c r="Q184" s="72"/>
      <c r="R184" s="72"/>
      <c r="S184" s="72"/>
      <c r="T184" s="73"/>
      <c r="U184" s="73"/>
      <c r="V184" s="73"/>
      <c r="W184" s="73"/>
    </row>
    <row r="185" spans="1:23" x14ac:dyDescent="0.25">
      <c r="A185" s="72" t="s">
        <v>8</v>
      </c>
      <c r="B185" s="9">
        <v>186</v>
      </c>
      <c r="C185" s="4">
        <v>305</v>
      </c>
      <c r="D185" s="4">
        <v>137</v>
      </c>
      <c r="E185" s="4">
        <v>5</v>
      </c>
      <c r="F185" s="4">
        <v>5</v>
      </c>
      <c r="G185" s="73">
        <v>4</v>
      </c>
      <c r="H185" s="73">
        <v>4</v>
      </c>
      <c r="I185" s="73">
        <v>296</v>
      </c>
      <c r="J185" s="73">
        <v>128</v>
      </c>
      <c r="L185" s="72"/>
      <c r="M185" s="72"/>
      <c r="N185" s="72"/>
      <c r="O185" s="72"/>
      <c r="P185" s="72"/>
      <c r="Q185" s="72"/>
      <c r="R185" s="72"/>
      <c r="S185" s="72"/>
      <c r="T185" s="73"/>
      <c r="U185" s="73"/>
      <c r="V185" s="73"/>
      <c r="W185" s="73"/>
    </row>
    <row r="186" spans="1:23" x14ac:dyDescent="0.25">
      <c r="A186" s="58" t="s">
        <v>8</v>
      </c>
      <c r="B186" s="9">
        <v>187</v>
      </c>
      <c r="C186" s="73">
        <v>10</v>
      </c>
      <c r="D186" s="73">
        <v>9</v>
      </c>
      <c r="E186" s="73">
        <v>4</v>
      </c>
      <c r="F186" s="73">
        <v>3</v>
      </c>
      <c r="G186" s="73">
        <v>0</v>
      </c>
      <c r="H186" s="73">
        <v>0</v>
      </c>
      <c r="I186" s="73">
        <v>6</v>
      </c>
      <c r="J186" s="73">
        <v>6</v>
      </c>
      <c r="L186" s="72"/>
      <c r="M186" s="72"/>
      <c r="N186" s="72"/>
      <c r="O186" s="72"/>
      <c r="P186" s="72"/>
      <c r="Q186" s="72"/>
      <c r="R186" s="72"/>
      <c r="S186" s="72"/>
      <c r="T186" s="4"/>
      <c r="U186" s="4"/>
      <c r="V186" s="4"/>
      <c r="W186" s="4"/>
    </row>
    <row r="187" spans="1:23" x14ac:dyDescent="0.25">
      <c r="A187" s="72" t="s">
        <v>129</v>
      </c>
      <c r="B187" s="9">
        <v>188</v>
      </c>
      <c r="C187" s="4">
        <v>393</v>
      </c>
      <c r="D187" s="4">
        <v>153</v>
      </c>
      <c r="E187" s="4">
        <v>11</v>
      </c>
      <c r="F187" s="4">
        <v>9</v>
      </c>
      <c r="G187" s="73">
        <v>0</v>
      </c>
      <c r="H187" s="73">
        <v>0</v>
      </c>
      <c r="I187" s="73">
        <v>382</v>
      </c>
      <c r="J187" s="73">
        <v>144</v>
      </c>
      <c r="L187" s="72"/>
      <c r="M187" s="72"/>
      <c r="N187" s="72"/>
      <c r="O187" s="72"/>
      <c r="P187" s="72"/>
      <c r="Q187" s="72"/>
      <c r="R187" s="72"/>
      <c r="S187" s="72"/>
      <c r="T187" s="4"/>
      <c r="U187" s="4"/>
      <c r="V187" s="4"/>
      <c r="W187" s="4"/>
    </row>
    <row r="188" spans="1:23" x14ac:dyDescent="0.25">
      <c r="A188" s="58" t="s">
        <v>129</v>
      </c>
      <c r="B188" s="9">
        <v>189</v>
      </c>
      <c r="C188" s="4">
        <v>7</v>
      </c>
      <c r="D188" s="4">
        <v>7</v>
      </c>
      <c r="E188" s="4">
        <v>3</v>
      </c>
      <c r="F188" s="4">
        <v>3</v>
      </c>
      <c r="G188" s="4">
        <v>0</v>
      </c>
      <c r="H188" s="4">
        <v>0</v>
      </c>
      <c r="I188" s="4">
        <v>4</v>
      </c>
      <c r="J188" s="4">
        <v>4</v>
      </c>
      <c r="L188" s="72"/>
      <c r="M188" s="72"/>
      <c r="N188" s="72"/>
      <c r="O188" s="72"/>
      <c r="P188" s="72"/>
      <c r="Q188" s="72"/>
      <c r="R188" s="72"/>
      <c r="S188" s="72"/>
      <c r="T188" s="4"/>
      <c r="U188" s="4"/>
      <c r="V188" s="4"/>
      <c r="W188" s="4"/>
    </row>
    <row r="189" spans="1:23" x14ac:dyDescent="0.25">
      <c r="A189" s="58" t="s">
        <v>129</v>
      </c>
      <c r="B189" s="9">
        <v>190</v>
      </c>
      <c r="C189" s="4">
        <v>1870</v>
      </c>
      <c r="D189" s="4">
        <v>443</v>
      </c>
      <c r="E189" s="4">
        <v>2</v>
      </c>
      <c r="F189" s="4">
        <v>2</v>
      </c>
      <c r="G189" s="73">
        <v>17</v>
      </c>
      <c r="H189" s="73">
        <v>17</v>
      </c>
      <c r="I189" s="73">
        <v>1851</v>
      </c>
      <c r="J189" s="73">
        <v>424</v>
      </c>
      <c r="L189" s="72"/>
      <c r="M189" s="72"/>
      <c r="N189" s="72"/>
      <c r="O189" s="72"/>
      <c r="P189" s="72"/>
      <c r="Q189" s="72"/>
      <c r="R189" s="72"/>
      <c r="S189" s="72"/>
      <c r="T189" s="73"/>
      <c r="U189" s="73"/>
      <c r="V189" s="73"/>
      <c r="W189" s="73"/>
    </row>
    <row r="190" spans="1:23" x14ac:dyDescent="0.25">
      <c r="A190" s="58" t="s">
        <v>50</v>
      </c>
      <c r="B190" s="9">
        <v>191</v>
      </c>
      <c r="C190" s="73">
        <v>2526</v>
      </c>
      <c r="D190" s="73">
        <v>620</v>
      </c>
      <c r="E190" s="73">
        <v>13</v>
      </c>
      <c r="F190" s="73">
        <v>11</v>
      </c>
      <c r="G190" s="73">
        <v>463</v>
      </c>
      <c r="H190" s="73">
        <v>159</v>
      </c>
      <c r="I190" s="73">
        <v>2050</v>
      </c>
      <c r="J190" s="73">
        <v>450</v>
      </c>
      <c r="L190" s="72"/>
      <c r="M190" s="72"/>
      <c r="N190" s="72"/>
      <c r="O190" s="72"/>
      <c r="P190" s="72"/>
      <c r="Q190" s="72"/>
      <c r="R190" s="72"/>
      <c r="S190" s="72"/>
      <c r="T190" s="73"/>
      <c r="U190" s="73"/>
      <c r="V190" s="73"/>
      <c r="W190" s="73"/>
    </row>
    <row r="191" spans="1:23" x14ac:dyDescent="0.25">
      <c r="A191" s="72" t="s">
        <v>50</v>
      </c>
      <c r="B191" s="9">
        <v>192</v>
      </c>
      <c r="C191" s="4">
        <v>1236</v>
      </c>
      <c r="D191" s="4">
        <v>321</v>
      </c>
      <c r="E191" s="4">
        <v>13</v>
      </c>
      <c r="F191" s="4">
        <v>9</v>
      </c>
      <c r="G191" s="73">
        <v>8</v>
      </c>
      <c r="H191" s="73">
        <v>8</v>
      </c>
      <c r="I191" s="73">
        <v>1215</v>
      </c>
      <c r="J191" s="73">
        <v>304</v>
      </c>
      <c r="L191" s="72"/>
      <c r="M191" s="72"/>
      <c r="N191" s="72"/>
      <c r="O191" s="72"/>
      <c r="P191" s="72"/>
      <c r="Q191" s="72"/>
      <c r="R191" s="72"/>
      <c r="S191" s="72"/>
      <c r="T191" s="73"/>
      <c r="U191" s="73"/>
      <c r="V191" s="73"/>
      <c r="W191" s="73"/>
    </row>
    <row r="192" spans="1:23" x14ac:dyDescent="0.25">
      <c r="A192" s="72" t="s">
        <v>50</v>
      </c>
      <c r="B192" s="9">
        <v>193</v>
      </c>
      <c r="C192" s="4">
        <v>5451</v>
      </c>
      <c r="D192" s="4">
        <v>1270</v>
      </c>
      <c r="E192" s="73">
        <v>1600</v>
      </c>
      <c r="F192" s="73">
        <v>381</v>
      </c>
      <c r="G192" s="73">
        <v>1617</v>
      </c>
      <c r="H192" s="73">
        <v>389</v>
      </c>
      <c r="I192" s="73">
        <v>2234</v>
      </c>
      <c r="J192" s="73">
        <v>500</v>
      </c>
      <c r="L192" s="72"/>
      <c r="M192" s="72"/>
      <c r="N192" s="72"/>
      <c r="O192" s="72"/>
      <c r="P192" s="72"/>
      <c r="Q192" s="72"/>
      <c r="R192" s="72"/>
      <c r="S192" s="72"/>
      <c r="T192" s="73"/>
      <c r="U192" s="73"/>
      <c r="V192" s="73"/>
      <c r="W192" s="73"/>
    </row>
    <row r="193" spans="1:23" x14ac:dyDescent="0.25">
      <c r="A193" s="72" t="s">
        <v>173</v>
      </c>
      <c r="B193" s="9">
        <v>194</v>
      </c>
      <c r="C193" s="4">
        <v>2</v>
      </c>
      <c r="D193" s="4">
        <v>2</v>
      </c>
      <c r="E193" s="4">
        <v>2</v>
      </c>
      <c r="F193" s="4">
        <v>2</v>
      </c>
      <c r="G193" s="73">
        <v>0</v>
      </c>
      <c r="H193" s="73">
        <v>0</v>
      </c>
      <c r="I193" s="73">
        <v>0</v>
      </c>
      <c r="J193" s="73">
        <v>0</v>
      </c>
      <c r="L193" s="72"/>
      <c r="M193" s="72"/>
      <c r="N193" s="72"/>
      <c r="O193" s="72"/>
      <c r="P193" s="72"/>
      <c r="Q193" s="72"/>
      <c r="R193" s="72"/>
      <c r="S193" s="72"/>
      <c r="T193" s="73"/>
      <c r="U193" s="73"/>
      <c r="V193" s="73"/>
      <c r="W193" s="73"/>
    </row>
    <row r="194" spans="1:23" x14ac:dyDescent="0.25">
      <c r="A194" s="72" t="s">
        <v>173</v>
      </c>
      <c r="B194" s="9">
        <v>195</v>
      </c>
      <c r="C194" s="4">
        <v>7</v>
      </c>
      <c r="D194" s="4">
        <v>5</v>
      </c>
      <c r="E194" s="4">
        <v>0</v>
      </c>
      <c r="F194" s="4">
        <v>0</v>
      </c>
      <c r="G194" s="73">
        <v>5</v>
      </c>
      <c r="H194" s="73">
        <v>3</v>
      </c>
      <c r="I194" s="73">
        <v>2</v>
      </c>
      <c r="J194" s="73">
        <v>2</v>
      </c>
      <c r="L194" s="72"/>
      <c r="M194" s="72"/>
      <c r="N194" s="72"/>
      <c r="O194" s="72"/>
      <c r="P194" s="72"/>
      <c r="Q194" s="72"/>
      <c r="R194" s="72"/>
      <c r="S194" s="72"/>
      <c r="T194" s="73"/>
      <c r="U194" s="73"/>
      <c r="V194" s="73"/>
      <c r="W194" s="73"/>
    </row>
    <row r="195" spans="1:23" x14ac:dyDescent="0.25">
      <c r="A195" s="58" t="s">
        <v>173</v>
      </c>
      <c r="B195" s="9">
        <v>196</v>
      </c>
      <c r="C195" s="4">
        <v>171</v>
      </c>
      <c r="D195" s="4">
        <v>111</v>
      </c>
      <c r="E195" s="4">
        <v>7</v>
      </c>
      <c r="F195" s="4">
        <v>7</v>
      </c>
      <c r="G195" s="73">
        <v>1</v>
      </c>
      <c r="H195" s="73">
        <v>1</v>
      </c>
      <c r="I195" s="73">
        <v>163</v>
      </c>
      <c r="J195" s="73">
        <v>103</v>
      </c>
      <c r="L195" s="72"/>
      <c r="M195" s="72"/>
      <c r="N195" s="72"/>
      <c r="O195" s="72"/>
      <c r="P195" s="72"/>
      <c r="Q195" s="72"/>
      <c r="R195" s="72"/>
      <c r="S195" s="72"/>
      <c r="T195" s="73"/>
      <c r="U195" s="73"/>
      <c r="V195" s="73"/>
      <c r="W195" s="73"/>
    </row>
    <row r="196" spans="1:23" x14ac:dyDescent="0.25">
      <c r="A196" s="58" t="s">
        <v>5</v>
      </c>
      <c r="B196" s="9">
        <v>197</v>
      </c>
      <c r="C196" s="73">
        <v>6804</v>
      </c>
      <c r="D196" s="73">
        <v>1500</v>
      </c>
      <c r="E196" s="73">
        <v>2252</v>
      </c>
      <c r="F196" s="73">
        <v>500</v>
      </c>
      <c r="G196" s="73">
        <v>2290</v>
      </c>
      <c r="H196" s="73">
        <v>500</v>
      </c>
      <c r="I196" s="73">
        <v>2262</v>
      </c>
      <c r="J196" s="73">
        <v>500</v>
      </c>
      <c r="L196" s="72"/>
      <c r="M196" s="72"/>
      <c r="N196" s="72"/>
      <c r="O196" s="72"/>
      <c r="P196" s="72"/>
      <c r="Q196" s="72"/>
      <c r="R196" s="72"/>
      <c r="S196" s="72"/>
      <c r="T196" s="4"/>
      <c r="U196" s="4"/>
      <c r="V196" s="4"/>
      <c r="W196" s="4"/>
    </row>
    <row r="197" spans="1:23" x14ac:dyDescent="0.25">
      <c r="A197" s="72" t="s">
        <v>5</v>
      </c>
      <c r="B197" s="9">
        <v>198</v>
      </c>
      <c r="C197" s="4">
        <v>6526</v>
      </c>
      <c r="D197" s="4">
        <v>1500</v>
      </c>
      <c r="E197" s="73">
        <v>2172</v>
      </c>
      <c r="F197" s="73">
        <v>500</v>
      </c>
      <c r="G197" s="73">
        <v>2170</v>
      </c>
      <c r="H197" s="73">
        <v>500</v>
      </c>
      <c r="I197" s="73">
        <v>2184</v>
      </c>
      <c r="J197" s="73">
        <v>500</v>
      </c>
      <c r="L197" s="72"/>
      <c r="M197" s="72"/>
      <c r="N197" s="72"/>
      <c r="O197" s="72"/>
      <c r="P197" s="72"/>
      <c r="Q197" s="72"/>
      <c r="R197" s="72"/>
      <c r="S197" s="72"/>
      <c r="T197" s="73"/>
      <c r="U197" s="73"/>
      <c r="V197" s="73"/>
      <c r="W197" s="73"/>
    </row>
    <row r="198" spans="1:23" x14ac:dyDescent="0.25">
      <c r="A198" s="72" t="s">
        <v>4</v>
      </c>
      <c r="B198" s="9">
        <v>199</v>
      </c>
      <c r="C198" s="4">
        <v>1</v>
      </c>
      <c r="D198" s="4">
        <v>1</v>
      </c>
      <c r="E198" s="73">
        <v>1</v>
      </c>
      <c r="F198" s="73">
        <v>1</v>
      </c>
      <c r="G198" s="73">
        <v>0</v>
      </c>
      <c r="H198" s="73">
        <v>0</v>
      </c>
      <c r="I198" s="73">
        <v>0</v>
      </c>
      <c r="J198" s="73">
        <v>0</v>
      </c>
      <c r="L198" s="72"/>
      <c r="M198" s="72"/>
      <c r="N198" s="72"/>
      <c r="O198" s="72"/>
      <c r="P198" s="72"/>
      <c r="Q198" s="72"/>
      <c r="R198" s="72"/>
      <c r="S198" s="72"/>
      <c r="T198" s="73"/>
      <c r="U198" s="73"/>
      <c r="V198" s="73"/>
      <c r="W198" s="73"/>
    </row>
    <row r="199" spans="1:23" x14ac:dyDescent="0.25">
      <c r="A199" s="58" t="s">
        <v>4</v>
      </c>
      <c r="B199" s="9">
        <v>200</v>
      </c>
      <c r="C199" s="4">
        <v>0</v>
      </c>
      <c r="D199" s="4">
        <v>0</v>
      </c>
      <c r="E199" s="4">
        <v>0</v>
      </c>
      <c r="F199" s="4">
        <v>0</v>
      </c>
      <c r="G199" s="73">
        <v>0</v>
      </c>
      <c r="H199" s="73">
        <v>0</v>
      </c>
      <c r="I199" s="73">
        <v>0</v>
      </c>
      <c r="J199" s="73">
        <v>0</v>
      </c>
      <c r="L199" s="72"/>
      <c r="M199" s="72"/>
      <c r="N199" s="72"/>
      <c r="O199" s="72"/>
      <c r="P199" s="72"/>
      <c r="Q199" s="72"/>
      <c r="R199" s="72"/>
      <c r="S199" s="72"/>
      <c r="T199" s="73"/>
      <c r="U199" s="73"/>
      <c r="V199" s="73"/>
      <c r="W199" s="73"/>
    </row>
    <row r="200" spans="1:23" x14ac:dyDescent="0.25">
      <c r="A200" s="58" t="s">
        <v>4</v>
      </c>
      <c r="B200" s="9">
        <v>201</v>
      </c>
      <c r="C200" s="4">
        <v>0</v>
      </c>
      <c r="D200" s="4">
        <v>0</v>
      </c>
      <c r="E200" s="4">
        <v>0</v>
      </c>
      <c r="F200" s="4">
        <v>0</v>
      </c>
      <c r="G200" s="73">
        <v>0</v>
      </c>
      <c r="H200" s="73">
        <v>0</v>
      </c>
      <c r="I200" s="73">
        <v>0</v>
      </c>
      <c r="J200" s="73">
        <v>0</v>
      </c>
      <c r="L200" s="72"/>
      <c r="M200" s="72"/>
      <c r="N200" s="72"/>
      <c r="O200" s="72"/>
      <c r="P200" s="72"/>
      <c r="Q200" s="72"/>
      <c r="R200" s="72"/>
      <c r="S200" s="72"/>
      <c r="T200" s="73"/>
      <c r="U200" s="73"/>
      <c r="V200" s="73"/>
      <c r="W200" s="73"/>
    </row>
    <row r="201" spans="1:23" x14ac:dyDescent="0.25">
      <c r="A201" s="72" t="s">
        <v>2</v>
      </c>
      <c r="B201" s="9">
        <v>202</v>
      </c>
      <c r="C201" s="4">
        <v>1135</v>
      </c>
      <c r="D201" s="4">
        <v>432</v>
      </c>
      <c r="E201" s="4">
        <v>674</v>
      </c>
      <c r="F201" s="4">
        <v>203</v>
      </c>
      <c r="G201" s="73">
        <v>181</v>
      </c>
      <c r="H201" s="73">
        <v>104</v>
      </c>
      <c r="I201" s="73">
        <v>280</v>
      </c>
      <c r="J201" s="73">
        <v>125</v>
      </c>
      <c r="L201" s="72"/>
      <c r="M201" s="72"/>
      <c r="N201" s="72"/>
      <c r="O201" s="72"/>
      <c r="P201" s="72"/>
      <c r="Q201" s="72"/>
      <c r="R201" s="72"/>
      <c r="S201" s="72"/>
      <c r="T201" s="4"/>
      <c r="U201" s="4"/>
      <c r="V201" s="4"/>
      <c r="W201" s="4"/>
    </row>
    <row r="202" spans="1:23" x14ac:dyDescent="0.25">
      <c r="A202" s="72" t="s">
        <v>2</v>
      </c>
      <c r="B202" s="9">
        <v>203</v>
      </c>
      <c r="C202" s="4">
        <v>1865</v>
      </c>
      <c r="D202" s="4">
        <v>574</v>
      </c>
      <c r="E202" s="4">
        <v>351</v>
      </c>
      <c r="F202" s="4">
        <v>138</v>
      </c>
      <c r="G202" s="73">
        <v>839</v>
      </c>
      <c r="H202" s="73">
        <v>235</v>
      </c>
      <c r="I202" s="73">
        <v>675</v>
      </c>
      <c r="J202" s="73">
        <v>201</v>
      </c>
      <c r="L202" s="72"/>
      <c r="M202" s="72"/>
      <c r="N202" s="72"/>
      <c r="O202" s="72"/>
      <c r="P202" s="72"/>
      <c r="Q202" s="72"/>
      <c r="R202" s="72"/>
      <c r="S202" s="72"/>
      <c r="T202" s="73"/>
      <c r="U202" s="73"/>
      <c r="V202" s="73"/>
      <c r="W202" s="73"/>
    </row>
    <row r="203" spans="1:23" x14ac:dyDescent="0.25">
      <c r="A203" s="72" t="s">
        <v>2</v>
      </c>
      <c r="B203" s="9">
        <v>204</v>
      </c>
      <c r="C203" s="4">
        <v>4352</v>
      </c>
      <c r="D203" s="4">
        <v>1071</v>
      </c>
      <c r="E203" s="4">
        <v>1186</v>
      </c>
      <c r="F203" s="4">
        <v>303</v>
      </c>
      <c r="G203" s="73">
        <v>1422</v>
      </c>
      <c r="H203" s="73">
        <v>351</v>
      </c>
      <c r="I203" s="73">
        <v>1744</v>
      </c>
      <c r="J203" s="73">
        <v>417</v>
      </c>
      <c r="L203" s="72"/>
      <c r="M203" s="72"/>
      <c r="N203" s="72"/>
      <c r="O203" s="72"/>
      <c r="P203" s="72"/>
      <c r="Q203" s="72"/>
      <c r="R203" s="72"/>
      <c r="S203" s="72"/>
      <c r="T203" s="73"/>
      <c r="U203" s="73"/>
      <c r="V203" s="73"/>
      <c r="W203" s="73"/>
    </row>
    <row r="204" spans="1:23" x14ac:dyDescent="0.25">
      <c r="A204" s="72" t="s">
        <v>5</v>
      </c>
      <c r="B204" s="9">
        <v>205</v>
      </c>
      <c r="C204" s="4">
        <v>6556</v>
      </c>
      <c r="D204" s="4">
        <v>1500</v>
      </c>
      <c r="E204" s="4">
        <v>2186</v>
      </c>
      <c r="F204" s="4">
        <v>500</v>
      </c>
      <c r="G204" s="73">
        <v>2174</v>
      </c>
      <c r="H204" s="73">
        <v>500</v>
      </c>
      <c r="I204" s="73">
        <v>2196</v>
      </c>
      <c r="J204" s="73">
        <v>500</v>
      </c>
      <c r="L204" s="72"/>
      <c r="M204" s="72"/>
      <c r="N204" s="72"/>
      <c r="O204" s="72"/>
      <c r="P204" s="72"/>
      <c r="Q204" s="72"/>
      <c r="R204" s="72"/>
      <c r="S204" s="72"/>
      <c r="T204" s="73"/>
      <c r="U204" s="73"/>
      <c r="V204" s="73"/>
      <c r="W204" s="73"/>
    </row>
    <row r="205" spans="1:23" x14ac:dyDescent="0.25">
      <c r="A205" s="72" t="s">
        <v>3</v>
      </c>
      <c r="B205" s="9">
        <v>206</v>
      </c>
      <c r="C205" s="4">
        <v>2413</v>
      </c>
      <c r="D205" s="4">
        <v>625</v>
      </c>
      <c r="E205" s="4">
        <v>7</v>
      </c>
      <c r="F205" s="4">
        <v>7</v>
      </c>
      <c r="G205" s="73">
        <v>247</v>
      </c>
      <c r="H205" s="73">
        <v>118</v>
      </c>
      <c r="I205" s="73">
        <v>2159</v>
      </c>
      <c r="J205" s="73">
        <v>500</v>
      </c>
      <c r="L205" s="72"/>
      <c r="M205" s="72"/>
      <c r="N205" s="72"/>
      <c r="O205" s="72"/>
      <c r="P205" s="72"/>
      <c r="Q205" s="72"/>
      <c r="R205" s="72"/>
      <c r="S205" s="72"/>
      <c r="T205" s="73"/>
      <c r="U205" s="73"/>
      <c r="V205" s="73"/>
      <c r="W205" s="73"/>
    </row>
    <row r="206" spans="1:23" x14ac:dyDescent="0.25">
      <c r="A206" s="72" t="s">
        <v>3</v>
      </c>
      <c r="B206" s="9">
        <v>207</v>
      </c>
      <c r="C206" s="4">
        <v>6109</v>
      </c>
      <c r="D206" s="4">
        <v>1421</v>
      </c>
      <c r="E206" s="73">
        <v>1770</v>
      </c>
      <c r="F206" s="73">
        <v>421</v>
      </c>
      <c r="G206" s="73">
        <v>2165</v>
      </c>
      <c r="H206" s="73">
        <v>500</v>
      </c>
      <c r="I206" s="73">
        <v>2174</v>
      </c>
      <c r="J206" s="73">
        <v>500</v>
      </c>
      <c r="L206" s="72"/>
      <c r="M206" s="72"/>
      <c r="N206" s="72"/>
      <c r="O206" s="72"/>
      <c r="P206" s="72"/>
      <c r="Q206" s="72"/>
      <c r="R206" s="72"/>
      <c r="S206" s="72"/>
      <c r="T206" s="73"/>
      <c r="U206" s="73"/>
      <c r="V206" s="73"/>
      <c r="W206" s="73"/>
    </row>
    <row r="207" spans="1:23" x14ac:dyDescent="0.25">
      <c r="A207" s="72" t="s">
        <v>56</v>
      </c>
      <c r="B207" s="9">
        <v>208</v>
      </c>
      <c r="C207" s="4">
        <v>12</v>
      </c>
      <c r="D207" s="4">
        <v>12</v>
      </c>
      <c r="E207" s="4">
        <v>8</v>
      </c>
      <c r="F207" s="4">
        <v>8</v>
      </c>
      <c r="G207" s="73">
        <v>3</v>
      </c>
      <c r="H207" s="73">
        <v>3</v>
      </c>
      <c r="I207" s="73">
        <v>1</v>
      </c>
      <c r="J207" s="73">
        <v>1</v>
      </c>
      <c r="L207" s="72"/>
      <c r="M207" s="72"/>
      <c r="N207" s="72"/>
      <c r="O207" s="72"/>
      <c r="P207" s="72"/>
      <c r="Q207" s="72"/>
      <c r="R207" s="72"/>
      <c r="S207" s="72"/>
      <c r="T207" s="73"/>
      <c r="U207" s="73"/>
      <c r="V207" s="73"/>
      <c r="W207" s="73"/>
    </row>
    <row r="208" spans="1:23" x14ac:dyDescent="0.25">
      <c r="A208" s="72" t="s">
        <v>56</v>
      </c>
      <c r="B208" s="9">
        <v>209</v>
      </c>
      <c r="C208" s="4">
        <v>1636</v>
      </c>
      <c r="D208" s="4">
        <v>408</v>
      </c>
      <c r="E208" s="4">
        <v>13</v>
      </c>
      <c r="F208" s="4">
        <v>13</v>
      </c>
      <c r="G208" s="73">
        <v>4</v>
      </c>
      <c r="H208" s="73">
        <v>4</v>
      </c>
      <c r="I208" s="73">
        <v>1619</v>
      </c>
      <c r="J208" s="73">
        <v>391</v>
      </c>
      <c r="L208" s="72"/>
      <c r="M208" s="72"/>
      <c r="N208" s="72"/>
      <c r="O208" s="72"/>
      <c r="P208" s="72"/>
      <c r="Q208" s="72"/>
      <c r="R208" s="72"/>
      <c r="S208" s="72"/>
      <c r="T208" s="73"/>
      <c r="U208" s="73"/>
      <c r="V208" s="73"/>
      <c r="W208" s="73"/>
    </row>
    <row r="209" spans="1:23" x14ac:dyDescent="0.25">
      <c r="A209" s="72" t="s">
        <v>56</v>
      </c>
      <c r="B209" s="9">
        <v>210</v>
      </c>
      <c r="C209" s="4">
        <v>6</v>
      </c>
      <c r="D209" s="4">
        <v>6</v>
      </c>
      <c r="E209" s="4">
        <v>4</v>
      </c>
      <c r="F209" s="4">
        <v>4</v>
      </c>
      <c r="G209" s="73">
        <v>2</v>
      </c>
      <c r="H209" s="73">
        <v>2</v>
      </c>
      <c r="I209" s="73">
        <v>0</v>
      </c>
      <c r="J209" s="73">
        <v>0</v>
      </c>
      <c r="L209" s="72"/>
      <c r="M209" s="72"/>
      <c r="N209" s="72"/>
      <c r="O209" s="72"/>
      <c r="P209" s="72"/>
      <c r="Q209" s="72"/>
      <c r="R209" s="72"/>
      <c r="S209" s="72"/>
      <c r="T209" s="4"/>
      <c r="U209" s="4"/>
      <c r="V209" s="4"/>
      <c r="W209" s="4"/>
    </row>
    <row r="210" spans="1:23" x14ac:dyDescent="0.25">
      <c r="A210" s="65" t="s">
        <v>6</v>
      </c>
      <c r="B210" s="9">
        <v>211</v>
      </c>
      <c r="C210" s="68">
        <v>2382</v>
      </c>
      <c r="D210" s="70">
        <v>518</v>
      </c>
      <c r="E210" s="67">
        <v>19</v>
      </c>
      <c r="F210" s="70">
        <v>17</v>
      </c>
      <c r="G210" s="73">
        <v>1</v>
      </c>
      <c r="H210" s="73">
        <v>1</v>
      </c>
      <c r="I210" s="73">
        <v>2362</v>
      </c>
      <c r="J210" s="73">
        <v>500</v>
      </c>
      <c r="L210" s="72"/>
      <c r="M210" s="72"/>
      <c r="N210" s="72"/>
      <c r="O210" s="72"/>
      <c r="P210" s="72"/>
      <c r="Q210" s="72"/>
      <c r="R210" s="72"/>
      <c r="S210" s="72"/>
      <c r="T210" s="73"/>
      <c r="U210" s="73"/>
      <c r="V210" s="73"/>
      <c r="W210" s="73"/>
    </row>
    <row r="211" spans="1:23" x14ac:dyDescent="0.25">
      <c r="A211" s="72" t="s">
        <v>6</v>
      </c>
      <c r="B211" s="9">
        <v>212</v>
      </c>
      <c r="C211" s="68">
        <v>1187</v>
      </c>
      <c r="D211" s="70">
        <v>286</v>
      </c>
      <c r="E211" s="67">
        <v>4</v>
      </c>
      <c r="F211" s="70">
        <v>4</v>
      </c>
      <c r="G211" s="73">
        <v>1</v>
      </c>
      <c r="H211" s="73">
        <v>1</v>
      </c>
      <c r="I211" s="73">
        <v>1182</v>
      </c>
      <c r="J211" s="73">
        <v>281</v>
      </c>
      <c r="L211" s="72"/>
      <c r="M211" s="72"/>
      <c r="N211" s="72"/>
      <c r="O211" s="72"/>
      <c r="P211" s="72"/>
      <c r="Q211" s="72"/>
      <c r="R211" s="72"/>
      <c r="S211" s="72"/>
      <c r="T211" s="4"/>
      <c r="U211" s="4"/>
      <c r="V211" s="4"/>
      <c r="W211" s="4"/>
    </row>
    <row r="212" spans="1:23" ht="14.25" customHeight="1" x14ac:dyDescent="0.25">
      <c r="A212" s="65" t="s">
        <v>6</v>
      </c>
      <c r="B212" s="9">
        <v>213</v>
      </c>
      <c r="C212" s="68">
        <v>11</v>
      </c>
      <c r="D212" s="70">
        <v>10</v>
      </c>
      <c r="E212" s="67">
        <v>5</v>
      </c>
      <c r="F212" s="70">
        <v>5</v>
      </c>
      <c r="G212" s="73">
        <v>0</v>
      </c>
      <c r="H212" s="73">
        <v>0</v>
      </c>
      <c r="I212" s="73">
        <v>6</v>
      </c>
      <c r="J212" s="73">
        <v>5</v>
      </c>
      <c r="L212" s="72"/>
      <c r="M212" s="72"/>
      <c r="N212" s="72"/>
      <c r="O212" s="72"/>
      <c r="P212" s="72"/>
      <c r="Q212" s="72"/>
      <c r="R212" s="72"/>
      <c r="S212" s="72"/>
      <c r="T212" s="73"/>
      <c r="U212" s="73"/>
      <c r="V212" s="73"/>
      <c r="W212" s="73"/>
    </row>
    <row r="213" spans="1:23" x14ac:dyDescent="0.25">
      <c r="A213" s="65" t="s">
        <v>187</v>
      </c>
      <c r="B213" s="9">
        <v>214</v>
      </c>
      <c r="C213" s="68">
        <v>3127</v>
      </c>
      <c r="D213" s="70">
        <v>814</v>
      </c>
      <c r="E213" s="67">
        <v>327</v>
      </c>
      <c r="F213" s="70">
        <v>125</v>
      </c>
      <c r="G213" s="73">
        <v>631</v>
      </c>
      <c r="H213" s="73">
        <v>189</v>
      </c>
      <c r="I213" s="73">
        <v>2169</v>
      </c>
      <c r="J213" s="73">
        <v>500</v>
      </c>
      <c r="L213" s="72"/>
      <c r="M213" s="72"/>
      <c r="N213" s="72"/>
      <c r="O213" s="72"/>
      <c r="P213" s="72"/>
      <c r="Q213" s="72"/>
      <c r="R213" s="72"/>
      <c r="S213" s="72"/>
      <c r="T213" s="73"/>
      <c r="U213" s="73"/>
      <c r="V213" s="73"/>
      <c r="W213" s="73"/>
    </row>
    <row r="214" spans="1:23" x14ac:dyDescent="0.25">
      <c r="A214" s="72" t="s">
        <v>187</v>
      </c>
      <c r="B214" s="9">
        <v>215</v>
      </c>
      <c r="C214" s="68">
        <v>6235</v>
      </c>
      <c r="D214" s="70">
        <v>1405</v>
      </c>
      <c r="E214" s="73">
        <v>2098</v>
      </c>
      <c r="F214" s="73">
        <v>465</v>
      </c>
      <c r="G214" s="73">
        <v>1936</v>
      </c>
      <c r="H214" s="73">
        <v>440</v>
      </c>
      <c r="I214" s="73">
        <v>2201</v>
      </c>
      <c r="J214" s="73">
        <v>500</v>
      </c>
      <c r="L214" s="72"/>
      <c r="M214" s="72"/>
      <c r="N214" s="72"/>
      <c r="O214" s="72"/>
      <c r="P214" s="72"/>
      <c r="Q214" s="72"/>
      <c r="R214" s="72"/>
      <c r="S214" s="72"/>
      <c r="T214" s="73"/>
      <c r="U214" s="73"/>
      <c r="V214" s="73"/>
      <c r="W214" s="73"/>
    </row>
    <row r="215" spans="1:23" x14ac:dyDescent="0.25">
      <c r="A215" s="65" t="s">
        <v>187</v>
      </c>
      <c r="B215" s="9">
        <v>216</v>
      </c>
      <c r="C215" s="68">
        <v>5789</v>
      </c>
      <c r="D215" s="70">
        <v>1352</v>
      </c>
      <c r="E215" s="67">
        <v>1762</v>
      </c>
      <c r="F215" s="70">
        <v>415</v>
      </c>
      <c r="G215" s="73">
        <v>1859</v>
      </c>
      <c r="H215" s="73">
        <v>437</v>
      </c>
      <c r="I215" s="73">
        <v>2168</v>
      </c>
      <c r="J215" s="73">
        <v>500</v>
      </c>
      <c r="L215" s="72"/>
      <c r="M215" s="72"/>
      <c r="N215" s="72"/>
      <c r="O215" s="72"/>
      <c r="P215" s="72"/>
      <c r="Q215" s="72"/>
      <c r="R215" s="72"/>
      <c r="S215" s="72"/>
      <c r="T215" s="73"/>
      <c r="U215" s="73"/>
      <c r="V215" s="73"/>
      <c r="W215" s="73"/>
    </row>
    <row r="216" spans="1:23" x14ac:dyDescent="0.25">
      <c r="A216" s="65" t="s">
        <v>1</v>
      </c>
      <c r="B216" s="9">
        <v>217</v>
      </c>
      <c r="C216" s="68">
        <v>2406</v>
      </c>
      <c r="D216" s="70">
        <v>621</v>
      </c>
      <c r="E216" s="67">
        <v>13</v>
      </c>
      <c r="F216" s="70">
        <v>13</v>
      </c>
      <c r="G216" s="73">
        <v>193</v>
      </c>
      <c r="H216" s="73">
        <v>108</v>
      </c>
      <c r="I216" s="73">
        <v>2200</v>
      </c>
      <c r="J216" s="73">
        <v>500</v>
      </c>
      <c r="L216" s="72"/>
      <c r="M216" s="72"/>
      <c r="N216" s="72"/>
      <c r="O216" s="72"/>
      <c r="P216" s="72"/>
      <c r="Q216" s="72"/>
      <c r="R216" s="72"/>
      <c r="S216" s="72"/>
      <c r="T216" s="73"/>
      <c r="U216" s="73"/>
      <c r="V216" s="73"/>
      <c r="W216" s="73"/>
    </row>
    <row r="217" spans="1:23" x14ac:dyDescent="0.25">
      <c r="A217" s="65" t="s">
        <v>1</v>
      </c>
      <c r="B217" s="9">
        <v>218</v>
      </c>
      <c r="C217" s="73">
        <v>557</v>
      </c>
      <c r="D217" s="73">
        <v>184</v>
      </c>
      <c r="E217" s="73">
        <v>7</v>
      </c>
      <c r="F217" s="73">
        <v>7</v>
      </c>
      <c r="G217" s="73">
        <v>2</v>
      </c>
      <c r="H217" s="73">
        <v>2</v>
      </c>
      <c r="I217" s="73">
        <v>548</v>
      </c>
      <c r="J217" s="73">
        <v>175</v>
      </c>
      <c r="L217" s="72"/>
      <c r="M217" s="72"/>
      <c r="N217" s="72"/>
      <c r="O217" s="72"/>
      <c r="P217" s="72"/>
      <c r="Q217" s="72"/>
      <c r="R217" s="72"/>
      <c r="S217" s="72"/>
      <c r="T217" s="73"/>
      <c r="U217" s="73"/>
      <c r="V217" s="73"/>
      <c r="W217" s="73"/>
    </row>
    <row r="218" spans="1:23" x14ac:dyDescent="0.25">
      <c r="A218" s="72" t="s">
        <v>1</v>
      </c>
      <c r="B218" s="9">
        <v>219</v>
      </c>
      <c r="C218" s="68">
        <v>649</v>
      </c>
      <c r="D218" s="70">
        <v>206</v>
      </c>
      <c r="E218" s="73">
        <v>8</v>
      </c>
      <c r="F218" s="73">
        <v>8</v>
      </c>
      <c r="G218" s="73">
        <v>1</v>
      </c>
      <c r="H218" s="73">
        <v>1</v>
      </c>
      <c r="I218" s="73">
        <v>640</v>
      </c>
      <c r="J218" s="73">
        <v>197</v>
      </c>
      <c r="L218" s="72"/>
      <c r="M218" s="72"/>
      <c r="N218" s="72"/>
      <c r="O218" s="72"/>
      <c r="P218" s="72"/>
      <c r="Q218" s="72"/>
      <c r="R218" s="72"/>
      <c r="S218" s="72"/>
      <c r="T218" s="73"/>
      <c r="U218" s="73"/>
      <c r="V218" s="73"/>
      <c r="W218" s="73"/>
    </row>
    <row r="219" spans="1:23" x14ac:dyDescent="0.25">
      <c r="A219" s="71" t="s">
        <v>424</v>
      </c>
      <c r="B219" s="71">
        <v>220</v>
      </c>
      <c r="C219" s="73">
        <v>5</v>
      </c>
      <c r="D219" s="73">
        <v>5</v>
      </c>
      <c r="E219" s="73">
        <v>3</v>
      </c>
      <c r="F219" s="73">
        <v>3</v>
      </c>
      <c r="G219" s="73">
        <v>0</v>
      </c>
      <c r="H219" s="73">
        <v>0</v>
      </c>
      <c r="I219" s="73">
        <v>2</v>
      </c>
      <c r="J219" s="73">
        <v>2</v>
      </c>
      <c r="K219" s="72"/>
      <c r="L219" s="72"/>
      <c r="M219" s="55"/>
      <c r="N219" s="72"/>
      <c r="P219" s="72"/>
      <c r="Q219" s="72"/>
      <c r="R219" s="72"/>
      <c r="S219" s="72"/>
      <c r="T219" s="4"/>
      <c r="U219" s="4"/>
      <c r="V219" s="4"/>
      <c r="W219" s="4"/>
    </row>
    <row r="220" spans="1:23" x14ac:dyDescent="0.25">
      <c r="A220" s="71" t="s">
        <v>424</v>
      </c>
      <c r="B220" s="71">
        <v>221</v>
      </c>
      <c r="C220" s="73">
        <v>2</v>
      </c>
      <c r="D220" s="73">
        <v>2</v>
      </c>
      <c r="E220" s="73">
        <v>2</v>
      </c>
      <c r="F220" s="73">
        <v>2</v>
      </c>
      <c r="G220" s="73">
        <v>0</v>
      </c>
      <c r="H220" s="73">
        <v>0</v>
      </c>
      <c r="I220" s="73">
        <v>0</v>
      </c>
      <c r="J220" s="73">
        <v>0</v>
      </c>
      <c r="K220" s="72"/>
      <c r="L220" s="72"/>
      <c r="M220" s="55"/>
      <c r="N220" s="72"/>
      <c r="P220" s="72"/>
      <c r="Q220" s="72"/>
      <c r="R220" s="72"/>
      <c r="S220" s="72"/>
      <c r="T220" s="73"/>
      <c r="U220" s="73"/>
      <c r="V220" s="73"/>
      <c r="W220" s="73"/>
    </row>
    <row r="221" spans="1:23" x14ac:dyDescent="0.25">
      <c r="A221" s="71" t="s">
        <v>424</v>
      </c>
      <c r="B221" s="71">
        <v>222</v>
      </c>
      <c r="C221" s="73">
        <v>1285</v>
      </c>
      <c r="D221" s="73">
        <v>453</v>
      </c>
      <c r="E221" s="73">
        <v>344</v>
      </c>
      <c r="F221" s="73">
        <v>132</v>
      </c>
      <c r="G221" s="73">
        <v>190</v>
      </c>
      <c r="H221" s="73">
        <v>104</v>
      </c>
      <c r="I221" s="73">
        <v>751</v>
      </c>
      <c r="J221" s="73">
        <v>217</v>
      </c>
      <c r="K221" s="72"/>
      <c r="L221" s="72"/>
      <c r="M221" s="55"/>
      <c r="N221" s="72"/>
      <c r="P221" s="72"/>
      <c r="Q221" s="72"/>
      <c r="R221" s="72"/>
      <c r="S221" s="72"/>
      <c r="T221" s="73"/>
      <c r="U221" s="73"/>
      <c r="V221" s="73"/>
      <c r="W221" s="73"/>
    </row>
    <row r="222" spans="1:23" x14ac:dyDescent="0.25">
      <c r="A222" s="71" t="s">
        <v>129</v>
      </c>
      <c r="B222" s="71">
        <v>223</v>
      </c>
      <c r="C222" s="73">
        <v>771</v>
      </c>
      <c r="D222" s="73">
        <v>243</v>
      </c>
      <c r="E222" s="73">
        <v>18</v>
      </c>
      <c r="F222" s="73">
        <v>18</v>
      </c>
      <c r="G222" s="73">
        <v>13</v>
      </c>
      <c r="H222" s="73">
        <v>11</v>
      </c>
      <c r="I222" s="73">
        <v>740</v>
      </c>
      <c r="J222" s="73">
        <v>214</v>
      </c>
      <c r="K222" s="72"/>
      <c r="L222" s="72"/>
      <c r="M222" s="55"/>
      <c r="N222" s="72"/>
      <c r="P222" s="72"/>
      <c r="Q222" s="72"/>
      <c r="R222" s="72"/>
      <c r="S222" s="72"/>
      <c r="T222" s="73"/>
      <c r="U222" s="73"/>
      <c r="V222" s="73"/>
      <c r="W222" s="73"/>
    </row>
    <row r="223" spans="1:23" x14ac:dyDescent="0.25">
      <c r="A223" s="71" t="s">
        <v>129</v>
      </c>
      <c r="B223" s="71">
        <v>224</v>
      </c>
      <c r="C223" s="73">
        <v>5</v>
      </c>
      <c r="D223" s="73">
        <v>5</v>
      </c>
      <c r="E223" s="73">
        <v>3</v>
      </c>
      <c r="F223" s="73">
        <v>3</v>
      </c>
      <c r="G223" s="73">
        <v>1</v>
      </c>
      <c r="H223" s="73">
        <v>1</v>
      </c>
      <c r="I223" s="73">
        <v>1</v>
      </c>
      <c r="J223" s="73">
        <v>1</v>
      </c>
      <c r="K223" s="72"/>
      <c r="L223" s="72"/>
      <c r="M223" s="55"/>
      <c r="N223" s="72"/>
      <c r="P223" s="72"/>
      <c r="Q223" s="72"/>
      <c r="R223" s="72"/>
      <c r="S223" s="72"/>
      <c r="T223" s="73"/>
      <c r="U223" s="73"/>
      <c r="V223" s="73"/>
      <c r="W223" s="73"/>
    </row>
    <row r="224" spans="1:23" x14ac:dyDescent="0.25">
      <c r="A224" s="71" t="s">
        <v>129</v>
      </c>
      <c r="B224" s="71">
        <v>225</v>
      </c>
      <c r="C224" s="73">
        <v>6</v>
      </c>
      <c r="D224" s="73">
        <v>6</v>
      </c>
      <c r="E224" s="73">
        <v>5</v>
      </c>
      <c r="F224" s="73">
        <v>5</v>
      </c>
      <c r="G224" s="73">
        <v>1</v>
      </c>
      <c r="H224" s="73">
        <v>1</v>
      </c>
      <c r="I224" s="73">
        <v>0</v>
      </c>
      <c r="J224" s="73">
        <v>0</v>
      </c>
      <c r="K224" s="72"/>
      <c r="L224" s="72"/>
      <c r="M224" s="55"/>
      <c r="N224" s="72"/>
      <c r="P224" s="72"/>
      <c r="Q224" s="72"/>
      <c r="R224" s="72"/>
      <c r="S224" s="72"/>
      <c r="T224" s="4"/>
      <c r="U224" s="4"/>
      <c r="V224" s="4"/>
      <c r="W224" s="4"/>
    </row>
    <row r="225" spans="1:23" x14ac:dyDescent="0.25">
      <c r="A225" s="71" t="s">
        <v>423</v>
      </c>
      <c r="B225" s="71">
        <v>226</v>
      </c>
      <c r="C225" s="73">
        <v>540</v>
      </c>
      <c r="D225" s="73">
        <v>298</v>
      </c>
      <c r="E225" s="73">
        <v>105</v>
      </c>
      <c r="F225" s="73">
        <v>76</v>
      </c>
      <c r="G225" s="73">
        <v>167</v>
      </c>
      <c r="H225" s="73">
        <v>102</v>
      </c>
      <c r="I225" s="73">
        <v>268</v>
      </c>
      <c r="J225" s="73">
        <v>120</v>
      </c>
      <c r="K225" s="72"/>
      <c r="L225" s="72"/>
      <c r="M225" s="55"/>
      <c r="N225" s="72"/>
      <c r="P225" s="72"/>
      <c r="Q225" s="72"/>
      <c r="R225" s="72"/>
      <c r="S225" s="72"/>
      <c r="T225" s="73"/>
      <c r="U225" s="73"/>
      <c r="V225" s="73"/>
      <c r="W225" s="73"/>
    </row>
    <row r="226" spans="1:23" x14ac:dyDescent="0.25">
      <c r="A226" s="71" t="s">
        <v>423</v>
      </c>
      <c r="B226" s="71">
        <v>227</v>
      </c>
      <c r="C226" s="73">
        <v>2</v>
      </c>
      <c r="D226" s="73">
        <v>2</v>
      </c>
      <c r="E226" s="73">
        <v>1</v>
      </c>
      <c r="F226" s="73">
        <v>1</v>
      </c>
      <c r="G226" s="73">
        <v>0</v>
      </c>
      <c r="H226" s="73">
        <v>0</v>
      </c>
      <c r="I226" s="73">
        <v>1</v>
      </c>
      <c r="J226" s="73">
        <v>1</v>
      </c>
      <c r="K226" s="72"/>
      <c r="L226" s="72"/>
      <c r="M226" s="55"/>
      <c r="N226" s="72"/>
      <c r="P226" s="72"/>
      <c r="Q226" s="72"/>
      <c r="R226" s="72"/>
      <c r="S226" s="72"/>
      <c r="T226" s="73"/>
      <c r="U226" s="73"/>
      <c r="V226" s="73"/>
      <c r="W226" s="73"/>
    </row>
    <row r="227" spans="1:23" x14ac:dyDescent="0.25">
      <c r="A227" s="71" t="s">
        <v>366</v>
      </c>
      <c r="B227" s="71">
        <v>228</v>
      </c>
      <c r="C227" s="73">
        <v>1</v>
      </c>
      <c r="D227" s="73">
        <v>1</v>
      </c>
      <c r="E227" s="73">
        <v>0</v>
      </c>
      <c r="F227" s="73">
        <v>0</v>
      </c>
      <c r="G227" s="73">
        <v>0</v>
      </c>
      <c r="H227" s="73">
        <v>0</v>
      </c>
      <c r="I227" s="73">
        <v>1</v>
      </c>
      <c r="J227" s="73">
        <v>1</v>
      </c>
      <c r="K227" s="72"/>
      <c r="L227" s="72"/>
      <c r="M227" s="57"/>
      <c r="N227" s="72"/>
      <c r="P227" s="72"/>
      <c r="Q227" s="72"/>
      <c r="R227" s="72"/>
      <c r="S227" s="72"/>
      <c r="T227" s="73"/>
      <c r="U227" s="73"/>
      <c r="V227" s="73"/>
      <c r="W227" s="73"/>
    </row>
    <row r="228" spans="1:23" x14ac:dyDescent="0.25">
      <c r="A228" s="71" t="s">
        <v>366</v>
      </c>
      <c r="B228" s="71">
        <v>229</v>
      </c>
      <c r="C228" s="73">
        <v>2</v>
      </c>
      <c r="D228" s="73">
        <v>2</v>
      </c>
      <c r="E228" s="73">
        <v>2</v>
      </c>
      <c r="F228" s="73">
        <v>2</v>
      </c>
      <c r="G228" s="73">
        <v>0</v>
      </c>
      <c r="H228" s="73">
        <v>0</v>
      </c>
      <c r="I228" s="73">
        <v>0</v>
      </c>
      <c r="J228" s="73">
        <v>0</v>
      </c>
      <c r="K228" s="72"/>
      <c r="L228" s="72"/>
      <c r="M228" s="57"/>
      <c r="N228" s="72"/>
      <c r="P228" s="72"/>
      <c r="Q228" s="72"/>
      <c r="R228" s="72"/>
      <c r="S228" s="72"/>
      <c r="T228" s="73"/>
      <c r="U228" s="73"/>
      <c r="V228" s="73"/>
      <c r="W228" s="73"/>
    </row>
    <row r="229" spans="1:23" x14ac:dyDescent="0.25">
      <c r="A229" s="71" t="s">
        <v>449</v>
      </c>
      <c r="B229" s="71">
        <v>230</v>
      </c>
      <c r="C229" s="73">
        <v>3</v>
      </c>
      <c r="D229" s="73">
        <v>3</v>
      </c>
      <c r="E229" s="73">
        <v>2</v>
      </c>
      <c r="F229" s="73">
        <v>2</v>
      </c>
      <c r="G229" s="73">
        <v>1</v>
      </c>
      <c r="H229" s="73">
        <v>1</v>
      </c>
      <c r="I229" s="73">
        <v>0</v>
      </c>
      <c r="J229" s="73">
        <v>0</v>
      </c>
      <c r="K229" s="72"/>
      <c r="L229" s="72"/>
      <c r="M229" s="55"/>
      <c r="N229" s="72"/>
      <c r="P229" s="72"/>
      <c r="Q229" s="72"/>
      <c r="R229" s="72"/>
      <c r="S229" s="72"/>
      <c r="T229" s="73"/>
      <c r="U229" s="73"/>
      <c r="V229" s="73"/>
      <c r="W229" s="73"/>
    </row>
    <row r="230" spans="1:23" x14ac:dyDescent="0.25">
      <c r="A230" s="71" t="s">
        <v>449</v>
      </c>
      <c r="B230" s="71">
        <v>231</v>
      </c>
      <c r="C230" s="73">
        <v>3448</v>
      </c>
      <c r="D230" s="73">
        <v>861</v>
      </c>
      <c r="E230" s="73">
        <v>1064</v>
      </c>
      <c r="F230" s="73">
        <v>276</v>
      </c>
      <c r="G230" s="73">
        <v>262</v>
      </c>
      <c r="H230" s="73">
        <v>118</v>
      </c>
      <c r="I230" s="73">
        <v>2122</v>
      </c>
      <c r="J230" s="73">
        <v>467</v>
      </c>
      <c r="K230" s="72"/>
      <c r="L230" s="72"/>
      <c r="M230" s="55"/>
      <c r="N230" s="72"/>
      <c r="P230" s="72"/>
      <c r="Q230" s="72"/>
      <c r="R230" s="72"/>
      <c r="S230" s="72"/>
      <c r="T230" s="73"/>
      <c r="U230" s="73"/>
      <c r="V230" s="73"/>
      <c r="W230" s="73"/>
    </row>
    <row r="231" spans="1:23" x14ac:dyDescent="0.25">
      <c r="A231" s="71" t="s">
        <v>425</v>
      </c>
      <c r="B231" s="71">
        <v>232</v>
      </c>
      <c r="C231" s="73">
        <v>2179</v>
      </c>
      <c r="D231" s="73">
        <v>625</v>
      </c>
      <c r="E231" s="73">
        <v>350</v>
      </c>
      <c r="F231" s="73">
        <v>138</v>
      </c>
      <c r="G231" s="73">
        <v>631</v>
      </c>
      <c r="H231" s="73">
        <v>192</v>
      </c>
      <c r="I231" s="73">
        <v>1198</v>
      </c>
      <c r="J231" s="73">
        <v>295</v>
      </c>
      <c r="K231" s="72"/>
      <c r="L231" s="72"/>
      <c r="M231" s="55"/>
      <c r="N231" s="72"/>
      <c r="P231" s="72"/>
      <c r="Q231" s="72"/>
      <c r="R231" s="72"/>
      <c r="S231" s="72"/>
      <c r="T231" s="4"/>
      <c r="U231" s="4"/>
      <c r="V231" s="4"/>
      <c r="W231" s="4"/>
    </row>
    <row r="232" spans="1:23" x14ac:dyDescent="0.25">
      <c r="A232" s="71" t="s">
        <v>425</v>
      </c>
      <c r="B232" s="71">
        <v>233</v>
      </c>
      <c r="C232" s="73">
        <v>2661</v>
      </c>
      <c r="D232" s="73">
        <v>715</v>
      </c>
      <c r="E232" s="73">
        <v>828</v>
      </c>
      <c r="F232" s="73">
        <v>230</v>
      </c>
      <c r="G232" s="73">
        <v>966</v>
      </c>
      <c r="H232" s="73">
        <v>255</v>
      </c>
      <c r="I232" s="73">
        <v>867</v>
      </c>
      <c r="J232" s="73">
        <v>230</v>
      </c>
      <c r="K232" s="72"/>
      <c r="L232" s="72"/>
      <c r="M232" s="55"/>
      <c r="N232" s="72"/>
      <c r="P232" s="72"/>
      <c r="Q232" s="72"/>
      <c r="R232" s="72"/>
      <c r="S232" s="72"/>
      <c r="T232" s="73"/>
      <c r="U232" s="73"/>
      <c r="V232" s="73"/>
      <c r="W232" s="73"/>
    </row>
    <row r="233" spans="1:23" x14ac:dyDescent="0.25">
      <c r="A233" s="71" t="s">
        <v>426</v>
      </c>
      <c r="B233" s="71">
        <v>234</v>
      </c>
      <c r="C233" s="73">
        <v>6583</v>
      </c>
      <c r="D233" s="73">
        <v>1351</v>
      </c>
      <c r="E233" s="73">
        <v>1712</v>
      </c>
      <c r="F233" s="73">
        <v>351</v>
      </c>
      <c r="G233" s="73">
        <v>2543</v>
      </c>
      <c r="H233" s="73">
        <v>500</v>
      </c>
      <c r="I233" s="73">
        <v>2328</v>
      </c>
      <c r="J233" s="73">
        <v>500</v>
      </c>
      <c r="K233" s="72"/>
      <c r="L233" s="72"/>
      <c r="M233" s="55"/>
      <c r="N233" s="72"/>
      <c r="P233" s="72"/>
      <c r="Q233" s="72"/>
      <c r="R233" s="72"/>
      <c r="S233" s="72"/>
      <c r="T233" s="73"/>
      <c r="U233" s="73"/>
      <c r="V233" s="73"/>
      <c r="W233" s="73"/>
    </row>
    <row r="234" spans="1:23" x14ac:dyDescent="0.25">
      <c r="A234" s="71" t="s">
        <v>426</v>
      </c>
      <c r="B234" s="71">
        <v>235</v>
      </c>
      <c r="C234" s="73">
        <v>7118</v>
      </c>
      <c r="D234" s="73">
        <v>1371</v>
      </c>
      <c r="E234" s="73">
        <v>1700</v>
      </c>
      <c r="F234" s="73">
        <v>371</v>
      </c>
      <c r="G234" s="73">
        <v>2752</v>
      </c>
      <c r="H234" s="73">
        <v>500</v>
      </c>
      <c r="I234" s="73">
        <v>2666</v>
      </c>
      <c r="J234" s="73">
        <v>500</v>
      </c>
      <c r="K234" s="72"/>
      <c r="L234" s="72"/>
      <c r="M234" s="55"/>
      <c r="N234" s="72"/>
      <c r="P234" s="72"/>
      <c r="Q234" s="72"/>
      <c r="R234" s="72"/>
      <c r="S234" s="72"/>
      <c r="T234" s="73"/>
      <c r="U234" s="73"/>
      <c r="V234" s="73"/>
      <c r="W234" s="73"/>
    </row>
    <row r="235" spans="1:23" x14ac:dyDescent="0.25">
      <c r="A235" s="71" t="s">
        <v>449</v>
      </c>
      <c r="B235" s="71">
        <v>236</v>
      </c>
      <c r="C235" s="73">
        <v>3</v>
      </c>
      <c r="D235" s="73">
        <v>3</v>
      </c>
      <c r="E235" s="73">
        <v>0</v>
      </c>
      <c r="F235" s="73">
        <v>0</v>
      </c>
      <c r="G235" s="73">
        <v>0</v>
      </c>
      <c r="H235" s="73">
        <v>0</v>
      </c>
      <c r="I235" s="73">
        <v>3</v>
      </c>
      <c r="J235" s="73">
        <v>3</v>
      </c>
      <c r="K235" s="72"/>
      <c r="L235" s="72"/>
      <c r="M235" s="55"/>
      <c r="N235" s="72"/>
      <c r="P235" s="72"/>
      <c r="Q235" s="72"/>
      <c r="R235" s="72"/>
      <c r="S235" s="72"/>
      <c r="T235" s="4"/>
      <c r="U235" s="4"/>
      <c r="V235" s="4"/>
      <c r="W235" s="4"/>
    </row>
    <row r="236" spans="1:23" x14ac:dyDescent="0.25">
      <c r="A236" s="71" t="s">
        <v>449</v>
      </c>
      <c r="B236" s="71">
        <v>237</v>
      </c>
      <c r="C236" s="73">
        <v>4</v>
      </c>
      <c r="D236" s="73">
        <v>4</v>
      </c>
      <c r="E236" s="73">
        <v>2</v>
      </c>
      <c r="F236" s="73">
        <v>2</v>
      </c>
      <c r="G236" s="73">
        <v>1</v>
      </c>
      <c r="H236" s="73">
        <v>1</v>
      </c>
      <c r="I236" s="73">
        <v>1</v>
      </c>
      <c r="J236" s="73">
        <v>1</v>
      </c>
      <c r="K236" s="72"/>
      <c r="L236" s="72"/>
      <c r="M236" s="55"/>
      <c r="N236" s="72"/>
      <c r="P236" s="72"/>
      <c r="Q236" s="72"/>
      <c r="R236" s="72"/>
      <c r="S236" s="72"/>
      <c r="T236" s="4"/>
      <c r="U236" s="4"/>
      <c r="V236" s="4"/>
      <c r="W236" s="4"/>
    </row>
    <row r="237" spans="1:23" x14ac:dyDescent="0.25">
      <c r="A237" s="55" t="s">
        <v>423</v>
      </c>
      <c r="B237" s="71">
        <v>238</v>
      </c>
      <c r="C237" s="73">
        <v>29</v>
      </c>
      <c r="D237" s="73">
        <v>29</v>
      </c>
      <c r="E237" s="73">
        <v>1</v>
      </c>
      <c r="F237" s="73">
        <v>1</v>
      </c>
      <c r="G237" s="73">
        <v>0</v>
      </c>
      <c r="H237" s="73">
        <v>0</v>
      </c>
      <c r="I237" s="73">
        <v>28</v>
      </c>
      <c r="J237" s="73">
        <v>28</v>
      </c>
      <c r="K237" s="72"/>
      <c r="L237" s="72"/>
      <c r="M237" s="55"/>
      <c r="N237" s="72"/>
      <c r="P237" s="72"/>
      <c r="Q237" s="72"/>
      <c r="R237" s="72"/>
      <c r="S237" s="72"/>
      <c r="T237" s="4"/>
      <c r="U237" s="4"/>
      <c r="V237" s="4"/>
      <c r="W237" s="4"/>
    </row>
    <row r="238" spans="1:23" x14ac:dyDescent="0.25">
      <c r="A238" s="55" t="s">
        <v>423</v>
      </c>
      <c r="B238" s="71">
        <v>239</v>
      </c>
      <c r="C238" s="73">
        <v>12</v>
      </c>
      <c r="D238" s="73">
        <v>12</v>
      </c>
      <c r="E238" s="73">
        <v>2</v>
      </c>
      <c r="F238" s="73">
        <v>2</v>
      </c>
      <c r="G238" s="73">
        <v>1</v>
      </c>
      <c r="H238" s="73">
        <v>1</v>
      </c>
      <c r="I238" s="73">
        <v>9</v>
      </c>
      <c r="J238" s="73">
        <v>9</v>
      </c>
      <c r="K238" s="72"/>
      <c r="L238" s="72"/>
      <c r="M238" s="55"/>
      <c r="N238" s="72"/>
      <c r="P238" s="72"/>
      <c r="Q238" s="72"/>
      <c r="R238" s="72"/>
      <c r="S238" s="72"/>
      <c r="T238" s="73"/>
      <c r="U238" s="73"/>
      <c r="V238" s="73"/>
      <c r="W238" s="73"/>
    </row>
    <row r="239" spans="1:23" x14ac:dyDescent="0.25">
      <c r="A239" s="72" t="s">
        <v>56</v>
      </c>
      <c r="B239" s="71">
        <v>240</v>
      </c>
      <c r="C239" s="73">
        <v>164</v>
      </c>
      <c r="D239" s="73">
        <v>111</v>
      </c>
      <c r="E239" s="73">
        <v>9</v>
      </c>
      <c r="F239" s="73">
        <v>8</v>
      </c>
      <c r="G239" s="73">
        <v>4</v>
      </c>
      <c r="H239" s="73">
        <v>4</v>
      </c>
      <c r="I239" s="73">
        <v>151</v>
      </c>
      <c r="J239" s="73">
        <v>99</v>
      </c>
      <c r="K239" s="72"/>
      <c r="L239" s="72"/>
      <c r="M239" s="72"/>
      <c r="N239" s="72"/>
      <c r="P239" s="72"/>
      <c r="Q239" s="72"/>
      <c r="R239" s="72"/>
      <c r="S239" s="72"/>
      <c r="T239" s="73"/>
      <c r="U239" s="73"/>
      <c r="V239" s="73"/>
      <c r="W239" s="73"/>
    </row>
    <row r="240" spans="1:23" x14ac:dyDescent="0.25">
      <c r="A240" s="72" t="s">
        <v>56</v>
      </c>
      <c r="B240" s="71">
        <v>241</v>
      </c>
      <c r="C240" s="73">
        <v>3</v>
      </c>
      <c r="D240" s="73">
        <v>3</v>
      </c>
      <c r="E240" s="73">
        <v>1</v>
      </c>
      <c r="F240" s="73">
        <v>1</v>
      </c>
      <c r="G240" s="73">
        <v>1</v>
      </c>
      <c r="H240" s="73">
        <v>1</v>
      </c>
      <c r="I240" s="73">
        <v>1</v>
      </c>
      <c r="J240" s="73">
        <v>1</v>
      </c>
      <c r="K240" s="72"/>
      <c r="L240" s="72"/>
      <c r="M240" s="72"/>
      <c r="N240" s="72"/>
      <c r="P240" s="72"/>
      <c r="Q240" s="72"/>
      <c r="R240" s="72"/>
      <c r="S240" s="72"/>
      <c r="T240" s="73"/>
      <c r="U240" s="73"/>
      <c r="V240" s="73"/>
      <c r="W240" s="73"/>
    </row>
    <row r="241" spans="1:23" x14ac:dyDescent="0.25">
      <c r="A241" s="72" t="s">
        <v>427</v>
      </c>
      <c r="B241" s="71">
        <v>242</v>
      </c>
      <c r="C241" s="73">
        <v>3265</v>
      </c>
      <c r="D241" s="73">
        <v>777</v>
      </c>
      <c r="E241" s="73">
        <v>8</v>
      </c>
      <c r="F241" s="73">
        <v>8</v>
      </c>
      <c r="G241" s="73">
        <v>1017</v>
      </c>
      <c r="H241" s="73">
        <v>269</v>
      </c>
      <c r="I241" s="73">
        <v>2240</v>
      </c>
      <c r="J241" s="73">
        <v>500</v>
      </c>
      <c r="K241" s="72"/>
      <c r="L241" s="72"/>
      <c r="M241" s="72"/>
      <c r="N241" s="72"/>
      <c r="P241" s="72"/>
      <c r="Q241" s="72"/>
      <c r="R241" s="72"/>
      <c r="S241" s="72"/>
      <c r="T241" s="4"/>
      <c r="U241" s="4"/>
      <c r="V241" s="4"/>
      <c r="W241" s="4"/>
    </row>
    <row r="242" spans="1:23" x14ac:dyDescent="0.25">
      <c r="A242" s="72" t="s">
        <v>427</v>
      </c>
      <c r="B242" s="71">
        <v>243</v>
      </c>
      <c r="C242" s="73">
        <v>3</v>
      </c>
      <c r="D242" s="73">
        <v>3</v>
      </c>
      <c r="E242" s="73">
        <v>2</v>
      </c>
      <c r="F242" s="73">
        <v>2</v>
      </c>
      <c r="G242" s="73">
        <v>0</v>
      </c>
      <c r="H242" s="73">
        <v>0</v>
      </c>
      <c r="I242" s="73">
        <v>1</v>
      </c>
      <c r="J242" s="73">
        <v>1</v>
      </c>
      <c r="K242" s="72"/>
      <c r="L242" s="72"/>
      <c r="M242" s="72"/>
      <c r="N242" s="72"/>
      <c r="P242" s="72"/>
      <c r="Q242" s="72"/>
      <c r="R242" s="72"/>
      <c r="S242" s="72"/>
      <c r="T242" s="73"/>
      <c r="U242" s="73"/>
      <c r="V242" s="73"/>
      <c r="W242" s="73"/>
    </row>
    <row r="243" spans="1:23" x14ac:dyDescent="0.25">
      <c r="A243" s="71" t="s">
        <v>428</v>
      </c>
      <c r="B243" s="71">
        <v>244</v>
      </c>
      <c r="C243" s="73">
        <v>124</v>
      </c>
      <c r="D243" s="73">
        <v>82</v>
      </c>
      <c r="E243" s="73">
        <v>5</v>
      </c>
      <c r="F243" s="73">
        <v>5</v>
      </c>
      <c r="G243" s="73">
        <v>1</v>
      </c>
      <c r="H243" s="73">
        <v>1</v>
      </c>
      <c r="I243" s="73">
        <v>118</v>
      </c>
      <c r="J243" s="73">
        <v>76</v>
      </c>
      <c r="K243" s="72"/>
      <c r="L243" s="72"/>
      <c r="M243" s="72"/>
      <c r="N243" s="72"/>
      <c r="P243" s="72"/>
      <c r="Q243" s="72"/>
      <c r="R243" s="72"/>
      <c r="S243" s="72"/>
      <c r="T243" s="4"/>
      <c r="U243" s="4"/>
      <c r="V243" s="4"/>
      <c r="W243" s="4"/>
    </row>
    <row r="244" spans="1:23" x14ac:dyDescent="0.25">
      <c r="A244" s="71" t="s">
        <v>428</v>
      </c>
      <c r="B244" s="71">
        <v>245</v>
      </c>
      <c r="C244" s="73">
        <v>11</v>
      </c>
      <c r="D244" s="73">
        <v>7</v>
      </c>
      <c r="E244" s="73">
        <v>4</v>
      </c>
      <c r="F244" s="73">
        <v>3</v>
      </c>
      <c r="G244" s="73">
        <v>6</v>
      </c>
      <c r="H244" s="73">
        <v>3</v>
      </c>
      <c r="I244" s="73">
        <v>1</v>
      </c>
      <c r="J244" s="73">
        <v>1</v>
      </c>
      <c r="K244" s="72"/>
      <c r="L244" s="72"/>
      <c r="M244" s="72"/>
      <c r="N244" s="72"/>
      <c r="P244" s="72"/>
      <c r="Q244" s="72"/>
      <c r="R244" s="72"/>
      <c r="S244" s="72"/>
      <c r="T244" s="73"/>
      <c r="U244" s="73"/>
      <c r="V244" s="73"/>
      <c r="W244" s="73"/>
    </row>
    <row r="245" spans="1:23" x14ac:dyDescent="0.25">
      <c r="A245" s="71" t="s">
        <v>411</v>
      </c>
      <c r="B245" s="71">
        <v>246</v>
      </c>
      <c r="C245" s="73">
        <v>1462</v>
      </c>
      <c r="D245" s="73">
        <v>495</v>
      </c>
      <c r="E245" s="73">
        <v>444</v>
      </c>
      <c r="F245" s="73">
        <v>156</v>
      </c>
      <c r="G245" s="73">
        <v>460</v>
      </c>
      <c r="H245" s="73">
        <v>159</v>
      </c>
      <c r="I245" s="73">
        <v>558</v>
      </c>
      <c r="J245" s="73">
        <v>180</v>
      </c>
      <c r="K245" s="72"/>
      <c r="L245" s="72"/>
      <c r="M245" s="72"/>
      <c r="N245" s="72"/>
      <c r="P245" s="72"/>
      <c r="Q245" s="72"/>
      <c r="R245" s="72"/>
      <c r="S245" s="72"/>
      <c r="T245" s="73"/>
      <c r="U245" s="73"/>
      <c r="V245" s="73"/>
      <c r="W245" s="73"/>
    </row>
    <row r="246" spans="1:23" x14ac:dyDescent="0.25">
      <c r="A246" s="71" t="s">
        <v>411</v>
      </c>
      <c r="B246" s="71">
        <v>247</v>
      </c>
      <c r="C246" s="73">
        <v>1629</v>
      </c>
      <c r="D246" s="73">
        <v>526</v>
      </c>
      <c r="E246" s="73">
        <v>494</v>
      </c>
      <c r="F246" s="73">
        <v>164</v>
      </c>
      <c r="G246" s="73">
        <v>516</v>
      </c>
      <c r="H246" s="73">
        <v>170</v>
      </c>
      <c r="I246" s="73">
        <v>619</v>
      </c>
      <c r="J246" s="73">
        <v>192</v>
      </c>
      <c r="K246" s="72"/>
      <c r="L246" s="72"/>
      <c r="M246" s="72"/>
      <c r="N246" s="72"/>
      <c r="P246" s="72"/>
      <c r="Q246" s="72"/>
      <c r="R246" s="72"/>
      <c r="S246" s="72"/>
      <c r="T246" s="73"/>
      <c r="U246" s="73"/>
      <c r="V246" s="73"/>
      <c r="W246" s="73"/>
    </row>
    <row r="247" spans="1:23" x14ac:dyDescent="0.25">
      <c r="A247" s="71" t="s">
        <v>428</v>
      </c>
      <c r="B247" s="71">
        <v>248</v>
      </c>
      <c r="C247" s="73">
        <v>9</v>
      </c>
      <c r="D247" s="73">
        <v>9</v>
      </c>
      <c r="E247" s="73">
        <v>7</v>
      </c>
      <c r="F247" s="73">
        <v>7</v>
      </c>
      <c r="G247" s="73">
        <v>0</v>
      </c>
      <c r="H247" s="73">
        <v>0</v>
      </c>
      <c r="I247" s="73">
        <v>2</v>
      </c>
      <c r="J247" s="73">
        <v>2</v>
      </c>
      <c r="K247" s="72"/>
      <c r="L247" s="72"/>
      <c r="M247" s="55"/>
      <c r="N247" s="72"/>
      <c r="P247" s="72"/>
      <c r="Q247" s="72"/>
      <c r="R247" s="72"/>
      <c r="S247" s="72"/>
      <c r="T247" s="4"/>
      <c r="U247" s="4"/>
      <c r="V247" s="4"/>
      <c r="W247" s="4"/>
    </row>
    <row r="248" spans="1:23" x14ac:dyDescent="0.25">
      <c r="A248" s="71" t="s">
        <v>428</v>
      </c>
      <c r="B248" s="71">
        <v>249</v>
      </c>
      <c r="C248" s="73">
        <v>3</v>
      </c>
      <c r="D248" s="73">
        <v>3</v>
      </c>
      <c r="E248" s="73">
        <v>3</v>
      </c>
      <c r="F248" s="73">
        <v>3</v>
      </c>
      <c r="G248" s="73">
        <v>0</v>
      </c>
      <c r="H248" s="73">
        <v>0</v>
      </c>
      <c r="I248" s="73">
        <v>0</v>
      </c>
      <c r="J248" s="73">
        <v>0</v>
      </c>
      <c r="K248" s="72"/>
      <c r="L248" s="72"/>
      <c r="M248" s="55"/>
      <c r="N248" s="72"/>
      <c r="P248" s="72"/>
      <c r="Q248" s="72"/>
      <c r="R248" s="72"/>
      <c r="S248" s="72"/>
      <c r="T248" s="73"/>
      <c r="U248" s="73"/>
      <c r="V248" s="73"/>
      <c r="W248" s="73"/>
    </row>
    <row r="249" spans="1:23" x14ac:dyDescent="0.25">
      <c r="A249" s="71" t="s">
        <v>411</v>
      </c>
      <c r="B249" s="71">
        <v>250</v>
      </c>
      <c r="C249" s="73">
        <v>841</v>
      </c>
      <c r="D249" s="73">
        <v>375</v>
      </c>
      <c r="E249" s="73">
        <v>347</v>
      </c>
      <c r="F249" s="73">
        <v>139</v>
      </c>
      <c r="G249" s="73">
        <v>305</v>
      </c>
      <c r="H249" s="73">
        <v>129</v>
      </c>
      <c r="I249" s="73">
        <v>189</v>
      </c>
      <c r="J249" s="73">
        <v>107</v>
      </c>
      <c r="K249" s="72"/>
      <c r="L249" s="72"/>
      <c r="M249" s="55"/>
      <c r="P249" s="72"/>
      <c r="Q249" s="72"/>
      <c r="R249" s="72"/>
      <c r="S249" s="72"/>
      <c r="T249" s="73"/>
      <c r="U249" s="73"/>
      <c r="V249" s="73"/>
      <c r="W249" s="73"/>
    </row>
    <row r="250" spans="1:23" x14ac:dyDescent="0.25">
      <c r="A250" s="71" t="s">
        <v>411</v>
      </c>
      <c r="B250" s="71">
        <v>251</v>
      </c>
      <c r="C250" s="73">
        <v>658</v>
      </c>
      <c r="D250" s="73">
        <v>330</v>
      </c>
      <c r="E250" s="73">
        <v>182</v>
      </c>
      <c r="F250" s="73">
        <v>102</v>
      </c>
      <c r="G250" s="73">
        <v>294</v>
      </c>
      <c r="H250" s="73">
        <v>126</v>
      </c>
      <c r="I250" s="73">
        <v>182</v>
      </c>
      <c r="J250" s="73">
        <v>102</v>
      </c>
      <c r="K250" s="72"/>
      <c r="L250" s="72"/>
      <c r="M250" s="55"/>
      <c r="N250" s="72"/>
      <c r="P250" s="72"/>
      <c r="Q250" s="72"/>
      <c r="R250" s="72"/>
      <c r="S250" s="72"/>
      <c r="T250" s="4"/>
      <c r="U250" s="4"/>
      <c r="V250" s="4"/>
      <c r="W250" s="4"/>
    </row>
    <row r="251" spans="1:23" x14ac:dyDescent="0.25">
      <c r="A251" s="71" t="s">
        <v>425</v>
      </c>
      <c r="B251" s="71">
        <v>252</v>
      </c>
      <c r="C251" s="73">
        <v>2883</v>
      </c>
      <c r="D251" s="73">
        <v>768</v>
      </c>
      <c r="E251" s="73">
        <v>1175</v>
      </c>
      <c r="F251" s="73">
        <v>299</v>
      </c>
      <c r="G251" s="73">
        <v>967</v>
      </c>
      <c r="H251" s="73">
        <v>257</v>
      </c>
      <c r="I251" s="73">
        <v>741</v>
      </c>
      <c r="J251" s="73">
        <v>212</v>
      </c>
      <c r="K251" s="72"/>
      <c r="L251" s="72"/>
      <c r="M251" s="55"/>
      <c r="N251" s="72"/>
      <c r="P251" s="72"/>
      <c r="Q251" s="72"/>
      <c r="R251" s="72"/>
      <c r="S251" s="72"/>
      <c r="T251" s="73"/>
      <c r="U251" s="73"/>
      <c r="V251" s="73"/>
      <c r="W251" s="73"/>
    </row>
    <row r="252" spans="1:23" x14ac:dyDescent="0.25">
      <c r="A252" s="71" t="s">
        <v>425</v>
      </c>
      <c r="B252" s="71">
        <v>253</v>
      </c>
      <c r="C252" s="73">
        <v>2365</v>
      </c>
      <c r="D252" s="73">
        <v>655</v>
      </c>
      <c r="E252" s="73">
        <v>833</v>
      </c>
      <c r="F252" s="73">
        <v>225</v>
      </c>
      <c r="G252" s="73">
        <v>787</v>
      </c>
      <c r="H252" s="73">
        <v>218</v>
      </c>
      <c r="I252" s="73">
        <v>745</v>
      </c>
      <c r="J252" s="73">
        <v>212</v>
      </c>
      <c r="K252" s="72"/>
      <c r="L252" s="72"/>
      <c r="M252" s="55"/>
      <c r="N252" s="72"/>
      <c r="P252" s="72"/>
      <c r="Q252" s="72"/>
      <c r="R252" s="72"/>
      <c r="S252" s="72"/>
      <c r="T252" s="4"/>
      <c r="U252" s="4"/>
      <c r="V252" s="4"/>
      <c r="W252" s="4"/>
    </row>
    <row r="253" spans="1:23" x14ac:dyDescent="0.25">
      <c r="A253" s="71" t="s">
        <v>425</v>
      </c>
      <c r="B253" s="71">
        <v>254</v>
      </c>
      <c r="C253" s="73">
        <v>13</v>
      </c>
      <c r="D253" s="73">
        <v>13</v>
      </c>
      <c r="E253" s="73">
        <v>6</v>
      </c>
      <c r="F253" s="73">
        <v>6</v>
      </c>
      <c r="G253" s="73">
        <v>1</v>
      </c>
      <c r="H253" s="73">
        <v>1</v>
      </c>
      <c r="I253" s="73">
        <v>6</v>
      </c>
      <c r="J253" s="73">
        <v>6</v>
      </c>
      <c r="K253" s="72"/>
      <c r="L253" s="72"/>
      <c r="M253" s="55"/>
      <c r="N253" s="72"/>
      <c r="P253" s="72"/>
      <c r="Q253" s="72"/>
      <c r="R253" s="72"/>
      <c r="S253" s="72"/>
      <c r="T253" s="73"/>
      <c r="U253" s="73"/>
      <c r="V253" s="73"/>
      <c r="W253" s="73"/>
    </row>
    <row r="254" spans="1:23" x14ac:dyDescent="0.25">
      <c r="A254" s="55" t="s">
        <v>437</v>
      </c>
      <c r="B254" s="71">
        <v>255</v>
      </c>
      <c r="C254" s="73">
        <v>3</v>
      </c>
      <c r="D254" s="73">
        <v>3</v>
      </c>
      <c r="E254" s="73">
        <v>3</v>
      </c>
      <c r="F254" s="73">
        <v>3</v>
      </c>
      <c r="G254" s="73">
        <v>0</v>
      </c>
      <c r="H254" s="73">
        <v>0</v>
      </c>
      <c r="I254" s="73">
        <v>0</v>
      </c>
      <c r="J254" s="73">
        <v>0</v>
      </c>
      <c r="K254" s="72"/>
      <c r="L254" s="72"/>
      <c r="M254" s="55"/>
      <c r="N254" s="72"/>
      <c r="P254" s="72"/>
      <c r="Q254" s="72"/>
      <c r="R254" s="72"/>
      <c r="S254" s="72"/>
      <c r="T254" s="4"/>
      <c r="U254" s="4"/>
      <c r="V254" s="4"/>
      <c r="W254" s="4"/>
    </row>
    <row r="255" spans="1:23" x14ac:dyDescent="0.25">
      <c r="A255" s="55" t="s">
        <v>437</v>
      </c>
      <c r="B255" s="71">
        <v>256</v>
      </c>
      <c r="C255" s="73">
        <v>2</v>
      </c>
      <c r="D255" s="73">
        <v>2</v>
      </c>
      <c r="E255" s="73">
        <v>0</v>
      </c>
      <c r="F255" s="73">
        <v>0</v>
      </c>
      <c r="G255" s="73">
        <v>2</v>
      </c>
      <c r="H255" s="73">
        <v>2</v>
      </c>
      <c r="I255" s="73">
        <v>0</v>
      </c>
      <c r="J255" s="73">
        <v>0</v>
      </c>
      <c r="K255" s="72"/>
      <c r="L255" s="72"/>
      <c r="M255" s="55"/>
      <c r="N255" s="72"/>
      <c r="P255" s="72"/>
      <c r="Q255" s="72"/>
      <c r="R255" s="72"/>
      <c r="S255" s="72"/>
      <c r="T255" s="73"/>
      <c r="U255" s="73"/>
      <c r="V255" s="73"/>
      <c r="W255" s="73"/>
    </row>
    <row r="256" spans="1:23" x14ac:dyDescent="0.25">
      <c r="A256" s="55" t="s">
        <v>437</v>
      </c>
      <c r="B256" s="71">
        <v>257</v>
      </c>
      <c r="C256" s="73">
        <v>48</v>
      </c>
      <c r="D256" s="73">
        <v>45</v>
      </c>
      <c r="E256" s="73">
        <v>22</v>
      </c>
      <c r="F256" s="73">
        <v>20</v>
      </c>
      <c r="G256" s="73">
        <v>9</v>
      </c>
      <c r="H256" s="73">
        <v>8</v>
      </c>
      <c r="I256" s="73">
        <v>17</v>
      </c>
      <c r="J256" s="73">
        <v>17</v>
      </c>
      <c r="K256" s="72"/>
      <c r="L256" s="72"/>
      <c r="M256" s="55"/>
      <c r="N256" s="72"/>
      <c r="P256" s="72"/>
      <c r="Q256" s="72"/>
      <c r="R256" s="72"/>
      <c r="S256" s="72"/>
      <c r="T256" s="73"/>
      <c r="U256" s="73"/>
      <c r="V256" s="73"/>
      <c r="W256" s="73"/>
    </row>
    <row r="257" spans="1:23" x14ac:dyDescent="0.25">
      <c r="A257" s="55" t="s">
        <v>438</v>
      </c>
      <c r="B257" s="71">
        <v>258</v>
      </c>
      <c r="C257" s="73">
        <v>11</v>
      </c>
      <c r="D257" s="73">
        <v>11</v>
      </c>
      <c r="E257" s="73">
        <v>4</v>
      </c>
      <c r="F257" s="73">
        <v>4</v>
      </c>
      <c r="G257" s="73">
        <v>0</v>
      </c>
      <c r="H257" s="73">
        <v>0</v>
      </c>
      <c r="I257" s="73">
        <v>7</v>
      </c>
      <c r="J257" s="73">
        <v>7</v>
      </c>
      <c r="K257" s="72"/>
      <c r="L257" s="72"/>
      <c r="M257" s="55"/>
      <c r="N257" s="72"/>
      <c r="P257" s="72"/>
      <c r="Q257" s="72"/>
      <c r="R257" s="72"/>
      <c r="S257" s="72"/>
      <c r="T257" s="73"/>
      <c r="U257" s="73"/>
      <c r="V257" s="73"/>
      <c r="W257" s="73"/>
    </row>
    <row r="258" spans="1:23" x14ac:dyDescent="0.25">
      <c r="A258" s="96" t="s">
        <v>439</v>
      </c>
      <c r="B258" s="71">
        <v>259</v>
      </c>
      <c r="C258" s="73">
        <v>1551</v>
      </c>
      <c r="D258" s="73">
        <v>510</v>
      </c>
      <c r="E258" s="73">
        <v>626</v>
      </c>
      <c r="F258" s="73">
        <v>192</v>
      </c>
      <c r="G258" s="73">
        <v>609</v>
      </c>
      <c r="H258" s="73">
        <v>188</v>
      </c>
      <c r="I258" s="73">
        <v>316</v>
      </c>
      <c r="J258" s="73">
        <v>130</v>
      </c>
      <c r="K258" s="72"/>
      <c r="L258" s="72"/>
      <c r="M258" s="96"/>
      <c r="N258" s="72"/>
      <c r="O258" s="72"/>
      <c r="P258" s="72"/>
      <c r="Q258" s="72"/>
      <c r="R258" s="72"/>
      <c r="S258" s="72"/>
      <c r="T258" s="4"/>
      <c r="U258" s="4"/>
      <c r="V258" s="4"/>
      <c r="W258" s="4"/>
    </row>
    <row r="259" spans="1:23" x14ac:dyDescent="0.25">
      <c r="A259" s="96" t="s">
        <v>439</v>
      </c>
      <c r="B259" s="71">
        <v>260</v>
      </c>
      <c r="C259" s="73">
        <v>1528</v>
      </c>
      <c r="D259" s="73">
        <v>500</v>
      </c>
      <c r="E259" s="73">
        <v>449</v>
      </c>
      <c r="F259" s="73">
        <v>155</v>
      </c>
      <c r="G259" s="73">
        <v>575</v>
      </c>
      <c r="H259" s="73">
        <v>179</v>
      </c>
      <c r="I259" s="73">
        <v>504</v>
      </c>
      <c r="J259" s="73">
        <v>166</v>
      </c>
      <c r="K259" s="72"/>
      <c r="L259" s="72"/>
      <c r="M259" s="96"/>
      <c r="N259" s="72"/>
      <c r="P259" s="72"/>
      <c r="Q259" s="72"/>
      <c r="R259" s="72"/>
      <c r="S259" s="72"/>
      <c r="T259" s="73"/>
      <c r="U259" s="73"/>
      <c r="V259" s="73"/>
      <c r="W259" s="73"/>
    </row>
    <row r="260" spans="1:23" x14ac:dyDescent="0.25">
      <c r="A260" s="55" t="s">
        <v>440</v>
      </c>
      <c r="B260" s="71">
        <v>261</v>
      </c>
      <c r="C260" s="73">
        <v>6026</v>
      </c>
      <c r="D260" s="73">
        <v>1322</v>
      </c>
      <c r="E260" s="73">
        <v>1700</v>
      </c>
      <c r="F260" s="73">
        <v>384</v>
      </c>
      <c r="G260" s="73">
        <v>2043</v>
      </c>
      <c r="H260" s="73">
        <v>445</v>
      </c>
      <c r="I260" s="73">
        <v>2283</v>
      </c>
      <c r="J260" s="73">
        <v>493</v>
      </c>
      <c r="K260" s="72"/>
      <c r="L260" s="72"/>
      <c r="M260" s="55"/>
      <c r="N260" s="72"/>
      <c r="P260" s="72"/>
      <c r="Q260" s="72"/>
      <c r="R260" s="72"/>
      <c r="S260" s="72"/>
      <c r="T260" s="73"/>
      <c r="U260" s="73"/>
      <c r="V260" s="73"/>
      <c r="W260" s="73"/>
    </row>
    <row r="261" spans="1:23" x14ac:dyDescent="0.25">
      <c r="A261" s="55" t="s">
        <v>440</v>
      </c>
      <c r="B261" s="71">
        <v>262</v>
      </c>
      <c r="C261" s="73">
        <v>542</v>
      </c>
      <c r="D261" s="73">
        <v>177</v>
      </c>
      <c r="E261" s="73">
        <v>1</v>
      </c>
      <c r="F261" s="73">
        <v>1</v>
      </c>
      <c r="G261" s="73">
        <v>1</v>
      </c>
      <c r="H261" s="73">
        <v>1</v>
      </c>
      <c r="I261" s="73">
        <v>540</v>
      </c>
      <c r="J261" s="73">
        <v>175</v>
      </c>
      <c r="K261" s="72"/>
      <c r="L261" s="72"/>
      <c r="M261" s="55"/>
      <c r="N261" s="72"/>
      <c r="P261" s="72"/>
      <c r="Q261" s="72"/>
      <c r="R261" s="72"/>
      <c r="S261" s="72"/>
      <c r="T261" s="4"/>
      <c r="U261" s="4"/>
      <c r="V261" s="4"/>
      <c r="W261" s="4"/>
    </row>
    <row r="262" spans="1:23" x14ac:dyDescent="0.25">
      <c r="A262" s="55" t="s">
        <v>440</v>
      </c>
      <c r="B262" s="71">
        <v>263</v>
      </c>
      <c r="C262" s="73">
        <v>4924</v>
      </c>
      <c r="D262" s="73">
        <v>1176</v>
      </c>
      <c r="E262" s="73">
        <v>879</v>
      </c>
      <c r="F262" s="73">
        <v>241</v>
      </c>
      <c r="G262" s="73">
        <v>2188</v>
      </c>
      <c r="H262" s="73">
        <v>500</v>
      </c>
      <c r="I262" s="73">
        <v>1857</v>
      </c>
      <c r="J262" s="73">
        <v>435</v>
      </c>
      <c r="K262" s="72"/>
      <c r="L262" s="72"/>
      <c r="M262" s="55"/>
      <c r="N262" s="72"/>
      <c r="P262" s="72"/>
      <c r="Q262" s="72"/>
      <c r="R262" s="72"/>
      <c r="S262" s="72"/>
      <c r="T262" s="4"/>
      <c r="U262" s="4"/>
      <c r="V262" s="4"/>
      <c r="W262" s="4"/>
    </row>
    <row r="263" spans="1:23" x14ac:dyDescent="0.25">
      <c r="A263" s="72" t="s">
        <v>145</v>
      </c>
      <c r="B263" s="71">
        <v>264</v>
      </c>
      <c r="C263" s="73">
        <v>6339</v>
      </c>
      <c r="D263" s="73">
        <v>1433</v>
      </c>
      <c r="E263" s="73">
        <v>1837</v>
      </c>
      <c r="F263" s="73">
        <v>433</v>
      </c>
      <c r="G263" s="73">
        <v>2221</v>
      </c>
      <c r="H263" s="73">
        <v>500</v>
      </c>
      <c r="I263" s="73">
        <v>2281</v>
      </c>
      <c r="J263" s="73">
        <v>500</v>
      </c>
      <c r="L263" s="55"/>
      <c r="M263" s="55"/>
      <c r="N263" s="55"/>
      <c r="O263" s="55"/>
      <c r="P263" s="55"/>
      <c r="Q263" s="55"/>
      <c r="R263" s="55"/>
      <c r="S263" s="55"/>
      <c r="T263" s="4"/>
      <c r="U263" s="4"/>
      <c r="V263" s="4"/>
      <c r="W263" s="4"/>
    </row>
    <row r="264" spans="1:23" x14ac:dyDescent="0.25">
      <c r="A264" s="72" t="s">
        <v>145</v>
      </c>
      <c r="B264" s="71">
        <v>265</v>
      </c>
      <c r="C264" s="73">
        <v>6010</v>
      </c>
      <c r="D264" s="73">
        <v>1404</v>
      </c>
      <c r="E264" s="73">
        <v>1908</v>
      </c>
      <c r="F264" s="73">
        <v>449</v>
      </c>
      <c r="G264" s="73">
        <v>1988</v>
      </c>
      <c r="H264" s="73">
        <v>465</v>
      </c>
      <c r="I264" s="73">
        <v>2114</v>
      </c>
      <c r="J264" s="73">
        <v>490</v>
      </c>
      <c r="L264" s="55"/>
      <c r="M264" s="55"/>
      <c r="N264" s="55"/>
      <c r="O264" s="55"/>
      <c r="P264" s="55"/>
      <c r="Q264" s="55"/>
      <c r="R264" s="55"/>
      <c r="S264" s="55"/>
      <c r="T264" s="4"/>
      <c r="U264" s="4"/>
      <c r="V264" s="4"/>
      <c r="W264" s="4"/>
    </row>
    <row r="265" spans="1:23" x14ac:dyDescent="0.25">
      <c r="A265" s="72" t="s">
        <v>450</v>
      </c>
      <c r="B265" s="71">
        <v>266</v>
      </c>
      <c r="C265" s="73">
        <v>1787</v>
      </c>
      <c r="D265" s="73">
        <v>561</v>
      </c>
      <c r="E265" s="73">
        <v>532</v>
      </c>
      <c r="F265" s="73">
        <v>174</v>
      </c>
      <c r="G265" s="73">
        <v>535</v>
      </c>
      <c r="H265" s="73">
        <v>176</v>
      </c>
      <c r="I265" s="73">
        <v>720</v>
      </c>
      <c r="J265" s="73">
        <v>211</v>
      </c>
      <c r="L265" s="55"/>
      <c r="M265" s="55"/>
      <c r="N265" s="55"/>
      <c r="O265" s="55"/>
      <c r="P265" s="55"/>
      <c r="Q265" s="55"/>
      <c r="R265" s="55"/>
      <c r="S265" s="55"/>
      <c r="T265" s="4"/>
      <c r="U265" s="4"/>
      <c r="V265" s="4"/>
      <c r="W265" s="4"/>
    </row>
    <row r="266" spans="1:23" x14ac:dyDescent="0.25">
      <c r="A266" s="72" t="s">
        <v>450</v>
      </c>
      <c r="B266" s="71">
        <v>267</v>
      </c>
      <c r="C266" s="73">
        <v>3360</v>
      </c>
      <c r="D266" s="73">
        <v>856</v>
      </c>
      <c r="E266" s="73">
        <v>198</v>
      </c>
      <c r="F266" s="73">
        <v>109</v>
      </c>
      <c r="G266" s="73">
        <v>1278</v>
      </c>
      <c r="H266" s="73">
        <v>321</v>
      </c>
      <c r="I266" s="73">
        <v>1884</v>
      </c>
      <c r="J266" s="73">
        <v>426</v>
      </c>
      <c r="L266" s="55"/>
      <c r="M266" s="55"/>
      <c r="N266" s="55"/>
      <c r="O266" s="55"/>
      <c r="P266" s="55"/>
      <c r="Q266" s="55"/>
      <c r="R266" s="55"/>
      <c r="S266" s="55"/>
      <c r="T266" s="4"/>
      <c r="U266" s="4"/>
      <c r="V266" s="4"/>
      <c r="W266" s="4"/>
    </row>
    <row r="267" spans="1:23" x14ac:dyDescent="0.25">
      <c r="A267" s="72" t="s">
        <v>453</v>
      </c>
      <c r="B267" s="71">
        <v>268</v>
      </c>
      <c r="C267" s="73">
        <v>4123</v>
      </c>
      <c r="D267" s="73">
        <v>993</v>
      </c>
      <c r="E267" s="73">
        <v>1629</v>
      </c>
      <c r="F267" s="73">
        <v>384</v>
      </c>
      <c r="G267" s="73">
        <v>1385</v>
      </c>
      <c r="H267" s="73">
        <v>332</v>
      </c>
      <c r="I267" s="73">
        <v>1109</v>
      </c>
      <c r="J267" s="73">
        <v>277</v>
      </c>
      <c r="L267" s="55"/>
      <c r="M267" s="55"/>
      <c r="N267" s="55"/>
      <c r="O267" s="55"/>
      <c r="P267" s="55"/>
      <c r="Q267" s="55"/>
      <c r="R267" s="55"/>
      <c r="S267" s="55"/>
      <c r="T267" s="4"/>
      <c r="U267" s="4"/>
      <c r="V267" s="4"/>
      <c r="W267" s="4"/>
    </row>
    <row r="268" spans="1:23" x14ac:dyDescent="0.25">
      <c r="A268" s="72" t="s">
        <v>453</v>
      </c>
      <c r="B268" s="71">
        <v>269</v>
      </c>
      <c r="C268" s="73">
        <v>1471</v>
      </c>
      <c r="D268" s="73">
        <v>494</v>
      </c>
      <c r="E268" s="73">
        <v>799</v>
      </c>
      <c r="F268" s="73">
        <v>224</v>
      </c>
      <c r="G268" s="73">
        <v>305</v>
      </c>
      <c r="H268" s="73">
        <v>129</v>
      </c>
      <c r="I268" s="73">
        <v>367</v>
      </c>
      <c r="J268" s="73">
        <v>141</v>
      </c>
      <c r="L268" s="55"/>
      <c r="M268" s="55"/>
      <c r="N268" s="55"/>
      <c r="O268" s="55"/>
      <c r="P268" s="55"/>
      <c r="Q268" s="55"/>
      <c r="R268" s="55"/>
      <c r="S268" s="55"/>
      <c r="T268" s="4"/>
      <c r="U268" s="4"/>
      <c r="V268" s="4"/>
      <c r="W268" s="4"/>
    </row>
    <row r="269" spans="1:23" x14ac:dyDescent="0.25">
      <c r="A269" s="72" t="s">
        <v>452</v>
      </c>
      <c r="B269" s="71">
        <v>270</v>
      </c>
      <c r="C269" s="73">
        <v>8</v>
      </c>
      <c r="D269" s="73">
        <v>8</v>
      </c>
      <c r="E269" s="73">
        <v>3</v>
      </c>
      <c r="F269" s="73">
        <v>3</v>
      </c>
      <c r="G269" s="73">
        <v>0</v>
      </c>
      <c r="H269" s="73">
        <v>0</v>
      </c>
      <c r="I269" s="73">
        <v>5</v>
      </c>
      <c r="J269" s="73">
        <v>5</v>
      </c>
      <c r="L269" s="55"/>
      <c r="M269" s="55"/>
      <c r="N269" s="55"/>
      <c r="O269" s="55"/>
      <c r="P269" s="55"/>
      <c r="Q269" s="55"/>
      <c r="R269" s="55"/>
      <c r="S269" s="55"/>
      <c r="T269" s="4"/>
      <c r="U269" s="4"/>
      <c r="V269" s="4"/>
      <c r="W269" s="4"/>
    </row>
    <row r="270" spans="1:23" x14ac:dyDescent="0.25">
      <c r="A270" s="72" t="s">
        <v>452</v>
      </c>
      <c r="B270" s="71">
        <v>271</v>
      </c>
      <c r="C270" s="73">
        <v>3</v>
      </c>
      <c r="D270" s="73">
        <v>3</v>
      </c>
      <c r="E270" s="73">
        <v>3</v>
      </c>
      <c r="F270" s="73">
        <v>3</v>
      </c>
      <c r="G270" s="73">
        <v>0</v>
      </c>
      <c r="H270" s="73">
        <v>0</v>
      </c>
      <c r="I270" s="73">
        <v>0</v>
      </c>
      <c r="J270" s="73">
        <v>0</v>
      </c>
      <c r="L270" s="55"/>
      <c r="M270" s="55"/>
      <c r="N270" s="55"/>
      <c r="O270" s="55"/>
      <c r="P270" s="55"/>
      <c r="Q270" s="55"/>
      <c r="R270" s="55"/>
      <c r="S270" s="55"/>
      <c r="T270" s="4"/>
      <c r="U270" s="4"/>
      <c r="V270" s="4"/>
      <c r="W270" s="4"/>
    </row>
    <row r="271" spans="1:23" x14ac:dyDescent="0.25">
      <c r="A271" s="72" t="s">
        <v>439</v>
      </c>
      <c r="B271" s="71">
        <v>272</v>
      </c>
      <c r="C271" s="73">
        <v>4314</v>
      </c>
      <c r="D271" s="73">
        <v>1060</v>
      </c>
      <c r="E271" s="73">
        <v>1898</v>
      </c>
      <c r="F271" s="73">
        <v>445</v>
      </c>
      <c r="G271" s="73">
        <v>1273</v>
      </c>
      <c r="H271" s="73">
        <v>322</v>
      </c>
      <c r="I271" s="73">
        <v>1143</v>
      </c>
      <c r="J271" s="73">
        <v>293</v>
      </c>
      <c r="L271" s="55"/>
      <c r="M271" s="55"/>
      <c r="N271" s="55"/>
      <c r="O271" s="55"/>
      <c r="P271" s="55"/>
      <c r="Q271" s="55"/>
      <c r="R271" s="55"/>
      <c r="S271" s="55"/>
      <c r="T271" s="4"/>
      <c r="U271" s="4"/>
      <c r="V271" s="4"/>
      <c r="W271" s="4"/>
    </row>
    <row r="272" spans="1:23" x14ac:dyDescent="0.25">
      <c r="A272" s="72" t="s">
        <v>439</v>
      </c>
      <c r="B272" s="71">
        <v>273</v>
      </c>
      <c r="C272" s="73">
        <v>4035</v>
      </c>
      <c r="D272" s="73">
        <v>955</v>
      </c>
      <c r="E272" s="73">
        <v>383</v>
      </c>
      <c r="F272" s="73">
        <v>144</v>
      </c>
      <c r="G272" s="73">
        <v>1804</v>
      </c>
      <c r="H272" s="73">
        <v>411</v>
      </c>
      <c r="I272" s="73">
        <v>1848</v>
      </c>
      <c r="J272" s="73">
        <v>400</v>
      </c>
      <c r="L272" s="55"/>
      <c r="M272" s="55"/>
      <c r="N272" s="55"/>
      <c r="O272" s="55"/>
      <c r="P272" s="55"/>
      <c r="Q272" s="55"/>
      <c r="R272" s="55"/>
      <c r="S272" s="55"/>
      <c r="T272" s="4"/>
      <c r="U272" s="4"/>
      <c r="V272" s="4"/>
      <c r="W272" s="4"/>
    </row>
    <row r="273" spans="1:23" x14ac:dyDescent="0.25">
      <c r="A273" s="72" t="s">
        <v>454</v>
      </c>
      <c r="B273" s="71">
        <v>274</v>
      </c>
      <c r="C273" s="73">
        <v>2119</v>
      </c>
      <c r="D273" s="73">
        <v>625</v>
      </c>
      <c r="E273" s="73">
        <v>973</v>
      </c>
      <c r="F273" s="73">
        <v>263</v>
      </c>
      <c r="G273" s="73">
        <v>391</v>
      </c>
      <c r="H273" s="73">
        <v>148</v>
      </c>
      <c r="I273" s="73">
        <v>755</v>
      </c>
      <c r="J273" s="73">
        <v>214</v>
      </c>
      <c r="L273" s="55"/>
      <c r="M273" s="55"/>
      <c r="N273" s="55"/>
      <c r="O273" s="55"/>
      <c r="P273" s="55"/>
      <c r="Q273" s="55"/>
      <c r="R273" s="55"/>
      <c r="S273" s="55"/>
      <c r="T273" s="4"/>
      <c r="U273" s="4"/>
      <c r="V273" s="4"/>
      <c r="W273" s="4"/>
    </row>
    <row r="274" spans="1:23" x14ac:dyDescent="0.25">
      <c r="A274" s="72" t="s">
        <v>454</v>
      </c>
      <c r="B274" s="71">
        <v>275</v>
      </c>
      <c r="C274" s="73">
        <v>6527</v>
      </c>
      <c r="D274" s="73">
        <v>1484</v>
      </c>
      <c r="E274" s="73">
        <v>2125</v>
      </c>
      <c r="F274" s="73">
        <v>484</v>
      </c>
      <c r="G274" s="73">
        <v>2200</v>
      </c>
      <c r="H274" s="73">
        <v>500</v>
      </c>
      <c r="I274" s="73">
        <v>2202</v>
      </c>
      <c r="J274" s="73">
        <v>500</v>
      </c>
      <c r="L274" s="55"/>
      <c r="M274" s="55"/>
      <c r="N274" s="55"/>
      <c r="O274" s="55"/>
      <c r="P274" s="55"/>
      <c r="Q274" s="55"/>
      <c r="R274" s="55"/>
      <c r="S274" s="55"/>
      <c r="T274" s="4"/>
      <c r="U274" s="4"/>
      <c r="V274" s="4"/>
      <c r="W274" s="4"/>
    </row>
    <row r="275" spans="1:23" x14ac:dyDescent="0.25">
      <c r="A275" s="72" t="s">
        <v>451</v>
      </c>
      <c r="B275" s="71">
        <v>276</v>
      </c>
      <c r="C275" s="73">
        <v>1</v>
      </c>
      <c r="D275" s="73">
        <v>1</v>
      </c>
      <c r="E275" s="73">
        <v>0</v>
      </c>
      <c r="F275" s="73">
        <v>0</v>
      </c>
      <c r="G275" s="73">
        <v>0</v>
      </c>
      <c r="H275" s="73">
        <v>0</v>
      </c>
      <c r="I275" s="73">
        <v>1</v>
      </c>
      <c r="J275" s="73">
        <v>1</v>
      </c>
      <c r="L275" s="55"/>
      <c r="M275" s="55"/>
      <c r="N275" s="55"/>
      <c r="O275" s="55"/>
      <c r="P275" s="55"/>
      <c r="Q275" s="55"/>
      <c r="R275" s="55"/>
      <c r="S275" s="55"/>
      <c r="T275" s="4"/>
      <c r="U275" s="4"/>
      <c r="V275" s="4"/>
      <c r="W275" s="4"/>
    </row>
    <row r="276" spans="1:23" x14ac:dyDescent="0.25">
      <c r="A276" s="72" t="s">
        <v>451</v>
      </c>
      <c r="B276" s="71">
        <v>277</v>
      </c>
      <c r="C276" s="73">
        <v>9</v>
      </c>
      <c r="D276" s="73">
        <v>7</v>
      </c>
      <c r="E276" s="73">
        <v>6</v>
      </c>
      <c r="F276" s="73">
        <v>4</v>
      </c>
      <c r="G276" s="73">
        <v>1</v>
      </c>
      <c r="H276" s="73">
        <v>1</v>
      </c>
      <c r="I276" s="73">
        <v>2</v>
      </c>
      <c r="J276" s="73">
        <v>2</v>
      </c>
      <c r="L276" s="55"/>
      <c r="M276" s="55"/>
      <c r="N276" s="55"/>
      <c r="O276" s="55"/>
      <c r="P276" s="55"/>
      <c r="Q276" s="55"/>
      <c r="R276" s="55"/>
      <c r="S276" s="55"/>
      <c r="T276" s="4"/>
      <c r="U276" s="4"/>
      <c r="V276" s="4"/>
      <c r="W276" s="4"/>
    </row>
    <row r="277" spans="1:23" x14ac:dyDescent="0.25">
      <c r="A277" s="72" t="s">
        <v>455</v>
      </c>
      <c r="B277" s="71">
        <v>278</v>
      </c>
      <c r="C277" s="73">
        <v>415</v>
      </c>
      <c r="D277" s="73">
        <v>176</v>
      </c>
      <c r="E277" s="73">
        <v>38</v>
      </c>
      <c r="F277" s="73">
        <v>32</v>
      </c>
      <c r="G277" s="73">
        <v>1</v>
      </c>
      <c r="H277" s="73">
        <v>1</v>
      </c>
      <c r="I277" s="73">
        <v>376</v>
      </c>
      <c r="J277" s="73">
        <v>143</v>
      </c>
      <c r="L277" s="55"/>
      <c r="M277" s="55"/>
      <c r="N277" s="55"/>
      <c r="O277" s="55"/>
      <c r="P277" s="55"/>
      <c r="Q277" s="55"/>
      <c r="R277" s="55"/>
      <c r="S277" s="55"/>
      <c r="T277" s="4"/>
      <c r="U277" s="4"/>
      <c r="V277" s="4"/>
      <c r="W277" s="4"/>
    </row>
    <row r="278" spans="1:23" x14ac:dyDescent="0.25">
      <c r="A278" s="72" t="s">
        <v>455</v>
      </c>
      <c r="B278" s="71">
        <v>279</v>
      </c>
      <c r="C278" s="73">
        <v>838</v>
      </c>
      <c r="D278" s="73">
        <v>358</v>
      </c>
      <c r="E278" s="73">
        <v>208</v>
      </c>
      <c r="F278" s="73">
        <v>105</v>
      </c>
      <c r="G278" s="73">
        <v>208</v>
      </c>
      <c r="H278" s="73">
        <v>105</v>
      </c>
      <c r="I278" s="73">
        <v>422</v>
      </c>
      <c r="J278" s="73">
        <v>148</v>
      </c>
      <c r="L278" s="55"/>
      <c r="M278" s="55"/>
      <c r="N278" s="55"/>
      <c r="O278" s="55"/>
      <c r="P278" s="55"/>
      <c r="Q278" s="55"/>
      <c r="R278" s="55"/>
      <c r="S278" s="55"/>
      <c r="T278" s="4"/>
      <c r="U278" s="4"/>
      <c r="V278" s="4"/>
      <c r="W278" s="4"/>
    </row>
    <row r="279" spans="1:23" x14ac:dyDescent="0.25">
      <c r="A279" s="72" t="s">
        <v>455</v>
      </c>
      <c r="B279" s="71">
        <v>280</v>
      </c>
      <c r="C279" s="73">
        <v>4064</v>
      </c>
      <c r="D279" s="73">
        <v>965</v>
      </c>
      <c r="E279" s="73">
        <v>1320</v>
      </c>
      <c r="F279" s="73">
        <v>313</v>
      </c>
      <c r="G279" s="73">
        <v>1228</v>
      </c>
      <c r="H279" s="73">
        <v>297</v>
      </c>
      <c r="I279" s="73">
        <v>1516</v>
      </c>
      <c r="J279" s="73">
        <v>355</v>
      </c>
      <c r="L279" s="55"/>
      <c r="M279" s="55"/>
      <c r="N279" s="55"/>
      <c r="O279" s="55"/>
      <c r="P279" s="55"/>
      <c r="Q279" s="55"/>
      <c r="R279" s="55"/>
      <c r="S279" s="55"/>
      <c r="T279" s="4"/>
      <c r="U279" s="4"/>
      <c r="V279" s="4"/>
      <c r="W279" s="4"/>
    </row>
    <row r="280" spans="1:23" x14ac:dyDescent="0.25">
      <c r="A280" s="72" t="s">
        <v>455</v>
      </c>
      <c r="B280" s="71">
        <v>281</v>
      </c>
      <c r="C280" s="73">
        <v>5293</v>
      </c>
      <c r="D280" s="73">
        <v>1222</v>
      </c>
      <c r="E280" s="73">
        <v>1521</v>
      </c>
      <c r="F280" s="73">
        <v>356</v>
      </c>
      <c r="G280" s="73">
        <v>1817</v>
      </c>
      <c r="H280" s="73">
        <v>419</v>
      </c>
      <c r="I280" s="73">
        <v>1955</v>
      </c>
      <c r="J280" s="73">
        <v>447</v>
      </c>
      <c r="L280" s="55"/>
      <c r="M280" s="55"/>
      <c r="N280" s="55"/>
      <c r="O280" s="55"/>
      <c r="P280" s="55"/>
      <c r="Q280" s="55"/>
      <c r="R280" s="55"/>
      <c r="S280" s="55"/>
      <c r="T280" s="4"/>
      <c r="U280" s="4"/>
      <c r="V280" s="4"/>
      <c r="W280" s="4"/>
    </row>
    <row r="281" spans="1:23" x14ac:dyDescent="0.25">
      <c r="A281" s="72" t="s">
        <v>454</v>
      </c>
      <c r="B281" s="71">
        <v>282</v>
      </c>
      <c r="C281" s="73">
        <v>4542</v>
      </c>
      <c r="D281" s="73">
        <v>1097</v>
      </c>
      <c r="E281" s="73">
        <v>854</v>
      </c>
      <c r="F281" s="73">
        <v>233</v>
      </c>
      <c r="G281" s="73">
        <v>1519</v>
      </c>
      <c r="H281" s="73">
        <v>369</v>
      </c>
      <c r="I281" s="73">
        <v>2169</v>
      </c>
      <c r="J281" s="73">
        <v>495</v>
      </c>
      <c r="L281" s="55"/>
      <c r="M281" s="55"/>
      <c r="N281" s="55"/>
      <c r="O281" s="55"/>
      <c r="P281" s="55"/>
      <c r="Q281" s="55"/>
      <c r="R281" s="55"/>
      <c r="S281" s="55"/>
      <c r="T281" s="4"/>
      <c r="U281" s="4"/>
      <c r="V281" s="4"/>
      <c r="W281" s="4"/>
    </row>
    <row r="282" spans="1:23" x14ac:dyDescent="0.25">
      <c r="A282" s="72" t="s">
        <v>454</v>
      </c>
      <c r="B282" s="71">
        <v>283</v>
      </c>
      <c r="C282" s="73">
        <v>6051</v>
      </c>
      <c r="D282" s="73">
        <v>1377</v>
      </c>
      <c r="E282" s="73">
        <v>1647</v>
      </c>
      <c r="F282" s="73">
        <v>383</v>
      </c>
      <c r="G282" s="73">
        <v>2188</v>
      </c>
      <c r="H282" s="73">
        <v>494</v>
      </c>
      <c r="I282" s="73">
        <v>2216</v>
      </c>
      <c r="J282" s="73">
        <v>500</v>
      </c>
      <c r="L282" s="55"/>
      <c r="M282" s="55"/>
      <c r="N282" s="55"/>
      <c r="O282" s="55"/>
      <c r="P282" s="55"/>
      <c r="Q282" s="55"/>
      <c r="R282" s="55"/>
      <c r="S282" s="55"/>
      <c r="T282" s="4"/>
      <c r="U282" s="4"/>
      <c r="V282" s="4"/>
      <c r="W282" s="4"/>
    </row>
    <row r="283" spans="1:23" x14ac:dyDescent="0.25">
      <c r="A283" s="72" t="s">
        <v>423</v>
      </c>
      <c r="B283" s="71">
        <v>284</v>
      </c>
      <c r="C283" s="73">
        <v>6</v>
      </c>
      <c r="D283" s="73">
        <v>6</v>
      </c>
      <c r="E283" s="73">
        <v>4</v>
      </c>
      <c r="F283" s="73">
        <v>4</v>
      </c>
      <c r="G283" s="73">
        <v>1</v>
      </c>
      <c r="H283" s="73">
        <v>1</v>
      </c>
      <c r="I283" s="73">
        <v>1</v>
      </c>
      <c r="J283" s="73">
        <v>1</v>
      </c>
      <c r="L283" s="55"/>
      <c r="M283" s="55"/>
      <c r="N283" s="55"/>
      <c r="O283" s="55"/>
      <c r="P283" s="55"/>
      <c r="Q283" s="55"/>
      <c r="R283" s="55"/>
      <c r="S283" s="55"/>
      <c r="T283" s="4"/>
      <c r="U283" s="4"/>
      <c r="V283" s="4"/>
      <c r="W283" s="4"/>
    </row>
    <row r="284" spans="1:23" x14ac:dyDescent="0.25">
      <c r="A284" s="72" t="s">
        <v>423</v>
      </c>
      <c r="B284" s="71">
        <v>285</v>
      </c>
      <c r="C284" s="73">
        <v>15</v>
      </c>
      <c r="D284" s="73">
        <v>14</v>
      </c>
      <c r="E284" s="73">
        <v>14</v>
      </c>
      <c r="F284" s="73">
        <v>13</v>
      </c>
      <c r="G284" s="73">
        <v>0</v>
      </c>
      <c r="H284" s="73">
        <v>0</v>
      </c>
      <c r="I284" s="73">
        <v>1</v>
      </c>
      <c r="J284" s="73">
        <v>1</v>
      </c>
      <c r="L284" s="55"/>
      <c r="M284" s="55"/>
      <c r="N284" s="55"/>
      <c r="O284" s="55"/>
      <c r="P284" s="55"/>
      <c r="Q284" s="55"/>
      <c r="R284" s="55"/>
      <c r="S284" s="55"/>
      <c r="T284" s="4"/>
      <c r="U284" s="4"/>
      <c r="V284" s="4"/>
      <c r="W284" s="4"/>
    </row>
    <row r="285" spans="1:23" x14ac:dyDescent="0.25">
      <c r="A285" s="72" t="s">
        <v>457</v>
      </c>
      <c r="B285" s="71">
        <v>286</v>
      </c>
      <c r="C285" s="73">
        <v>1145</v>
      </c>
      <c r="D285" s="73">
        <v>432</v>
      </c>
      <c r="E285" s="73">
        <v>293</v>
      </c>
      <c r="F285" s="73">
        <v>127</v>
      </c>
      <c r="G285" s="73">
        <v>516</v>
      </c>
      <c r="H285" s="73">
        <v>170</v>
      </c>
      <c r="I285" s="73">
        <v>336</v>
      </c>
      <c r="J285" s="73">
        <v>135</v>
      </c>
      <c r="L285" s="55"/>
      <c r="M285" s="55"/>
      <c r="N285" s="55"/>
      <c r="O285" s="55"/>
      <c r="P285" s="55"/>
      <c r="Q285" s="55"/>
      <c r="R285" s="55"/>
      <c r="S285" s="55"/>
      <c r="T285" s="4"/>
      <c r="U285" s="4"/>
      <c r="V285" s="4"/>
      <c r="W285" s="4"/>
    </row>
    <row r="286" spans="1:23" x14ac:dyDescent="0.25">
      <c r="A286" s="72" t="s">
        <v>457</v>
      </c>
      <c r="B286" s="71">
        <v>287</v>
      </c>
      <c r="C286" s="73">
        <v>8</v>
      </c>
      <c r="D286" s="73">
        <v>8</v>
      </c>
      <c r="E286" s="73">
        <v>4</v>
      </c>
      <c r="F286" s="73">
        <v>4</v>
      </c>
      <c r="G286" s="73">
        <v>2</v>
      </c>
      <c r="H286" s="73">
        <v>2</v>
      </c>
      <c r="I286" s="73">
        <v>2</v>
      </c>
      <c r="J286" s="73">
        <v>2</v>
      </c>
      <c r="L286" s="55"/>
      <c r="M286" s="55"/>
      <c r="N286" s="55"/>
      <c r="O286" s="55"/>
      <c r="P286" s="55"/>
      <c r="Q286" s="55"/>
      <c r="R286" s="55"/>
      <c r="S286" s="55"/>
      <c r="T286" s="4"/>
      <c r="U286" s="4"/>
      <c r="V286" s="4"/>
      <c r="W286" s="4"/>
    </row>
    <row r="287" spans="1:23" x14ac:dyDescent="0.25">
      <c r="A287" s="72" t="s">
        <v>460</v>
      </c>
      <c r="B287" s="71">
        <v>288</v>
      </c>
      <c r="C287" s="73">
        <v>9</v>
      </c>
      <c r="D287" s="73">
        <v>9</v>
      </c>
      <c r="E287" s="73">
        <v>5</v>
      </c>
      <c r="F287" s="73">
        <v>5</v>
      </c>
      <c r="G287" s="73">
        <v>2</v>
      </c>
      <c r="H287" s="73">
        <v>2</v>
      </c>
      <c r="I287" s="73">
        <v>2</v>
      </c>
      <c r="J287" s="73">
        <v>2</v>
      </c>
      <c r="L287" s="55"/>
      <c r="M287" s="55"/>
      <c r="N287" s="55"/>
      <c r="O287" s="55"/>
      <c r="P287" s="55"/>
      <c r="Q287" s="55"/>
      <c r="R287" s="55"/>
      <c r="S287" s="55"/>
      <c r="T287" s="4"/>
      <c r="U287" s="4"/>
      <c r="V287" s="4"/>
      <c r="W287" s="4"/>
    </row>
    <row r="288" spans="1:23" x14ac:dyDescent="0.25">
      <c r="A288" s="72" t="s">
        <v>460</v>
      </c>
      <c r="B288" s="71">
        <v>289</v>
      </c>
      <c r="C288" s="73">
        <v>5</v>
      </c>
      <c r="D288" s="73">
        <v>5</v>
      </c>
      <c r="E288" s="73">
        <v>3</v>
      </c>
      <c r="F288" s="73">
        <v>3</v>
      </c>
      <c r="G288" s="73">
        <v>2</v>
      </c>
      <c r="H288" s="73">
        <v>2</v>
      </c>
      <c r="I288" s="73">
        <v>0</v>
      </c>
      <c r="J288" s="73">
        <v>0</v>
      </c>
      <c r="L288" s="55"/>
      <c r="M288" s="55"/>
      <c r="N288" s="55"/>
      <c r="O288" s="55"/>
      <c r="P288" s="55"/>
      <c r="Q288" s="55"/>
      <c r="R288" s="55"/>
      <c r="S288" s="55"/>
      <c r="T288" s="4"/>
      <c r="U288" s="4"/>
      <c r="V288" s="4"/>
      <c r="W288" s="4"/>
    </row>
    <row r="289" spans="1:23" x14ac:dyDescent="0.25">
      <c r="A289" s="72" t="s">
        <v>450</v>
      </c>
      <c r="B289" s="71">
        <v>290</v>
      </c>
      <c r="C289" s="73">
        <v>2412</v>
      </c>
      <c r="D289" s="73">
        <v>683</v>
      </c>
      <c r="E289" s="73">
        <v>899</v>
      </c>
      <c r="F289" s="73">
        <v>248</v>
      </c>
      <c r="G289" s="73">
        <v>414</v>
      </c>
      <c r="H289" s="73">
        <v>150</v>
      </c>
      <c r="I289" s="73">
        <v>1099</v>
      </c>
      <c r="J289" s="73">
        <v>285</v>
      </c>
      <c r="L289" s="55"/>
      <c r="M289" s="55"/>
      <c r="N289" s="55"/>
      <c r="O289" s="55"/>
      <c r="P289" s="55"/>
      <c r="Q289" s="55"/>
      <c r="R289" s="55"/>
      <c r="S289" s="55"/>
      <c r="T289" s="4"/>
      <c r="U289" s="4"/>
      <c r="V289" s="4"/>
      <c r="W289" s="4"/>
    </row>
    <row r="290" spans="1:23" x14ac:dyDescent="0.25">
      <c r="A290" s="72" t="s">
        <v>450</v>
      </c>
      <c r="B290" s="71">
        <v>291</v>
      </c>
      <c r="C290" s="73">
        <v>1578</v>
      </c>
      <c r="D290" s="73">
        <v>521</v>
      </c>
      <c r="E290" s="73">
        <v>860</v>
      </c>
      <c r="F290" s="73">
        <v>239</v>
      </c>
      <c r="G290" s="73">
        <v>422</v>
      </c>
      <c r="H290" s="73">
        <v>153</v>
      </c>
      <c r="I290" s="73">
        <v>296</v>
      </c>
      <c r="J290" s="73">
        <v>129</v>
      </c>
      <c r="L290" s="55"/>
      <c r="M290" s="55"/>
      <c r="N290" s="55"/>
      <c r="O290" s="55"/>
      <c r="P290" s="55"/>
      <c r="Q290" s="55"/>
      <c r="R290" s="55"/>
      <c r="S290" s="55"/>
      <c r="T290" s="4"/>
      <c r="U290" s="4"/>
      <c r="V290" s="4"/>
      <c r="W290" s="4"/>
    </row>
    <row r="291" spans="1:23" x14ac:dyDescent="0.25">
      <c r="A291" s="72" t="s">
        <v>458</v>
      </c>
      <c r="B291" s="71">
        <v>292</v>
      </c>
      <c r="C291" s="73">
        <v>547</v>
      </c>
      <c r="D291" s="73">
        <v>181</v>
      </c>
      <c r="E291" s="73">
        <v>6</v>
      </c>
      <c r="F291" s="73">
        <v>6</v>
      </c>
      <c r="G291" s="73">
        <v>2</v>
      </c>
      <c r="H291" s="73">
        <v>2</v>
      </c>
      <c r="I291" s="73">
        <v>539</v>
      </c>
      <c r="J291" s="73">
        <v>173</v>
      </c>
      <c r="L291" s="55"/>
      <c r="M291" s="55"/>
      <c r="N291" s="55"/>
      <c r="O291" s="55"/>
      <c r="P291" s="55"/>
      <c r="Q291" s="55"/>
      <c r="R291" s="55"/>
      <c r="S291" s="55"/>
      <c r="T291" s="4"/>
      <c r="U291" s="4"/>
      <c r="V291" s="4"/>
      <c r="W291" s="4"/>
    </row>
    <row r="292" spans="1:23" x14ac:dyDescent="0.25">
      <c r="A292" s="72" t="s">
        <v>458</v>
      </c>
      <c r="B292" s="71">
        <v>293</v>
      </c>
      <c r="C292" s="73">
        <v>219</v>
      </c>
      <c r="D292" s="73">
        <v>110</v>
      </c>
      <c r="E292" s="73">
        <v>5</v>
      </c>
      <c r="F292" s="73">
        <v>5</v>
      </c>
      <c r="G292" s="73">
        <v>1</v>
      </c>
      <c r="H292" s="73">
        <v>1</v>
      </c>
      <c r="I292" s="73">
        <v>213</v>
      </c>
      <c r="J292" s="73">
        <v>104</v>
      </c>
      <c r="L292" s="55"/>
      <c r="M292" s="55"/>
      <c r="N292" s="55"/>
      <c r="O292" s="55"/>
      <c r="P292" s="55"/>
      <c r="Q292" s="55"/>
      <c r="R292" s="55"/>
      <c r="S292" s="55"/>
      <c r="T292" s="4"/>
      <c r="U292" s="4"/>
      <c r="V292" s="4"/>
      <c r="W292" s="4"/>
    </row>
    <row r="293" spans="1:23" x14ac:dyDescent="0.25">
      <c r="A293" s="72" t="s">
        <v>452</v>
      </c>
      <c r="B293" s="71">
        <v>294</v>
      </c>
      <c r="C293" s="73">
        <v>7</v>
      </c>
      <c r="D293" s="73">
        <v>7</v>
      </c>
      <c r="E293" s="73">
        <v>5</v>
      </c>
      <c r="F293" s="73">
        <v>5</v>
      </c>
      <c r="G293" s="73">
        <v>0</v>
      </c>
      <c r="H293" s="73">
        <v>0</v>
      </c>
      <c r="I293" s="73">
        <v>2</v>
      </c>
      <c r="J293" s="73">
        <v>2</v>
      </c>
      <c r="L293" s="55"/>
      <c r="M293" s="55"/>
      <c r="N293" s="55"/>
      <c r="O293" s="55"/>
      <c r="P293" s="55"/>
      <c r="Q293" s="55"/>
      <c r="R293" s="55"/>
      <c r="S293" s="55"/>
      <c r="T293" s="4"/>
      <c r="U293" s="4"/>
      <c r="V293" s="4"/>
      <c r="W293" s="4"/>
    </row>
    <row r="294" spans="1:23" x14ac:dyDescent="0.25">
      <c r="A294" s="72" t="s">
        <v>452</v>
      </c>
      <c r="B294" s="71">
        <v>295</v>
      </c>
      <c r="C294" s="73">
        <v>3</v>
      </c>
      <c r="D294" s="73">
        <v>3</v>
      </c>
      <c r="E294" s="73">
        <v>1</v>
      </c>
      <c r="F294" s="73">
        <v>1</v>
      </c>
      <c r="G294" s="73">
        <v>1</v>
      </c>
      <c r="H294" s="73">
        <v>1</v>
      </c>
      <c r="I294" s="73">
        <v>1</v>
      </c>
      <c r="J294" s="73">
        <v>1</v>
      </c>
      <c r="L294" s="55"/>
      <c r="M294" s="55"/>
      <c r="N294" s="55"/>
      <c r="O294" s="55"/>
      <c r="P294" s="55"/>
      <c r="Q294" s="55"/>
      <c r="R294" s="55"/>
      <c r="S294" s="55"/>
      <c r="T294" s="4"/>
      <c r="U294" s="4"/>
      <c r="V294" s="4"/>
      <c r="W294" s="4"/>
    </row>
    <row r="295" spans="1:23" x14ac:dyDescent="0.25">
      <c r="A295" s="72" t="s">
        <v>439</v>
      </c>
      <c r="B295" s="71">
        <v>296</v>
      </c>
      <c r="C295" s="73">
        <v>1261</v>
      </c>
      <c r="D295" s="73">
        <v>448</v>
      </c>
      <c r="E295" s="73">
        <v>573</v>
      </c>
      <c r="F295" s="73">
        <v>181</v>
      </c>
      <c r="G295" s="73">
        <v>358</v>
      </c>
      <c r="H295" s="73">
        <v>137</v>
      </c>
      <c r="I295" s="73">
        <v>330</v>
      </c>
      <c r="J295" s="73">
        <v>130</v>
      </c>
      <c r="L295" s="55"/>
      <c r="M295" s="55"/>
      <c r="N295" s="55"/>
      <c r="O295" s="55"/>
      <c r="P295" s="55"/>
      <c r="Q295" s="55"/>
      <c r="R295" s="55"/>
      <c r="S295" s="55"/>
      <c r="T295" s="4"/>
      <c r="U295" s="4"/>
      <c r="V295" s="4"/>
      <c r="W295" s="4"/>
    </row>
    <row r="296" spans="1:23" x14ac:dyDescent="0.25">
      <c r="A296" s="72" t="s">
        <v>439</v>
      </c>
      <c r="B296" s="71">
        <v>297</v>
      </c>
      <c r="C296" s="73">
        <v>5</v>
      </c>
      <c r="D296" s="73">
        <v>5</v>
      </c>
      <c r="E296" s="73">
        <v>5</v>
      </c>
      <c r="F296" s="73">
        <v>5</v>
      </c>
      <c r="G296" s="73">
        <v>0</v>
      </c>
      <c r="H296" s="73">
        <v>0</v>
      </c>
      <c r="I296" s="73">
        <v>0</v>
      </c>
      <c r="J296" s="73">
        <v>0</v>
      </c>
      <c r="L296" s="55"/>
      <c r="M296" s="55"/>
      <c r="N296" s="55"/>
      <c r="O296" s="55"/>
      <c r="P296" s="55"/>
      <c r="Q296" s="55"/>
      <c r="R296" s="55"/>
      <c r="S296" s="55"/>
      <c r="T296" s="4"/>
      <c r="U296" s="4"/>
      <c r="V296" s="4"/>
      <c r="W296" s="4"/>
    </row>
    <row r="297" spans="1:23" x14ac:dyDescent="0.25">
      <c r="A297" s="72" t="s">
        <v>462</v>
      </c>
      <c r="B297" s="71">
        <v>298</v>
      </c>
      <c r="C297" s="73">
        <v>376</v>
      </c>
      <c r="D297" s="73">
        <v>245</v>
      </c>
      <c r="E297" s="73">
        <v>49</v>
      </c>
      <c r="F297" s="73">
        <v>49</v>
      </c>
      <c r="G297" s="73">
        <v>176</v>
      </c>
      <c r="H297" s="73">
        <v>104</v>
      </c>
      <c r="I297" s="73">
        <v>151</v>
      </c>
      <c r="J297" s="73">
        <v>92</v>
      </c>
      <c r="L297" s="55"/>
      <c r="M297" s="55"/>
      <c r="N297" s="55"/>
      <c r="O297" s="55"/>
      <c r="P297" s="55"/>
      <c r="Q297" s="55"/>
      <c r="R297" s="55"/>
      <c r="S297" s="55"/>
      <c r="T297" s="4"/>
      <c r="U297" s="4"/>
      <c r="V297" s="4"/>
      <c r="W297" s="4"/>
    </row>
    <row r="298" spans="1:23" x14ac:dyDescent="0.25">
      <c r="A298" s="72" t="s">
        <v>462</v>
      </c>
      <c r="B298" s="71">
        <v>299</v>
      </c>
      <c r="C298" s="73">
        <v>876</v>
      </c>
      <c r="D298" s="73">
        <v>379</v>
      </c>
      <c r="E298" s="73">
        <v>286</v>
      </c>
      <c r="F298" s="73">
        <v>125</v>
      </c>
      <c r="G298" s="73">
        <v>282</v>
      </c>
      <c r="H298" s="73">
        <v>125</v>
      </c>
      <c r="I298" s="73">
        <v>308</v>
      </c>
      <c r="J298" s="73">
        <v>129</v>
      </c>
      <c r="L298" s="55"/>
      <c r="M298" s="55"/>
      <c r="N298" s="55"/>
      <c r="O298" s="55"/>
      <c r="P298" s="55"/>
      <c r="Q298" s="55"/>
      <c r="R298" s="55"/>
      <c r="S298" s="55"/>
      <c r="T298" s="4"/>
      <c r="U298" s="4"/>
      <c r="V298" s="4"/>
      <c r="W298" s="4"/>
    </row>
    <row r="299" spans="1:23" x14ac:dyDescent="0.25">
      <c r="A299" s="72" t="s">
        <v>462</v>
      </c>
      <c r="B299" s="71">
        <v>300</v>
      </c>
      <c r="C299" s="73">
        <v>1073</v>
      </c>
      <c r="D299" s="73">
        <v>364</v>
      </c>
      <c r="E299" s="73">
        <v>22</v>
      </c>
      <c r="F299" s="73">
        <v>20</v>
      </c>
      <c r="G299" s="73">
        <v>428</v>
      </c>
      <c r="H299" s="73">
        <v>153</v>
      </c>
      <c r="I299" s="73">
        <v>623</v>
      </c>
      <c r="J299" s="73">
        <v>191</v>
      </c>
      <c r="L299" s="55"/>
      <c r="M299" s="55"/>
      <c r="N299" s="55"/>
      <c r="O299" s="55"/>
      <c r="P299" s="55"/>
      <c r="Q299" s="55"/>
      <c r="R299" s="55"/>
      <c r="S299" s="55"/>
      <c r="T299" s="4"/>
      <c r="U299" s="4"/>
      <c r="V299" s="4"/>
      <c r="W299" s="4"/>
    </row>
    <row r="300" spans="1:23" x14ac:dyDescent="0.25">
      <c r="A300" s="72" t="s">
        <v>458</v>
      </c>
      <c r="B300" s="71">
        <v>301</v>
      </c>
      <c r="C300" s="73">
        <v>1923</v>
      </c>
      <c r="D300" s="73">
        <v>589</v>
      </c>
      <c r="E300" s="73">
        <v>380</v>
      </c>
      <c r="F300" s="73">
        <v>145</v>
      </c>
      <c r="G300" s="73">
        <v>601</v>
      </c>
      <c r="H300" s="73">
        <v>189</v>
      </c>
      <c r="I300" s="73">
        <v>942</v>
      </c>
      <c r="J300" s="73">
        <v>255</v>
      </c>
      <c r="L300" s="55"/>
      <c r="M300" s="55"/>
      <c r="N300" s="55"/>
      <c r="O300" s="55"/>
      <c r="P300" s="55"/>
      <c r="Q300" s="55"/>
      <c r="R300" s="55"/>
      <c r="S300" s="55"/>
      <c r="T300" s="4"/>
      <c r="U300" s="4"/>
      <c r="V300" s="4"/>
      <c r="W300" s="4"/>
    </row>
    <row r="301" spans="1:23" x14ac:dyDescent="0.25">
      <c r="A301" s="72" t="s">
        <v>458</v>
      </c>
      <c r="B301" s="71">
        <v>302</v>
      </c>
      <c r="C301" s="73">
        <v>4</v>
      </c>
      <c r="D301" s="73">
        <v>4</v>
      </c>
      <c r="E301" s="73">
        <v>0</v>
      </c>
      <c r="F301" s="73">
        <v>0</v>
      </c>
      <c r="G301" s="73">
        <v>3</v>
      </c>
      <c r="H301" s="73">
        <v>3</v>
      </c>
      <c r="I301" s="73">
        <v>1</v>
      </c>
      <c r="J301" s="73">
        <v>1</v>
      </c>
      <c r="L301" s="55"/>
      <c r="M301" s="55"/>
      <c r="N301" s="55"/>
      <c r="O301" s="55"/>
      <c r="P301" s="55"/>
      <c r="Q301" s="55"/>
      <c r="R301" s="55"/>
      <c r="S301" s="55"/>
      <c r="T301" s="4"/>
      <c r="U301" s="4"/>
      <c r="V301" s="4"/>
      <c r="W301" s="4"/>
    </row>
    <row r="302" spans="1:23" x14ac:dyDescent="0.25">
      <c r="A302" s="72" t="s">
        <v>458</v>
      </c>
      <c r="B302" s="71">
        <v>303</v>
      </c>
      <c r="C302" s="73">
        <v>8</v>
      </c>
      <c r="D302" s="73">
        <v>8</v>
      </c>
      <c r="E302" s="73">
        <v>5</v>
      </c>
      <c r="F302" s="73">
        <v>5</v>
      </c>
      <c r="G302" s="73">
        <v>3</v>
      </c>
      <c r="H302" s="73">
        <v>3</v>
      </c>
      <c r="I302" s="73">
        <v>0</v>
      </c>
      <c r="J302" s="73">
        <v>0</v>
      </c>
      <c r="L302" s="55"/>
      <c r="M302" s="55"/>
      <c r="N302" s="55"/>
      <c r="O302" s="55"/>
      <c r="P302" s="55"/>
      <c r="Q302" s="55"/>
      <c r="R302" s="55"/>
      <c r="S302" s="55"/>
      <c r="T302" s="4"/>
      <c r="U302" s="4"/>
      <c r="V302" s="4"/>
      <c r="W302" s="4"/>
    </row>
    <row r="303" spans="1:23" x14ac:dyDescent="0.25">
      <c r="A303" s="72" t="s">
        <v>464</v>
      </c>
      <c r="B303" s="71">
        <v>304</v>
      </c>
      <c r="C303" s="73">
        <v>3140</v>
      </c>
      <c r="D303" s="73">
        <v>824</v>
      </c>
      <c r="E303" s="73">
        <v>1507</v>
      </c>
      <c r="F303" s="73">
        <v>365</v>
      </c>
      <c r="G303" s="73">
        <v>696</v>
      </c>
      <c r="H303" s="73">
        <v>206</v>
      </c>
      <c r="I303" s="73">
        <v>937</v>
      </c>
      <c r="J303" s="73">
        <v>253</v>
      </c>
      <c r="L303" s="55"/>
      <c r="M303" s="55"/>
      <c r="N303" s="55"/>
      <c r="O303" s="55"/>
      <c r="P303" s="55"/>
      <c r="Q303" s="55"/>
      <c r="R303" s="55"/>
      <c r="S303" s="55"/>
      <c r="T303" s="4"/>
      <c r="U303" s="4"/>
      <c r="V303" s="4"/>
      <c r="W303" s="4"/>
    </row>
    <row r="304" spans="1:23" x14ac:dyDescent="0.25">
      <c r="A304" s="72" t="s">
        <v>464</v>
      </c>
      <c r="B304" s="71">
        <v>305</v>
      </c>
      <c r="C304" s="73">
        <v>3348</v>
      </c>
      <c r="D304" s="73">
        <v>852</v>
      </c>
      <c r="E304" s="73">
        <v>643</v>
      </c>
      <c r="F304" s="73">
        <v>185</v>
      </c>
      <c r="G304" s="73">
        <v>1000</v>
      </c>
      <c r="H304" s="73">
        <v>265</v>
      </c>
      <c r="I304" s="73">
        <v>1705</v>
      </c>
      <c r="J304" s="73">
        <v>402</v>
      </c>
      <c r="L304" s="55"/>
      <c r="M304" s="55"/>
      <c r="N304" s="55"/>
      <c r="O304" s="55"/>
      <c r="P304" s="55"/>
      <c r="Q304" s="55"/>
      <c r="R304" s="55"/>
      <c r="S304" s="55"/>
      <c r="T304" s="4"/>
      <c r="U304" s="4"/>
      <c r="V304" s="4"/>
      <c r="W304" s="4"/>
    </row>
    <row r="305" spans="1:23" x14ac:dyDescent="0.25">
      <c r="A305" s="72" t="s">
        <v>423</v>
      </c>
      <c r="B305" s="71">
        <v>306</v>
      </c>
      <c r="C305" s="73">
        <v>1</v>
      </c>
      <c r="D305" s="73">
        <v>1</v>
      </c>
      <c r="E305" s="73">
        <v>1</v>
      </c>
      <c r="F305" s="73">
        <v>1</v>
      </c>
      <c r="G305" s="73">
        <v>0</v>
      </c>
      <c r="H305" s="73">
        <v>0</v>
      </c>
      <c r="I305" s="73">
        <v>0</v>
      </c>
      <c r="J305" s="73">
        <v>0</v>
      </c>
      <c r="L305" s="55"/>
      <c r="M305" s="55"/>
      <c r="N305" s="55"/>
      <c r="O305" s="55"/>
      <c r="P305" s="55"/>
      <c r="Q305" s="55"/>
      <c r="R305" s="55"/>
      <c r="S305" s="55"/>
      <c r="T305" s="4"/>
      <c r="U305" s="4"/>
      <c r="V305" s="4"/>
      <c r="W305" s="4"/>
    </row>
    <row r="306" spans="1:23" x14ac:dyDescent="0.25">
      <c r="A306" s="72" t="s">
        <v>463</v>
      </c>
      <c r="B306" s="71">
        <v>307</v>
      </c>
      <c r="C306" s="73">
        <v>2</v>
      </c>
      <c r="D306" s="73">
        <v>2</v>
      </c>
      <c r="E306" s="73">
        <v>2</v>
      </c>
      <c r="F306" s="73">
        <v>2</v>
      </c>
      <c r="G306" s="73">
        <v>0</v>
      </c>
      <c r="H306" s="73">
        <v>0</v>
      </c>
      <c r="I306" s="73">
        <v>0</v>
      </c>
      <c r="J306" s="73">
        <v>0</v>
      </c>
      <c r="L306" s="55"/>
      <c r="M306" s="55"/>
      <c r="N306" s="55"/>
      <c r="O306" s="55"/>
      <c r="P306" s="55"/>
      <c r="Q306" s="55"/>
      <c r="R306" s="55"/>
      <c r="S306" s="55"/>
      <c r="T306" s="4"/>
      <c r="U306" s="4"/>
      <c r="V306" s="4"/>
      <c r="W306" s="4"/>
    </row>
    <row r="307" spans="1:23" x14ac:dyDescent="0.25">
      <c r="A307" s="72" t="s">
        <v>463</v>
      </c>
      <c r="B307" s="71">
        <v>308</v>
      </c>
      <c r="C307" s="73">
        <v>71</v>
      </c>
      <c r="D307" s="73">
        <v>63</v>
      </c>
      <c r="E307" s="73">
        <v>17</v>
      </c>
      <c r="F307" s="73">
        <v>17</v>
      </c>
      <c r="G307" s="73">
        <v>3</v>
      </c>
      <c r="H307" s="73">
        <v>3</v>
      </c>
      <c r="I307" s="73">
        <v>51</v>
      </c>
      <c r="J307" s="73">
        <v>43</v>
      </c>
      <c r="L307" s="55"/>
      <c r="M307" s="55"/>
      <c r="N307" s="55"/>
      <c r="O307" s="55"/>
      <c r="P307" s="55"/>
      <c r="Q307" s="55"/>
      <c r="R307" s="55"/>
      <c r="S307" s="55"/>
      <c r="T307" s="4"/>
      <c r="U307" s="4"/>
      <c r="V307" s="4"/>
      <c r="W307" s="4"/>
    </row>
    <row r="308" spans="1:23" x14ac:dyDescent="0.25">
      <c r="A308" s="72" t="s">
        <v>145</v>
      </c>
      <c r="B308" s="71">
        <v>309</v>
      </c>
      <c r="C308" s="73">
        <v>5391</v>
      </c>
      <c r="D308" s="73">
        <v>991</v>
      </c>
      <c r="E308" s="73">
        <v>7</v>
      </c>
      <c r="F308" s="73">
        <v>5</v>
      </c>
      <c r="G308" s="73">
        <v>2772</v>
      </c>
      <c r="H308" s="73">
        <v>486</v>
      </c>
      <c r="I308" s="73">
        <v>2612</v>
      </c>
      <c r="J308" s="73">
        <v>500</v>
      </c>
      <c r="L308" s="55"/>
      <c r="M308" s="55"/>
      <c r="N308" s="55"/>
      <c r="O308" s="55"/>
      <c r="P308" s="55"/>
      <c r="Q308" s="55"/>
      <c r="R308" s="55"/>
      <c r="S308" s="55"/>
      <c r="T308" s="4"/>
      <c r="U308" s="4"/>
      <c r="V308" s="4"/>
      <c r="W308" s="4"/>
    </row>
    <row r="309" spans="1:23" x14ac:dyDescent="0.25">
      <c r="A309" s="72" t="s">
        <v>145</v>
      </c>
      <c r="B309" s="71">
        <v>310</v>
      </c>
      <c r="C309" s="73">
        <v>4</v>
      </c>
      <c r="D309" s="73">
        <v>4</v>
      </c>
      <c r="E309" s="73">
        <v>2</v>
      </c>
      <c r="F309" s="73">
        <v>2</v>
      </c>
      <c r="G309" s="73">
        <v>2</v>
      </c>
      <c r="H309" s="73">
        <v>2</v>
      </c>
      <c r="I309" s="73">
        <v>0</v>
      </c>
      <c r="J309" s="73">
        <v>0</v>
      </c>
      <c r="L309" s="55"/>
      <c r="M309" s="55"/>
      <c r="N309" s="55"/>
      <c r="O309" s="55"/>
      <c r="P309" s="55"/>
      <c r="Q309" s="55"/>
      <c r="R309" s="55"/>
      <c r="S309" s="55"/>
      <c r="T309" s="4"/>
      <c r="U309" s="4"/>
      <c r="V309" s="4"/>
      <c r="W309" s="4"/>
    </row>
    <row r="310" spans="1:23" x14ac:dyDescent="0.25">
      <c r="A310" s="72" t="s">
        <v>423</v>
      </c>
      <c r="B310" s="71">
        <v>311</v>
      </c>
      <c r="C310" s="73">
        <v>1</v>
      </c>
      <c r="D310" s="73">
        <v>1</v>
      </c>
      <c r="E310" s="73">
        <v>0</v>
      </c>
      <c r="F310" s="73">
        <v>0</v>
      </c>
      <c r="G310" s="73">
        <v>0</v>
      </c>
      <c r="H310" s="73">
        <v>0</v>
      </c>
      <c r="I310" s="73">
        <v>1</v>
      </c>
      <c r="J310" s="73">
        <v>1</v>
      </c>
      <c r="L310" s="55"/>
      <c r="M310" s="55"/>
      <c r="N310" s="55"/>
      <c r="O310" s="55"/>
      <c r="P310" s="55"/>
      <c r="Q310" s="55"/>
      <c r="R310" s="55"/>
      <c r="S310" s="55"/>
      <c r="T310" s="4"/>
      <c r="U310" s="4"/>
      <c r="V310" s="4"/>
      <c r="W310" s="4"/>
    </row>
    <row r="311" spans="1:23" x14ac:dyDescent="0.25">
      <c r="A311" s="72" t="s">
        <v>506</v>
      </c>
      <c r="B311" s="139">
        <v>312</v>
      </c>
      <c r="C311" s="73">
        <v>8</v>
      </c>
      <c r="D311" s="73">
        <v>7</v>
      </c>
      <c r="E311" s="73">
        <v>5</v>
      </c>
      <c r="F311" s="73">
        <v>5</v>
      </c>
      <c r="G311" s="73">
        <v>1</v>
      </c>
      <c r="H311" s="73">
        <v>1</v>
      </c>
      <c r="I311" s="73">
        <v>2</v>
      </c>
      <c r="J311" s="73">
        <v>1</v>
      </c>
      <c r="M311" s="9"/>
      <c r="N311" s="4"/>
      <c r="O311" s="4"/>
      <c r="P311" s="4"/>
      <c r="Q311" s="4"/>
      <c r="R311" s="4"/>
      <c r="S311" s="4"/>
      <c r="T311" s="4"/>
      <c r="U311" s="4"/>
      <c r="V311" s="4"/>
      <c r="W311" s="4"/>
    </row>
    <row r="312" spans="1:23" x14ac:dyDescent="0.25">
      <c r="A312" s="72" t="s">
        <v>506</v>
      </c>
      <c r="B312" s="139">
        <v>313</v>
      </c>
      <c r="C312" s="73">
        <v>5</v>
      </c>
      <c r="D312" s="73">
        <v>5</v>
      </c>
      <c r="E312" s="73">
        <v>2</v>
      </c>
      <c r="F312" s="73">
        <v>2</v>
      </c>
      <c r="G312" s="73">
        <v>3</v>
      </c>
      <c r="H312" s="73">
        <v>3</v>
      </c>
      <c r="I312" s="73">
        <v>0</v>
      </c>
      <c r="J312" s="73">
        <v>0</v>
      </c>
      <c r="M312" s="9"/>
      <c r="N312" s="4"/>
      <c r="O312" s="4"/>
      <c r="P312" s="4"/>
      <c r="Q312" s="4"/>
      <c r="R312" s="4"/>
      <c r="S312" s="4"/>
      <c r="T312" s="4"/>
      <c r="U312" s="4"/>
      <c r="V312" s="4"/>
      <c r="W312" s="4"/>
    </row>
    <row r="313" spans="1:23" x14ac:dyDescent="0.25">
      <c r="A313" s="72" t="s">
        <v>490</v>
      </c>
      <c r="B313" s="139">
        <v>314</v>
      </c>
      <c r="C313" s="73">
        <v>1318</v>
      </c>
      <c r="D313" s="73">
        <v>463</v>
      </c>
      <c r="E313" s="73">
        <v>468</v>
      </c>
      <c r="F313" s="73">
        <v>161</v>
      </c>
      <c r="G313" s="73">
        <v>606</v>
      </c>
      <c r="H313" s="73">
        <v>186</v>
      </c>
      <c r="I313" s="73">
        <v>244</v>
      </c>
      <c r="J313" s="73">
        <v>116</v>
      </c>
      <c r="M313" s="9"/>
      <c r="N313" s="4"/>
      <c r="O313" s="4"/>
      <c r="P313" s="4"/>
      <c r="Q313" s="4"/>
      <c r="R313" s="4"/>
      <c r="S313" s="4"/>
      <c r="T313" s="4"/>
      <c r="U313" s="4"/>
      <c r="V313" s="4"/>
      <c r="W313" s="4"/>
    </row>
    <row r="314" spans="1:23" x14ac:dyDescent="0.25">
      <c r="A314" s="72" t="s">
        <v>489</v>
      </c>
      <c r="B314" s="139">
        <v>315</v>
      </c>
      <c r="C314" s="73">
        <v>6525</v>
      </c>
      <c r="D314" s="73">
        <v>1500</v>
      </c>
      <c r="E314" s="73">
        <v>2190</v>
      </c>
      <c r="F314" s="73">
        <v>500</v>
      </c>
      <c r="G314" s="73">
        <v>2165</v>
      </c>
      <c r="H314" s="73">
        <v>500</v>
      </c>
      <c r="I314" s="73">
        <v>2170</v>
      </c>
      <c r="J314" s="73">
        <v>500</v>
      </c>
      <c r="M314" s="9"/>
      <c r="N314" s="4"/>
      <c r="O314" s="4"/>
      <c r="P314" s="4"/>
      <c r="Q314" s="4"/>
      <c r="R314" s="4"/>
      <c r="S314" s="4"/>
      <c r="T314" s="4"/>
      <c r="U314" s="4"/>
      <c r="V314" s="4"/>
      <c r="W314" s="4"/>
    </row>
    <row r="315" spans="1:23" x14ac:dyDescent="0.25">
      <c r="A315" s="72" t="s">
        <v>507</v>
      </c>
      <c r="B315" s="139">
        <v>316</v>
      </c>
      <c r="C315" s="73">
        <v>5504</v>
      </c>
      <c r="D315" s="73">
        <v>1304</v>
      </c>
      <c r="E315" s="73">
        <v>1519</v>
      </c>
      <c r="F315" s="73">
        <v>369</v>
      </c>
      <c r="G315" s="73">
        <v>2057</v>
      </c>
      <c r="H315" s="73">
        <v>480</v>
      </c>
      <c r="I315" s="73">
        <v>1928</v>
      </c>
      <c r="J315" s="73">
        <v>455</v>
      </c>
      <c r="M315" s="9"/>
      <c r="N315" s="4"/>
      <c r="O315" s="4"/>
      <c r="P315" s="4"/>
      <c r="Q315" s="4"/>
      <c r="R315" s="4"/>
      <c r="S315" s="4"/>
      <c r="T315" s="4"/>
      <c r="U315" s="4"/>
      <c r="V315" s="4"/>
      <c r="W315" s="4"/>
    </row>
    <row r="316" spans="1:23" x14ac:dyDescent="0.25">
      <c r="A316" s="72" t="s">
        <v>507</v>
      </c>
      <c r="B316" s="139">
        <v>317</v>
      </c>
      <c r="C316" s="73">
        <v>5807</v>
      </c>
      <c r="D316" s="73">
        <v>1312</v>
      </c>
      <c r="E316" s="73">
        <v>1289</v>
      </c>
      <c r="F316" s="73">
        <v>312</v>
      </c>
      <c r="G316" s="73">
        <v>2267</v>
      </c>
      <c r="H316" s="73">
        <v>500</v>
      </c>
      <c r="I316" s="73">
        <v>2251</v>
      </c>
      <c r="J316" s="73">
        <v>500</v>
      </c>
      <c r="M316" s="9"/>
      <c r="N316" s="4"/>
      <c r="O316" s="4"/>
      <c r="P316" s="4"/>
      <c r="Q316" s="4"/>
      <c r="R316" s="4"/>
      <c r="S316" s="4"/>
      <c r="T316" s="4"/>
      <c r="U316" s="4"/>
      <c r="V316" s="4"/>
      <c r="W316" s="4"/>
    </row>
    <row r="317" spans="1:23" x14ac:dyDescent="0.25">
      <c r="A317" s="72" t="s">
        <v>186</v>
      </c>
      <c r="B317" s="139">
        <v>318</v>
      </c>
      <c r="C317" s="73">
        <v>2</v>
      </c>
      <c r="D317" s="73">
        <v>2</v>
      </c>
      <c r="E317" s="73">
        <v>1</v>
      </c>
      <c r="F317" s="73">
        <v>1</v>
      </c>
      <c r="G317" s="73">
        <v>1</v>
      </c>
      <c r="H317" s="73">
        <v>1</v>
      </c>
      <c r="I317" s="73">
        <v>0</v>
      </c>
      <c r="J317" s="73">
        <v>0</v>
      </c>
      <c r="M317" s="9"/>
      <c r="N317" s="4"/>
      <c r="O317" s="4"/>
      <c r="P317" s="4"/>
      <c r="Q317" s="4"/>
      <c r="R317" s="4"/>
      <c r="S317" s="4"/>
      <c r="T317" s="4"/>
      <c r="U317" s="4"/>
      <c r="V317" s="4"/>
      <c r="W317" s="4"/>
    </row>
    <row r="318" spans="1:23" x14ac:dyDescent="0.25">
      <c r="A318" s="72" t="s">
        <v>186</v>
      </c>
      <c r="B318" s="139">
        <v>319</v>
      </c>
      <c r="C318" s="73">
        <v>9</v>
      </c>
      <c r="D318" s="73">
        <v>9</v>
      </c>
      <c r="E318" s="73">
        <v>7</v>
      </c>
      <c r="F318" s="73">
        <v>7</v>
      </c>
      <c r="G318" s="73">
        <v>0</v>
      </c>
      <c r="H318" s="73">
        <v>0</v>
      </c>
      <c r="I318" s="73">
        <v>2</v>
      </c>
      <c r="J318" s="73">
        <v>2</v>
      </c>
      <c r="M318" s="9"/>
      <c r="N318" s="4"/>
      <c r="O318" s="4"/>
      <c r="P318" s="4"/>
      <c r="Q318" s="4"/>
      <c r="R318" s="4"/>
      <c r="S318" s="4"/>
      <c r="T318" s="4"/>
      <c r="U318" s="4"/>
      <c r="V318" s="4"/>
      <c r="W318" s="4"/>
    </row>
    <row r="319" spans="1:23" x14ac:dyDescent="0.25">
      <c r="A319" s="72" t="s">
        <v>504</v>
      </c>
      <c r="B319" s="139">
        <v>320</v>
      </c>
      <c r="C319" s="73">
        <v>6626</v>
      </c>
      <c r="D319" s="73">
        <v>1500</v>
      </c>
      <c r="E319" s="73">
        <v>2236</v>
      </c>
      <c r="F319" s="73">
        <v>500</v>
      </c>
      <c r="G319" s="73">
        <v>2200</v>
      </c>
      <c r="H319" s="73">
        <v>500</v>
      </c>
      <c r="I319" s="73">
        <v>2190</v>
      </c>
      <c r="J319" s="73">
        <v>500</v>
      </c>
      <c r="M319" s="9"/>
      <c r="N319" s="4"/>
      <c r="O319" s="4"/>
      <c r="P319" s="4"/>
      <c r="Q319" s="4"/>
      <c r="R319" s="4"/>
      <c r="S319" s="4"/>
      <c r="T319" s="4"/>
      <c r="U319" s="4"/>
      <c r="V319" s="4"/>
      <c r="W319" s="4"/>
    </row>
    <row r="320" spans="1:23" x14ac:dyDescent="0.25">
      <c r="A320" s="72" t="s">
        <v>504</v>
      </c>
      <c r="B320" s="139">
        <v>321</v>
      </c>
      <c r="C320" s="73">
        <v>3430</v>
      </c>
      <c r="D320" s="73">
        <v>879</v>
      </c>
      <c r="E320" s="73">
        <v>1138</v>
      </c>
      <c r="F320" s="73">
        <v>290</v>
      </c>
      <c r="G320" s="73">
        <v>1382</v>
      </c>
      <c r="H320" s="73">
        <v>341</v>
      </c>
      <c r="I320" s="73">
        <v>910</v>
      </c>
      <c r="J320" s="73">
        <v>248</v>
      </c>
      <c r="M320" s="9"/>
      <c r="N320" s="4"/>
      <c r="O320" s="4"/>
      <c r="P320" s="4"/>
      <c r="Q320" s="4"/>
      <c r="R320" s="4"/>
      <c r="S320" s="4"/>
      <c r="T320" s="4"/>
      <c r="U320" s="4"/>
      <c r="V320" s="4"/>
      <c r="W320" s="4"/>
    </row>
    <row r="321" spans="1:23" x14ac:dyDescent="0.25">
      <c r="A321" s="72" t="s">
        <v>505</v>
      </c>
      <c r="B321" s="139">
        <v>322</v>
      </c>
      <c r="C321" s="73">
        <v>6</v>
      </c>
      <c r="D321" s="73">
        <v>6</v>
      </c>
      <c r="E321" s="73">
        <v>2</v>
      </c>
      <c r="F321" s="73">
        <v>2</v>
      </c>
      <c r="G321" s="73">
        <v>2</v>
      </c>
      <c r="H321" s="73">
        <v>2</v>
      </c>
      <c r="I321" s="73">
        <v>2</v>
      </c>
      <c r="J321" s="73">
        <v>2</v>
      </c>
      <c r="M321" s="9"/>
      <c r="N321" s="4"/>
      <c r="O321" s="4"/>
      <c r="P321" s="4"/>
      <c r="Q321" s="4"/>
      <c r="R321" s="4"/>
      <c r="S321" s="4"/>
      <c r="T321" s="4"/>
      <c r="U321" s="4"/>
      <c r="V321" s="4"/>
      <c r="W321" s="4"/>
    </row>
    <row r="322" spans="1:23" x14ac:dyDescent="0.25">
      <c r="A322" s="72" t="s">
        <v>505</v>
      </c>
      <c r="B322" s="139">
        <v>323</v>
      </c>
      <c r="C322" s="73">
        <v>2470</v>
      </c>
      <c r="D322" s="73">
        <v>702</v>
      </c>
      <c r="E322" s="73">
        <v>863</v>
      </c>
      <c r="F322" s="73">
        <v>242</v>
      </c>
      <c r="G322" s="73">
        <v>740</v>
      </c>
      <c r="H322" s="73">
        <v>217</v>
      </c>
      <c r="I322" s="73">
        <v>867</v>
      </c>
      <c r="J322" s="73">
        <v>243</v>
      </c>
      <c r="M322" s="9"/>
      <c r="N322" s="4"/>
      <c r="O322" s="4"/>
      <c r="P322" s="4"/>
      <c r="Q322" s="4"/>
      <c r="R322" s="4"/>
      <c r="S322" s="4"/>
      <c r="T322" s="4"/>
      <c r="U322" s="4"/>
      <c r="V322" s="4"/>
      <c r="W322" s="4"/>
    </row>
    <row r="323" spans="1:23" x14ac:dyDescent="0.25">
      <c r="A323" s="72" t="s">
        <v>505</v>
      </c>
      <c r="B323" s="139">
        <v>324</v>
      </c>
      <c r="C323" s="73">
        <v>15</v>
      </c>
      <c r="D323" s="73">
        <v>15</v>
      </c>
      <c r="E323" s="73">
        <v>14</v>
      </c>
      <c r="F323" s="73">
        <v>14</v>
      </c>
      <c r="G323" s="73">
        <v>1</v>
      </c>
      <c r="H323" s="73">
        <v>1</v>
      </c>
      <c r="I323" s="73">
        <v>0</v>
      </c>
      <c r="J323" s="73">
        <v>0</v>
      </c>
      <c r="M323" s="9"/>
      <c r="N323" s="4"/>
      <c r="O323" s="4"/>
      <c r="P323" s="4"/>
      <c r="Q323" s="4"/>
      <c r="R323" s="4"/>
      <c r="S323" s="4"/>
      <c r="T323" s="4"/>
      <c r="U323" s="4"/>
      <c r="V323" s="4"/>
      <c r="W323" s="4"/>
    </row>
    <row r="324" spans="1:23" x14ac:dyDescent="0.25">
      <c r="A324" s="72" t="s">
        <v>507</v>
      </c>
      <c r="B324" s="139">
        <v>325</v>
      </c>
      <c r="C324" s="73">
        <v>2349</v>
      </c>
      <c r="D324" s="73">
        <v>602</v>
      </c>
      <c r="E324" s="73">
        <v>17</v>
      </c>
      <c r="F324" s="73">
        <v>13</v>
      </c>
      <c r="G324" s="73">
        <v>674</v>
      </c>
      <c r="H324" s="73">
        <v>202</v>
      </c>
      <c r="I324" s="73">
        <v>1658</v>
      </c>
      <c r="J324" s="73">
        <v>387</v>
      </c>
      <c r="M324" s="9"/>
      <c r="N324" s="4"/>
      <c r="O324" s="4"/>
      <c r="P324" s="4"/>
      <c r="Q324" s="4"/>
      <c r="R324" s="4"/>
      <c r="S324" s="4"/>
      <c r="T324" s="4"/>
      <c r="U324" s="4"/>
      <c r="V324" s="4"/>
      <c r="W324" s="4"/>
    </row>
    <row r="325" spans="1:23" x14ac:dyDescent="0.25">
      <c r="A325" s="72" t="s">
        <v>489</v>
      </c>
      <c r="B325" s="139">
        <v>326</v>
      </c>
      <c r="C325" s="73">
        <v>6562</v>
      </c>
      <c r="D325" s="73">
        <v>1489</v>
      </c>
      <c r="E325" s="73">
        <v>2206</v>
      </c>
      <c r="F325" s="73">
        <v>489</v>
      </c>
      <c r="G325" s="73">
        <v>2178</v>
      </c>
      <c r="H325" s="73">
        <v>500</v>
      </c>
      <c r="I325" s="73">
        <v>2178</v>
      </c>
      <c r="J325" s="73">
        <v>500</v>
      </c>
      <c r="M325" s="9"/>
      <c r="N325" s="4"/>
      <c r="O325" s="4"/>
      <c r="P325" s="4"/>
      <c r="Q325" s="4"/>
      <c r="R325" s="4"/>
      <c r="S325" s="4"/>
      <c r="T325" s="4"/>
      <c r="U325" s="4"/>
      <c r="V325" s="4"/>
      <c r="W325" s="4"/>
    </row>
    <row r="326" spans="1:23" x14ac:dyDescent="0.25">
      <c r="A326" s="72" t="s">
        <v>489</v>
      </c>
      <c r="B326" s="139">
        <v>327</v>
      </c>
      <c r="C326" s="73">
        <v>6724</v>
      </c>
      <c r="D326" s="73">
        <v>1500</v>
      </c>
      <c r="E326" s="73">
        <v>2235</v>
      </c>
      <c r="F326" s="73">
        <v>500</v>
      </c>
      <c r="G326" s="73">
        <v>2273</v>
      </c>
      <c r="H326" s="73">
        <v>500</v>
      </c>
      <c r="I326" s="73">
        <v>2216</v>
      </c>
      <c r="J326" s="73">
        <v>500</v>
      </c>
      <c r="M326" s="9"/>
      <c r="N326" s="4"/>
      <c r="O326" s="4"/>
      <c r="P326" s="4"/>
      <c r="Q326" s="4"/>
      <c r="R326" s="4"/>
      <c r="S326" s="4"/>
      <c r="T326" s="4"/>
      <c r="U326" s="4"/>
      <c r="V326" s="4"/>
      <c r="W326" s="4"/>
    </row>
    <row r="327" spans="1:23" x14ac:dyDescent="0.25">
      <c r="A327" s="72"/>
      <c r="B327" s="71"/>
      <c r="M327" s="9"/>
      <c r="N327" s="4"/>
      <c r="O327" s="4"/>
      <c r="P327" s="4"/>
      <c r="Q327" s="4"/>
      <c r="R327" s="4"/>
      <c r="S327" s="4"/>
      <c r="T327" s="4"/>
      <c r="U327" s="4"/>
      <c r="V327" s="4"/>
      <c r="W327" s="4"/>
    </row>
    <row r="328" spans="1:23" x14ac:dyDescent="0.25">
      <c r="A328" s="72"/>
      <c r="B328" s="71"/>
      <c r="M328" s="9"/>
      <c r="N328" s="4"/>
      <c r="O328" s="4"/>
      <c r="P328" s="4"/>
      <c r="Q328" s="4"/>
      <c r="R328" s="4"/>
      <c r="S328" s="4"/>
      <c r="T328" s="4"/>
      <c r="U328" s="4"/>
      <c r="V328" s="4"/>
      <c r="W328" s="4"/>
    </row>
    <row r="329" spans="1:23" x14ac:dyDescent="0.25">
      <c r="A329" s="72"/>
      <c r="B329" s="71"/>
      <c r="M329" s="9"/>
      <c r="N329" s="4"/>
      <c r="O329" s="4"/>
      <c r="P329" s="4"/>
      <c r="Q329" s="4"/>
      <c r="R329" s="4"/>
      <c r="S329" s="4"/>
      <c r="T329" s="4"/>
      <c r="U329" s="4"/>
      <c r="V329" s="4"/>
      <c r="W329" s="4"/>
    </row>
    <row r="330" spans="1:23" x14ac:dyDescent="0.25">
      <c r="A330" s="72"/>
      <c r="B330" s="71"/>
      <c r="M330" s="9"/>
      <c r="N330" s="4"/>
      <c r="O330" s="4"/>
      <c r="P330" s="4"/>
      <c r="Q330" s="4"/>
      <c r="R330" s="4"/>
      <c r="S330" s="4"/>
      <c r="T330" s="4"/>
      <c r="U330" s="4"/>
      <c r="V330" s="4"/>
      <c r="W330" s="4"/>
    </row>
    <row r="331" spans="1:23" x14ac:dyDescent="0.25">
      <c r="A331" s="72"/>
      <c r="B331" s="71"/>
      <c r="M331" s="9"/>
      <c r="N331" s="4"/>
      <c r="O331" s="4"/>
      <c r="P331" s="4"/>
      <c r="Q331" s="4"/>
      <c r="R331" s="4"/>
      <c r="S331" s="4"/>
      <c r="T331" s="4"/>
      <c r="U331" s="4"/>
      <c r="V331" s="4"/>
      <c r="W331" s="4"/>
    </row>
    <row r="332" spans="1:23" x14ac:dyDescent="0.25">
      <c r="A332" s="72"/>
      <c r="B332" s="71"/>
      <c r="M332" s="9"/>
      <c r="N332" s="4"/>
      <c r="O332" s="4"/>
      <c r="P332" s="4"/>
      <c r="Q332" s="4"/>
      <c r="R332" s="4"/>
      <c r="S332" s="4"/>
      <c r="T332" s="4"/>
      <c r="U332" s="4"/>
      <c r="V332" s="4"/>
      <c r="W332" s="4"/>
    </row>
    <row r="333" spans="1:23" x14ac:dyDescent="0.25">
      <c r="A333" s="72"/>
      <c r="B333" s="71"/>
      <c r="M333" s="9"/>
      <c r="N333" s="4"/>
      <c r="O333" s="4"/>
      <c r="P333" s="4"/>
      <c r="Q333" s="4"/>
      <c r="R333" s="4"/>
      <c r="S333" s="4"/>
      <c r="T333" s="4"/>
      <c r="U333" s="4"/>
      <c r="V333" s="4"/>
      <c r="W333" s="4"/>
    </row>
    <row r="334" spans="1:23" x14ac:dyDescent="0.25">
      <c r="A334" s="72"/>
      <c r="B334" s="71"/>
      <c r="M334" s="9"/>
      <c r="N334" s="4"/>
      <c r="O334" s="4"/>
      <c r="P334" s="4"/>
      <c r="Q334" s="4"/>
      <c r="R334" s="4"/>
      <c r="S334" s="4"/>
      <c r="T334" s="4"/>
      <c r="U334" s="4"/>
      <c r="V334" s="4"/>
      <c r="W334" s="4"/>
    </row>
    <row r="335" spans="1:23" x14ac:dyDescent="0.25">
      <c r="A335" s="72"/>
      <c r="B335" s="71"/>
      <c r="M335" s="9"/>
      <c r="N335" s="4"/>
      <c r="O335" s="4"/>
      <c r="P335" s="4"/>
      <c r="Q335" s="4"/>
      <c r="R335" s="4"/>
      <c r="S335" s="4"/>
      <c r="T335" s="4"/>
      <c r="U335" s="4"/>
      <c r="V335" s="4"/>
      <c r="W335" s="4"/>
    </row>
    <row r="336" spans="1:23" x14ac:dyDescent="0.25">
      <c r="A336" s="72"/>
      <c r="B336" s="71"/>
      <c r="M336" s="9"/>
      <c r="N336" s="4"/>
      <c r="O336" s="4"/>
      <c r="P336" s="4"/>
      <c r="Q336" s="4"/>
      <c r="R336" s="4"/>
      <c r="S336" s="4"/>
      <c r="T336" s="4"/>
      <c r="U336" s="4"/>
      <c r="V336" s="4"/>
      <c r="W336" s="4"/>
    </row>
    <row r="337" spans="1:23" x14ac:dyDescent="0.25">
      <c r="A337" s="72"/>
      <c r="B337" s="71"/>
      <c r="M337" s="9"/>
      <c r="N337" s="4"/>
      <c r="O337" s="4"/>
      <c r="P337" s="4"/>
      <c r="Q337" s="4"/>
      <c r="R337" s="4"/>
      <c r="S337" s="4"/>
      <c r="T337" s="4"/>
      <c r="U337" s="4"/>
      <c r="V337" s="4"/>
      <c r="W337" s="4"/>
    </row>
    <row r="338" spans="1:23" x14ac:dyDescent="0.25">
      <c r="A338" s="72"/>
      <c r="B338" s="71"/>
      <c r="M338" s="9"/>
      <c r="N338" s="4"/>
      <c r="O338" s="4"/>
      <c r="P338" s="4"/>
      <c r="Q338" s="4"/>
      <c r="R338" s="4"/>
      <c r="S338" s="4"/>
      <c r="T338" s="4"/>
      <c r="U338" s="4"/>
      <c r="V338" s="4"/>
      <c r="W338" s="4"/>
    </row>
    <row r="339" spans="1:23" x14ac:dyDescent="0.25">
      <c r="A339" s="72"/>
      <c r="B339" s="71"/>
      <c r="M339" s="9"/>
      <c r="N339" s="4"/>
      <c r="O339" s="4"/>
      <c r="P339" s="4"/>
      <c r="Q339" s="4"/>
      <c r="R339" s="4"/>
      <c r="S339" s="4"/>
      <c r="T339" s="4"/>
      <c r="U339" s="4"/>
      <c r="V339" s="4"/>
      <c r="W339" s="4"/>
    </row>
    <row r="340" spans="1:23" x14ac:dyDescent="0.25">
      <c r="A340" s="72"/>
      <c r="B340" s="71"/>
      <c r="M340" s="9"/>
      <c r="N340" s="4"/>
      <c r="O340" s="4"/>
      <c r="P340" s="4"/>
      <c r="Q340" s="4"/>
      <c r="R340" s="4"/>
      <c r="S340" s="4"/>
      <c r="T340" s="4"/>
      <c r="U340" s="4"/>
      <c r="V340" s="4"/>
      <c r="W340" s="4"/>
    </row>
    <row r="341" spans="1:23" x14ac:dyDescent="0.25">
      <c r="A341" s="72"/>
      <c r="B341" s="71"/>
      <c r="M341" s="9"/>
      <c r="N341" s="4"/>
      <c r="O341" s="4"/>
      <c r="P341" s="4"/>
      <c r="Q341" s="4"/>
      <c r="R341" s="4"/>
      <c r="S341" s="4"/>
      <c r="T341" s="4"/>
      <c r="U341" s="4"/>
      <c r="V341" s="4"/>
      <c r="W341" s="4"/>
    </row>
    <row r="342" spans="1:23" x14ac:dyDescent="0.25">
      <c r="A342" s="72"/>
      <c r="B342" s="71"/>
      <c r="M342" s="9"/>
      <c r="N342" s="4"/>
      <c r="O342" s="4"/>
      <c r="P342" s="4"/>
      <c r="Q342" s="4"/>
      <c r="R342" s="4"/>
      <c r="S342" s="4"/>
      <c r="T342" s="4"/>
      <c r="U342" s="4"/>
      <c r="V342" s="4"/>
      <c r="W342" s="4"/>
    </row>
    <row r="343" spans="1:23" x14ac:dyDescent="0.25">
      <c r="A343" s="72"/>
      <c r="B343" s="71"/>
      <c r="M343" s="9"/>
      <c r="N343" s="4"/>
      <c r="O343" s="4"/>
      <c r="P343" s="4"/>
      <c r="Q343" s="4"/>
      <c r="R343" s="4"/>
      <c r="S343" s="4"/>
      <c r="T343" s="4"/>
      <c r="U343" s="4"/>
      <c r="V343" s="4"/>
      <c r="W343" s="4"/>
    </row>
    <row r="344" spans="1:23" x14ac:dyDescent="0.25">
      <c r="A344" s="72"/>
      <c r="B344" s="71"/>
      <c r="M344" s="9"/>
      <c r="N344" s="4"/>
      <c r="O344" s="4"/>
      <c r="P344" s="4"/>
      <c r="Q344" s="4"/>
      <c r="R344" s="4"/>
      <c r="S344" s="4"/>
      <c r="T344" s="4"/>
      <c r="U344" s="4"/>
      <c r="V344" s="4"/>
      <c r="W344" s="4"/>
    </row>
    <row r="345" spans="1:23" x14ac:dyDescent="0.25">
      <c r="A345" s="72"/>
      <c r="B345" s="71"/>
      <c r="M345" s="9"/>
      <c r="N345" s="4"/>
      <c r="O345" s="4"/>
      <c r="P345" s="4"/>
      <c r="Q345" s="4"/>
      <c r="R345" s="4"/>
      <c r="S345" s="4"/>
      <c r="T345" s="4"/>
      <c r="U345" s="4"/>
      <c r="V345" s="4"/>
      <c r="W345" s="4"/>
    </row>
    <row r="346" spans="1:23" x14ac:dyDescent="0.25">
      <c r="A346" s="72"/>
      <c r="B346" s="71"/>
      <c r="M346" s="9"/>
      <c r="N346" s="4"/>
      <c r="O346" s="4"/>
      <c r="P346" s="4"/>
      <c r="Q346" s="4"/>
      <c r="R346" s="4"/>
      <c r="S346" s="4"/>
      <c r="T346" s="4"/>
      <c r="U346" s="4"/>
      <c r="V346" s="4"/>
      <c r="W346" s="4"/>
    </row>
    <row r="347" spans="1:23" x14ac:dyDescent="0.25">
      <c r="A347" s="72"/>
      <c r="B347" s="71"/>
      <c r="M347" s="9"/>
      <c r="N347" s="4"/>
      <c r="O347" s="4"/>
      <c r="P347" s="4"/>
      <c r="Q347" s="4"/>
      <c r="R347" s="4"/>
      <c r="S347" s="4"/>
      <c r="T347" s="4"/>
      <c r="U347" s="4"/>
      <c r="V347" s="4"/>
      <c r="W347" s="4"/>
    </row>
    <row r="348" spans="1:23" x14ac:dyDescent="0.25">
      <c r="A348" s="72"/>
      <c r="B348" s="71"/>
      <c r="M348" s="9"/>
      <c r="N348" s="4"/>
      <c r="O348" s="4"/>
      <c r="P348" s="4"/>
      <c r="Q348" s="4"/>
      <c r="R348" s="4"/>
      <c r="S348" s="4"/>
      <c r="T348" s="4"/>
      <c r="U348" s="4"/>
      <c r="V348" s="4"/>
      <c r="W348" s="4"/>
    </row>
    <row r="349" spans="1:23" x14ac:dyDescent="0.25">
      <c r="A349" s="72"/>
      <c r="B349" s="71"/>
      <c r="M349" s="9"/>
      <c r="N349" s="4"/>
      <c r="O349" s="4"/>
      <c r="P349" s="4"/>
      <c r="Q349" s="4"/>
      <c r="R349" s="4"/>
      <c r="S349" s="4"/>
      <c r="T349" s="4"/>
      <c r="U349" s="4"/>
      <c r="V349" s="4"/>
      <c r="W349" s="4"/>
    </row>
    <row r="350" spans="1:23" x14ac:dyDescent="0.25">
      <c r="A350" s="72"/>
      <c r="B350" s="71"/>
      <c r="M350" s="9"/>
      <c r="N350" s="4"/>
      <c r="O350" s="4"/>
      <c r="P350" s="4"/>
      <c r="Q350" s="4"/>
      <c r="R350" s="4"/>
      <c r="S350" s="4"/>
      <c r="T350" s="4"/>
      <c r="U350" s="4"/>
      <c r="V350" s="4"/>
      <c r="W350" s="4"/>
    </row>
    <row r="351" spans="1:23" x14ac:dyDescent="0.25">
      <c r="A351" s="72"/>
      <c r="B351" s="71"/>
      <c r="M351" s="9"/>
      <c r="N351" s="4"/>
      <c r="O351" s="4"/>
      <c r="P351" s="4"/>
      <c r="Q351" s="4"/>
      <c r="R351" s="4"/>
      <c r="S351" s="4"/>
      <c r="T351" s="4"/>
      <c r="U351" s="4"/>
      <c r="V351" s="4"/>
      <c r="W351" s="4"/>
    </row>
    <row r="352" spans="1:23" x14ac:dyDescent="0.25">
      <c r="A352" s="72"/>
      <c r="B352" s="71"/>
      <c r="M352" s="9"/>
      <c r="N352" s="4"/>
      <c r="O352" s="4"/>
      <c r="P352" s="4"/>
      <c r="Q352" s="4"/>
      <c r="R352" s="4"/>
      <c r="S352" s="4"/>
      <c r="T352" s="4"/>
      <c r="U352" s="4"/>
      <c r="V352" s="4"/>
      <c r="W352" s="4"/>
    </row>
    <row r="353" spans="1:23" x14ac:dyDescent="0.25">
      <c r="A353" s="72"/>
      <c r="B353" s="71"/>
      <c r="M353" s="9"/>
      <c r="N353" s="4"/>
      <c r="O353" s="4"/>
      <c r="P353" s="4"/>
      <c r="Q353" s="4"/>
      <c r="R353" s="4"/>
      <c r="S353" s="4"/>
      <c r="T353" s="4"/>
      <c r="U353" s="4"/>
      <c r="V353" s="4"/>
      <c r="W353" s="4"/>
    </row>
    <row r="354" spans="1:23" x14ac:dyDescent="0.25">
      <c r="A354" s="72"/>
      <c r="B354" s="71"/>
      <c r="M354" s="9"/>
      <c r="N354" s="4"/>
      <c r="O354" s="4"/>
      <c r="P354" s="4"/>
      <c r="Q354" s="4"/>
      <c r="R354" s="4"/>
      <c r="S354" s="4"/>
      <c r="T354" s="4"/>
      <c r="U354" s="4"/>
      <c r="V354" s="4"/>
      <c r="W354" s="4"/>
    </row>
    <row r="355" spans="1:23" x14ac:dyDescent="0.25">
      <c r="A355" s="72"/>
      <c r="B355" s="71"/>
      <c r="M355" s="9"/>
      <c r="N355" s="4"/>
      <c r="O355" s="4"/>
      <c r="P355" s="4"/>
      <c r="Q355" s="4"/>
      <c r="R355" s="4"/>
      <c r="S355" s="4"/>
      <c r="T355" s="4"/>
      <c r="U355" s="4"/>
      <c r="V355" s="4"/>
      <c r="W355" s="4"/>
    </row>
    <row r="356" spans="1:23" x14ac:dyDescent="0.25">
      <c r="A356" s="72"/>
      <c r="B356" s="71"/>
      <c r="M356" s="9"/>
      <c r="N356" s="4"/>
      <c r="O356" s="4"/>
      <c r="P356" s="4"/>
      <c r="Q356" s="4"/>
      <c r="R356" s="4"/>
      <c r="S356" s="4"/>
      <c r="T356" s="4"/>
      <c r="U356" s="4"/>
      <c r="V356" s="4"/>
      <c r="W356" s="4"/>
    </row>
    <row r="357" spans="1:23" x14ac:dyDescent="0.25">
      <c r="A357" s="72"/>
      <c r="B357" s="71"/>
      <c r="M357" s="9"/>
      <c r="N357" s="4"/>
      <c r="O357" s="4"/>
      <c r="P357" s="4"/>
      <c r="Q357" s="4"/>
      <c r="R357" s="4"/>
      <c r="S357" s="4"/>
      <c r="T357" s="4"/>
      <c r="U357" s="4"/>
      <c r="V357" s="4"/>
      <c r="W357" s="4"/>
    </row>
    <row r="358" spans="1:23" x14ac:dyDescent="0.25">
      <c r="A358" s="72"/>
      <c r="B358" s="71"/>
      <c r="M358" s="9"/>
      <c r="N358" s="4"/>
      <c r="O358" s="4"/>
      <c r="P358" s="4"/>
      <c r="Q358" s="4"/>
      <c r="R358" s="4"/>
      <c r="S358" s="4"/>
      <c r="T358" s="4"/>
      <c r="U358" s="4"/>
      <c r="V358" s="4"/>
      <c r="W358" s="4"/>
    </row>
    <row r="359" spans="1:23" x14ac:dyDescent="0.25">
      <c r="A359" s="72"/>
      <c r="B359" s="71"/>
      <c r="M359" s="9"/>
      <c r="N359" s="4"/>
      <c r="O359" s="4"/>
      <c r="P359" s="4"/>
      <c r="Q359" s="4"/>
      <c r="R359" s="4"/>
      <c r="S359" s="4"/>
      <c r="T359" s="4"/>
      <c r="U359" s="4"/>
      <c r="V359" s="4"/>
      <c r="W359" s="4"/>
    </row>
    <row r="360" spans="1:23" x14ac:dyDescent="0.25">
      <c r="A360" s="72"/>
      <c r="B360" s="71"/>
      <c r="M360" s="9"/>
      <c r="N360" s="4"/>
      <c r="O360" s="4"/>
      <c r="P360" s="4"/>
      <c r="Q360" s="4"/>
      <c r="R360" s="4"/>
      <c r="S360" s="4"/>
      <c r="T360" s="4"/>
      <c r="U360" s="4"/>
      <c r="V360" s="4"/>
      <c r="W360" s="4"/>
    </row>
    <row r="361" spans="1:23" x14ac:dyDescent="0.25">
      <c r="A361" s="72"/>
      <c r="B361" s="71"/>
      <c r="M361" s="9"/>
      <c r="N361" s="4"/>
      <c r="O361" s="4"/>
      <c r="P361" s="4"/>
      <c r="Q361" s="4"/>
      <c r="R361" s="4"/>
      <c r="S361" s="4"/>
      <c r="T361" s="4"/>
      <c r="U361" s="4"/>
      <c r="V361" s="4"/>
      <c r="W361" s="4"/>
    </row>
    <row r="362" spans="1:23" x14ac:dyDescent="0.25">
      <c r="A362" s="72"/>
      <c r="B362" s="71"/>
      <c r="M362" s="9"/>
      <c r="N362" s="4"/>
      <c r="O362" s="4"/>
      <c r="P362" s="4"/>
      <c r="Q362" s="4"/>
      <c r="R362" s="4"/>
      <c r="S362" s="4"/>
      <c r="T362" s="4"/>
      <c r="U362" s="4"/>
      <c r="V362" s="4"/>
      <c r="W362" s="4"/>
    </row>
    <row r="363" spans="1:23" x14ac:dyDescent="0.25">
      <c r="A363" s="72"/>
      <c r="B363" s="71"/>
      <c r="M363" s="9"/>
      <c r="N363" s="4"/>
      <c r="O363" s="4"/>
      <c r="P363" s="4"/>
      <c r="Q363" s="4"/>
      <c r="R363" s="4"/>
      <c r="S363" s="4"/>
      <c r="T363" s="4"/>
      <c r="U363" s="4"/>
      <c r="V363" s="4"/>
      <c r="W363" s="4"/>
    </row>
    <row r="364" spans="1:23" x14ac:dyDescent="0.25">
      <c r="A364" s="72"/>
      <c r="B364" s="71"/>
      <c r="M364" s="9"/>
      <c r="N364" s="4"/>
      <c r="O364" s="4"/>
      <c r="P364" s="4"/>
      <c r="Q364" s="4"/>
      <c r="R364" s="4"/>
      <c r="S364" s="4"/>
      <c r="T364" s="4"/>
      <c r="U364" s="4"/>
      <c r="V364" s="4"/>
      <c r="W364" s="4"/>
    </row>
    <row r="365" spans="1:23" x14ac:dyDescent="0.25">
      <c r="A365" s="72"/>
      <c r="B365" s="71"/>
      <c r="M365" s="9"/>
      <c r="N365" s="4"/>
      <c r="O365" s="4"/>
      <c r="P365" s="4"/>
      <c r="Q365" s="4"/>
      <c r="R365" s="4"/>
      <c r="S365" s="4"/>
      <c r="T365" s="4"/>
      <c r="U365" s="4"/>
      <c r="V365" s="4"/>
      <c r="W365" s="4"/>
    </row>
    <row r="366" spans="1:23" x14ac:dyDescent="0.25">
      <c r="A366" s="72"/>
      <c r="B366" s="71"/>
      <c r="M366" s="9"/>
      <c r="N366" s="4"/>
      <c r="O366" s="4"/>
      <c r="P366" s="4"/>
      <c r="Q366" s="4"/>
      <c r="R366" s="4"/>
      <c r="S366" s="4"/>
      <c r="T366" s="4"/>
      <c r="U366" s="4"/>
      <c r="V366" s="4"/>
      <c r="W366" s="4"/>
    </row>
    <row r="367" spans="1:23" x14ac:dyDescent="0.25">
      <c r="A367" s="72"/>
      <c r="B367" s="71"/>
      <c r="M367" s="9"/>
      <c r="N367" s="4"/>
      <c r="O367" s="4"/>
      <c r="P367" s="4"/>
      <c r="Q367" s="4"/>
      <c r="R367" s="4"/>
      <c r="S367" s="4"/>
      <c r="T367" s="4"/>
      <c r="U367" s="4"/>
      <c r="V367" s="4"/>
      <c r="W367" s="4"/>
    </row>
    <row r="368" spans="1:23" x14ac:dyDescent="0.25">
      <c r="A368" s="72"/>
      <c r="B368" s="71"/>
      <c r="M368" s="9"/>
      <c r="N368" s="4"/>
      <c r="O368" s="4"/>
      <c r="P368" s="4"/>
      <c r="Q368" s="4"/>
      <c r="R368" s="4"/>
      <c r="S368" s="4"/>
      <c r="T368" s="4"/>
      <c r="U368" s="4"/>
      <c r="V368" s="4"/>
      <c r="W368" s="4"/>
    </row>
    <row r="369" spans="1:23" x14ac:dyDescent="0.25">
      <c r="A369" s="72"/>
      <c r="B369" s="71"/>
      <c r="M369" s="9"/>
      <c r="N369" s="4"/>
      <c r="O369" s="4"/>
      <c r="P369" s="4"/>
      <c r="Q369" s="4"/>
      <c r="R369" s="4"/>
      <c r="S369" s="4"/>
      <c r="T369" s="4"/>
      <c r="U369" s="4"/>
      <c r="V369" s="4"/>
      <c r="W369" s="4"/>
    </row>
    <row r="370" spans="1:23" x14ac:dyDescent="0.25">
      <c r="A370" s="72"/>
      <c r="B370" s="71"/>
      <c r="M370" s="9"/>
      <c r="N370" s="4"/>
      <c r="O370" s="4"/>
      <c r="P370" s="4"/>
      <c r="Q370" s="4"/>
      <c r="R370" s="4"/>
      <c r="S370" s="4"/>
      <c r="T370" s="4"/>
      <c r="U370" s="4"/>
      <c r="V370" s="4"/>
      <c r="W370" s="4"/>
    </row>
    <row r="371" spans="1:23" x14ac:dyDescent="0.25">
      <c r="A371" s="72"/>
      <c r="B371" s="71"/>
      <c r="M371" s="9"/>
      <c r="N371" s="4"/>
      <c r="O371" s="4"/>
      <c r="P371" s="4"/>
      <c r="Q371" s="4"/>
      <c r="R371" s="4"/>
      <c r="S371" s="4"/>
      <c r="T371" s="4"/>
      <c r="U371" s="4"/>
      <c r="V371" s="4"/>
      <c r="W371" s="4"/>
    </row>
    <row r="372" spans="1:23" x14ac:dyDescent="0.25">
      <c r="A372" s="72"/>
      <c r="B372" s="71"/>
      <c r="M372" s="9"/>
      <c r="N372" s="4"/>
      <c r="O372" s="4"/>
      <c r="P372" s="4"/>
      <c r="Q372" s="4"/>
      <c r="R372" s="4"/>
      <c r="S372" s="4"/>
      <c r="T372" s="4"/>
      <c r="U372" s="4"/>
      <c r="V372" s="4"/>
      <c r="W372" s="4"/>
    </row>
    <row r="373" spans="1:23" x14ac:dyDescent="0.25">
      <c r="A373" s="72"/>
      <c r="B373" s="71"/>
      <c r="M373" s="9"/>
      <c r="N373" s="4"/>
      <c r="O373" s="4"/>
      <c r="P373" s="4"/>
      <c r="Q373" s="4"/>
      <c r="R373" s="4"/>
      <c r="S373" s="4"/>
      <c r="T373" s="4"/>
      <c r="U373" s="4"/>
      <c r="V373" s="4"/>
      <c r="W373" s="4"/>
    </row>
    <row r="374" spans="1:23" x14ac:dyDescent="0.25">
      <c r="A374" s="72"/>
      <c r="B374" s="71"/>
    </row>
    <row r="375" spans="1:23" x14ac:dyDescent="0.25">
      <c r="A375" s="72"/>
      <c r="B375" s="71"/>
    </row>
    <row r="376" spans="1:23" x14ac:dyDescent="0.25">
      <c r="A376" s="72"/>
      <c r="B376" s="71"/>
    </row>
    <row r="377" spans="1:23" x14ac:dyDescent="0.25">
      <c r="A377" s="72"/>
      <c r="B377" s="71"/>
    </row>
    <row r="378" spans="1:23" x14ac:dyDescent="0.25">
      <c r="A378" s="72"/>
      <c r="B378" s="71"/>
    </row>
    <row r="379" spans="1:23" x14ac:dyDescent="0.25">
      <c r="A379" s="72"/>
      <c r="B379" s="71"/>
    </row>
    <row r="380" spans="1:23" x14ac:dyDescent="0.25">
      <c r="A380" s="72"/>
      <c r="B380" s="71"/>
    </row>
    <row r="381" spans="1:23" x14ac:dyDescent="0.25">
      <c r="A381" s="72"/>
      <c r="B381" s="71"/>
    </row>
    <row r="382" spans="1:23" x14ac:dyDescent="0.25">
      <c r="A382" s="72"/>
      <c r="B382" s="71"/>
    </row>
    <row r="383" spans="1:23" x14ac:dyDescent="0.25">
      <c r="A383" s="72"/>
      <c r="B383" s="71"/>
    </row>
    <row r="384" spans="1:23" x14ac:dyDescent="0.25">
      <c r="A384" s="72"/>
      <c r="B384" s="71"/>
    </row>
    <row r="385" spans="1:2" x14ac:dyDescent="0.25">
      <c r="A385" s="72"/>
      <c r="B385" s="71"/>
    </row>
    <row r="386" spans="1:2" x14ac:dyDescent="0.25">
      <c r="A386" s="72"/>
      <c r="B386" s="71"/>
    </row>
    <row r="387" spans="1:2" x14ac:dyDescent="0.25">
      <c r="A387" s="72"/>
      <c r="B387" s="71"/>
    </row>
    <row r="388" spans="1:2" x14ac:dyDescent="0.25">
      <c r="A388" s="72"/>
      <c r="B388" s="71"/>
    </row>
    <row r="389" spans="1:2" x14ac:dyDescent="0.25">
      <c r="A389" s="72"/>
      <c r="B389" s="71"/>
    </row>
    <row r="390" spans="1:2" x14ac:dyDescent="0.25">
      <c r="A390" s="72"/>
      <c r="B390" s="71"/>
    </row>
    <row r="391" spans="1:2" x14ac:dyDescent="0.25">
      <c r="A391" s="72"/>
      <c r="B391" s="71"/>
    </row>
    <row r="392" spans="1:2" x14ac:dyDescent="0.25">
      <c r="A392" s="72"/>
      <c r="B392" s="71"/>
    </row>
    <row r="393" spans="1:2" x14ac:dyDescent="0.25">
      <c r="A393" s="72"/>
      <c r="B393" s="71"/>
    </row>
    <row r="394" spans="1:2" x14ac:dyDescent="0.25">
      <c r="A394" s="72"/>
      <c r="B394" s="71"/>
    </row>
    <row r="395" spans="1:2" x14ac:dyDescent="0.25">
      <c r="A395" s="72"/>
      <c r="B395" s="71"/>
    </row>
    <row r="396" spans="1:2" x14ac:dyDescent="0.25">
      <c r="A396" s="72"/>
      <c r="B396" s="71"/>
    </row>
    <row r="397" spans="1:2" x14ac:dyDescent="0.25">
      <c r="A397" s="72"/>
      <c r="B397" s="71"/>
    </row>
    <row r="398" spans="1:2" x14ac:dyDescent="0.25">
      <c r="A398" s="72"/>
      <c r="B398" s="71"/>
    </row>
    <row r="399" spans="1:2" x14ac:dyDescent="0.25">
      <c r="A399" s="72"/>
      <c r="B399" s="71"/>
    </row>
    <row r="400" spans="1:2" x14ac:dyDescent="0.25">
      <c r="A400" s="72"/>
      <c r="B400" s="71"/>
    </row>
    <row r="401" spans="1:2" x14ac:dyDescent="0.25">
      <c r="A401" s="72"/>
      <c r="B401" s="71"/>
    </row>
    <row r="402" spans="1:2" x14ac:dyDescent="0.25">
      <c r="A402" s="72"/>
      <c r="B402" s="71"/>
    </row>
    <row r="403" spans="1:2" x14ac:dyDescent="0.25">
      <c r="A403" s="72"/>
      <c r="B403" s="71"/>
    </row>
    <row r="404" spans="1:2" x14ac:dyDescent="0.25">
      <c r="A404" s="72"/>
      <c r="B404" s="71"/>
    </row>
    <row r="405" spans="1:2" x14ac:dyDescent="0.25">
      <c r="A405" s="72"/>
      <c r="B405" s="71"/>
    </row>
    <row r="406" spans="1:2" x14ac:dyDescent="0.25">
      <c r="A406" s="72"/>
      <c r="B406" s="71"/>
    </row>
  </sheetData>
  <sortState ref="A2:W373">
    <sortCondition ref="B2:B218"/>
    <sortCondition ref="A2:A218"/>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A343"/>
  <sheetViews>
    <sheetView tabSelected="1" zoomScaleNormal="100" workbookViewId="0">
      <pane ySplit="1" topLeftCell="A2" activePane="bottomLeft" state="frozen"/>
      <selection activeCell="I633" sqref="I633"/>
      <selection pane="bottomLeft" activeCell="C324" sqref="C324"/>
    </sheetView>
  </sheetViews>
  <sheetFormatPr defaultRowHeight="15" x14ac:dyDescent="0.25"/>
  <cols>
    <col min="1" max="1" width="16.28515625" bestFit="1" customWidth="1"/>
    <col min="2" max="2" width="10.140625" bestFit="1" customWidth="1"/>
    <col min="3" max="6" width="12" bestFit="1" customWidth="1"/>
    <col min="7" max="7" width="11.85546875" bestFit="1" customWidth="1"/>
    <col min="8" max="8" width="11" bestFit="1" customWidth="1"/>
    <col min="9" max="9" width="11.85546875" bestFit="1" customWidth="1"/>
    <col min="10" max="10" width="11" bestFit="1" customWidth="1"/>
    <col min="11" max="11" width="16.28515625" style="43" bestFit="1" customWidth="1"/>
  </cols>
  <sheetData>
    <row r="1" spans="1:27" x14ac:dyDescent="0.25">
      <c r="A1" s="58" t="s">
        <v>189</v>
      </c>
      <c r="B1" s="58" t="s">
        <v>190</v>
      </c>
      <c r="C1" s="43" t="s">
        <v>148</v>
      </c>
      <c r="D1" s="43" t="s">
        <v>149</v>
      </c>
      <c r="E1" s="43" t="s">
        <v>150</v>
      </c>
      <c r="F1" s="43" t="s">
        <v>151</v>
      </c>
      <c r="G1" t="s">
        <v>156</v>
      </c>
      <c r="H1" t="s">
        <v>157</v>
      </c>
      <c r="I1" t="s">
        <v>158</v>
      </c>
      <c r="J1" t="s">
        <v>159</v>
      </c>
    </row>
    <row r="2" spans="1:27" x14ac:dyDescent="0.25">
      <c r="A2" s="49" t="s">
        <v>187</v>
      </c>
      <c r="B2" s="9">
        <v>1</v>
      </c>
      <c r="C2" s="4">
        <v>3.8097616651071249</v>
      </c>
      <c r="D2" s="4">
        <v>3.1658376246901283</v>
      </c>
      <c r="E2" s="4">
        <v>3.3106933123433606</v>
      </c>
      <c r="F2" s="4">
        <v>2.667452952889954</v>
      </c>
      <c r="G2">
        <v>3.3498600821923312</v>
      </c>
      <c r="H2">
        <v>2.6998377258672459</v>
      </c>
      <c r="I2">
        <v>3.3368598209168092</v>
      </c>
      <c r="J2">
        <v>2.6998377258672459</v>
      </c>
      <c r="Z2" s="43"/>
      <c r="AA2" s="43"/>
    </row>
    <row r="3" spans="1:27" x14ac:dyDescent="0.25">
      <c r="A3" s="49" t="s">
        <v>187</v>
      </c>
      <c r="B3" s="9">
        <v>2</v>
      </c>
      <c r="C3" s="4">
        <v>3.7378285058957847</v>
      </c>
      <c r="D3" s="4">
        <v>3.0944711286416449</v>
      </c>
      <c r="E3" s="4">
        <v>3.3163897510731952</v>
      </c>
      <c r="F3" s="4">
        <v>2.6444385894678386</v>
      </c>
      <c r="G3" s="43">
        <v>3.0877814178095422</v>
      </c>
      <c r="H3" s="43">
        <v>2.4814426285023048</v>
      </c>
      <c r="I3" s="43">
        <v>3.3372595397502756</v>
      </c>
      <c r="J3" s="43">
        <v>2.6998377258672459</v>
      </c>
      <c r="Z3" s="43"/>
      <c r="AA3" s="43"/>
    </row>
    <row r="4" spans="1:27" x14ac:dyDescent="0.25">
      <c r="A4" s="49" t="s">
        <v>0</v>
      </c>
      <c r="B4" s="9">
        <v>3</v>
      </c>
      <c r="C4" s="4">
        <v>1.414973347970818</v>
      </c>
      <c r="D4" s="4">
        <v>1.3979400086720377</v>
      </c>
      <c r="E4" s="4">
        <v>0.6020599913279624</v>
      </c>
      <c r="F4" s="4">
        <v>0.6020599913279624</v>
      </c>
      <c r="G4" s="43">
        <v>0.47712125471966244</v>
      </c>
      <c r="H4" s="43">
        <v>0.47712125471966244</v>
      </c>
      <c r="I4" s="43">
        <v>1.3222192947339193</v>
      </c>
      <c r="J4" s="43">
        <v>1.3010299956639813</v>
      </c>
      <c r="Z4" s="43"/>
      <c r="AA4" s="43"/>
    </row>
    <row r="5" spans="1:27" x14ac:dyDescent="0.25">
      <c r="A5" s="49" t="s">
        <v>0</v>
      </c>
      <c r="B5" s="9">
        <v>4</v>
      </c>
      <c r="C5" s="4">
        <v>1.5563025007672873</v>
      </c>
      <c r="D5" s="4">
        <v>1.5314789170422551</v>
      </c>
      <c r="E5" s="4">
        <v>0.95424250943932487</v>
      </c>
      <c r="F5" s="4">
        <v>0.95424250943932487</v>
      </c>
      <c r="G5" s="43">
        <v>0.6020599913279624</v>
      </c>
      <c r="H5" s="43">
        <v>0.6020599913279624</v>
      </c>
      <c r="I5" s="43">
        <v>1.3979400086720377</v>
      </c>
      <c r="J5" s="43">
        <v>1.3617278360175928</v>
      </c>
      <c r="Z5" s="43"/>
      <c r="AA5" s="43"/>
    </row>
    <row r="6" spans="1:27" x14ac:dyDescent="0.25">
      <c r="A6" s="49" t="s">
        <v>2</v>
      </c>
      <c r="B6" s="9">
        <v>5</v>
      </c>
      <c r="C6" s="4">
        <v>3.0409976924234905</v>
      </c>
      <c r="D6" s="4">
        <v>2.5843312243675309</v>
      </c>
      <c r="E6" s="4">
        <v>1.5910646070264991</v>
      </c>
      <c r="F6" s="4">
        <v>1.5440680443502757</v>
      </c>
      <c r="G6" s="43">
        <v>2.4785664955938436</v>
      </c>
      <c r="H6" s="43">
        <v>2.1105897102992488</v>
      </c>
      <c r="I6" s="43">
        <v>2.8813846567705728</v>
      </c>
      <c r="J6" s="43">
        <v>2.3463529744506388</v>
      </c>
      <c r="Z6" s="43"/>
      <c r="AA6" s="43"/>
    </row>
    <row r="7" spans="1:27" x14ac:dyDescent="0.25">
      <c r="A7" s="49" t="s">
        <v>2</v>
      </c>
      <c r="B7" s="9">
        <v>6</v>
      </c>
      <c r="C7" s="4">
        <v>3.3679147387937527</v>
      </c>
      <c r="D7" s="4">
        <v>2.7944880466591697</v>
      </c>
      <c r="E7" s="4">
        <v>1.5563025007672873</v>
      </c>
      <c r="F7" s="4">
        <v>1.5185139398778875</v>
      </c>
      <c r="G7" s="43">
        <v>2.4828735836087539</v>
      </c>
      <c r="H7" s="43">
        <v>2.1105897102992488</v>
      </c>
      <c r="I7" s="43">
        <v>3.2999429000227671</v>
      </c>
      <c r="J7" s="43">
        <v>2.6655809910179533</v>
      </c>
      <c r="Z7" s="43"/>
      <c r="AA7" s="43"/>
    </row>
    <row r="8" spans="1:27" x14ac:dyDescent="0.25">
      <c r="A8" s="49" t="s">
        <v>4</v>
      </c>
      <c r="B8" s="9">
        <v>7</v>
      </c>
      <c r="C8" s="4">
        <v>0.47712125471966244</v>
      </c>
      <c r="D8" s="4">
        <v>0.47712125471966244</v>
      </c>
      <c r="E8" s="4">
        <v>0.3010299956639812</v>
      </c>
      <c r="F8" s="4">
        <v>0.3010299956639812</v>
      </c>
      <c r="G8" s="43">
        <v>0</v>
      </c>
      <c r="H8" s="43">
        <v>0</v>
      </c>
      <c r="I8" s="43">
        <v>0.3010299956639812</v>
      </c>
      <c r="J8" s="43">
        <v>0.3010299956639812</v>
      </c>
      <c r="Z8" s="43"/>
      <c r="AA8" s="43"/>
    </row>
    <row r="9" spans="1:27" x14ac:dyDescent="0.25">
      <c r="A9" s="49" t="s">
        <v>4</v>
      </c>
      <c r="B9" s="9">
        <v>8</v>
      </c>
      <c r="C9" s="4">
        <v>0.6020599913279624</v>
      </c>
      <c r="D9" s="4">
        <v>0.6020599913279624</v>
      </c>
      <c r="E9" s="4">
        <v>0.47712125471966244</v>
      </c>
      <c r="F9" s="4">
        <v>0.47712125471966244</v>
      </c>
      <c r="G9" s="43">
        <v>0</v>
      </c>
      <c r="H9" s="43">
        <v>0</v>
      </c>
      <c r="I9" s="43">
        <v>0.3010299956639812</v>
      </c>
      <c r="J9" s="43">
        <v>0.3010299956639812</v>
      </c>
      <c r="Z9" s="43"/>
      <c r="AA9" s="43"/>
    </row>
    <row r="10" spans="1:27" x14ac:dyDescent="0.25">
      <c r="A10" s="49" t="s">
        <v>8</v>
      </c>
      <c r="B10" s="9">
        <v>9</v>
      </c>
      <c r="C10" s="4">
        <v>1.414973347970818</v>
      </c>
      <c r="D10" s="4">
        <v>1.414973347970818</v>
      </c>
      <c r="E10" s="4">
        <v>0.77815125038364363</v>
      </c>
      <c r="F10" s="4">
        <v>0.77815125038364363</v>
      </c>
      <c r="G10" s="43">
        <v>0.77815125038364363</v>
      </c>
      <c r="H10" s="43">
        <v>0.77815125038364363</v>
      </c>
      <c r="I10" s="43">
        <v>1.2041199826559248</v>
      </c>
      <c r="J10" s="43">
        <v>1.2041199826559248</v>
      </c>
      <c r="Z10" s="43"/>
      <c r="AA10" s="43"/>
    </row>
    <row r="11" spans="1:27" x14ac:dyDescent="0.25">
      <c r="A11" s="49" t="s">
        <v>8</v>
      </c>
      <c r="B11" s="9">
        <v>10</v>
      </c>
      <c r="C11" s="4">
        <v>2.5998830720736876</v>
      </c>
      <c r="D11" s="4">
        <v>2.1903316981702914</v>
      </c>
      <c r="E11" s="4">
        <v>0.77815125038364363</v>
      </c>
      <c r="F11" s="4">
        <v>0.77815125038364363</v>
      </c>
      <c r="G11" s="43">
        <v>0.69897000433601886</v>
      </c>
      <c r="H11" s="43">
        <v>0.6020599913279624</v>
      </c>
      <c r="I11" s="43">
        <v>2.5899496013257077</v>
      </c>
      <c r="J11" s="43">
        <v>2.167317334748176</v>
      </c>
      <c r="Z11" s="43"/>
      <c r="AA11" s="43"/>
    </row>
    <row r="12" spans="1:27" x14ac:dyDescent="0.25">
      <c r="A12" s="49" t="s">
        <v>5</v>
      </c>
      <c r="B12" s="9">
        <v>11</v>
      </c>
      <c r="C12" s="4">
        <v>3.8118430061764772</v>
      </c>
      <c r="D12" s="4">
        <v>3.1763806922432702</v>
      </c>
      <c r="E12" s="4">
        <v>3.3346547668832414</v>
      </c>
      <c r="F12" s="4">
        <v>2.6998377258672459</v>
      </c>
      <c r="G12" s="43">
        <v>3.3356584522893016</v>
      </c>
      <c r="H12" s="43">
        <v>2.6998377258672459</v>
      </c>
      <c r="I12" s="43">
        <v>3.3342526423342309</v>
      </c>
      <c r="J12" s="43">
        <v>2.6998377258672459</v>
      </c>
      <c r="Z12" s="43"/>
      <c r="AA12" s="43"/>
    </row>
    <row r="13" spans="1:27" x14ac:dyDescent="0.25">
      <c r="A13" s="49" t="s">
        <v>5</v>
      </c>
      <c r="B13" s="9">
        <v>12</v>
      </c>
      <c r="C13" s="4">
        <v>3.7458551951737289</v>
      </c>
      <c r="D13" s="4">
        <v>3.1182647260894791</v>
      </c>
      <c r="E13" s="4">
        <v>3.0902580529313162</v>
      </c>
      <c r="F13" s="4">
        <v>2.4955443375464483</v>
      </c>
      <c r="G13" s="43">
        <v>3.3374592612906562</v>
      </c>
      <c r="H13" s="43">
        <v>2.6998377258672459</v>
      </c>
      <c r="I13" s="43">
        <v>3.3356584522893016</v>
      </c>
      <c r="J13" s="43">
        <v>2.6998377258672459</v>
      </c>
      <c r="Z13" s="43"/>
      <c r="AA13" s="43"/>
    </row>
    <row r="14" spans="1:27" x14ac:dyDescent="0.25">
      <c r="A14" s="49" t="s">
        <v>1</v>
      </c>
      <c r="B14" s="9">
        <v>13</v>
      </c>
      <c r="C14" s="4">
        <v>1.0791812460476249</v>
      </c>
      <c r="D14" s="4">
        <v>1.0791812460476249</v>
      </c>
      <c r="E14" s="4">
        <v>0.69897000433601886</v>
      </c>
      <c r="F14" s="4">
        <v>0.69897000433601886</v>
      </c>
      <c r="G14" s="43">
        <v>0.77815125038364363</v>
      </c>
      <c r="H14" s="43">
        <v>0.77815125038364363</v>
      </c>
      <c r="I14" s="43">
        <v>0.47712125471966244</v>
      </c>
      <c r="J14" s="43">
        <v>0.47712125471966244</v>
      </c>
      <c r="Z14" s="43"/>
      <c r="AA14" s="43"/>
    </row>
    <row r="15" spans="1:27" x14ac:dyDescent="0.25">
      <c r="A15" s="49" t="s">
        <v>1</v>
      </c>
      <c r="B15" s="9">
        <v>14</v>
      </c>
      <c r="C15" s="4">
        <v>3.3991543339582164</v>
      </c>
      <c r="D15" s="4">
        <v>2.8007170782823851</v>
      </c>
      <c r="E15" s="4">
        <v>0.77815125038364363</v>
      </c>
      <c r="F15" s="4">
        <v>0.77815125038364363</v>
      </c>
      <c r="G15" s="43">
        <v>2.5611013836490559</v>
      </c>
      <c r="H15" s="43">
        <v>2.1553360374650619</v>
      </c>
      <c r="I15" s="43">
        <v>3.3302107845715279</v>
      </c>
      <c r="J15" s="43">
        <v>2.6857417386022635</v>
      </c>
      <c r="Z15" s="43"/>
      <c r="AA15" s="43"/>
    </row>
    <row r="16" spans="1:27" x14ac:dyDescent="0.25">
      <c r="A16" s="49" t="s">
        <v>3</v>
      </c>
      <c r="B16" s="9">
        <v>15</v>
      </c>
      <c r="C16" s="4">
        <v>3.8131137540078988</v>
      </c>
      <c r="D16" s="4">
        <v>3.1763806922432702</v>
      </c>
      <c r="E16" s="4">
        <v>3.3368598209168092</v>
      </c>
      <c r="F16" s="4">
        <v>2.6998377258672459</v>
      </c>
      <c r="G16" s="43">
        <v>3.3360592778663491</v>
      </c>
      <c r="H16" s="43">
        <v>2.6998377258672459</v>
      </c>
      <c r="I16" s="43">
        <v>3.3354579006893843</v>
      </c>
      <c r="J16" s="43">
        <v>2.6998377258672459</v>
      </c>
      <c r="Z16" s="43"/>
      <c r="AA16" s="43"/>
    </row>
    <row r="17" spans="1:27" x14ac:dyDescent="0.25">
      <c r="A17" s="49" t="s">
        <v>3</v>
      </c>
      <c r="B17" s="9">
        <v>16</v>
      </c>
      <c r="C17" s="4">
        <v>3.6712654329471586</v>
      </c>
      <c r="D17" s="4">
        <v>3.0561422620590522</v>
      </c>
      <c r="E17" s="4">
        <v>2.5563025007672873</v>
      </c>
      <c r="F17" s="4">
        <v>2.1398790864012365</v>
      </c>
      <c r="G17" s="43">
        <v>3.3372595397502756</v>
      </c>
      <c r="H17" s="43">
        <v>2.6998377258672459</v>
      </c>
      <c r="I17" s="43">
        <v>3.3342526423342309</v>
      </c>
      <c r="J17" s="43">
        <v>2.6998377258672459</v>
      </c>
      <c r="Z17" s="43"/>
      <c r="AA17" s="43"/>
    </row>
    <row r="18" spans="1:27" x14ac:dyDescent="0.25">
      <c r="A18" s="49" t="s">
        <v>6</v>
      </c>
      <c r="B18" s="9">
        <v>17</v>
      </c>
      <c r="C18" s="4">
        <v>3.8516252031533091</v>
      </c>
      <c r="D18" s="4">
        <v>3.1763806922432702</v>
      </c>
      <c r="E18" s="4">
        <v>3.3607826898732802</v>
      </c>
      <c r="F18" s="4">
        <v>2.6998377258672459</v>
      </c>
      <c r="G18" s="43">
        <v>3.3866772839608377</v>
      </c>
      <c r="H18" s="43">
        <v>2.6998377258672459</v>
      </c>
      <c r="I18" s="43">
        <v>3.3760291817281805</v>
      </c>
      <c r="J18" s="43">
        <v>2.6998377258672459</v>
      </c>
      <c r="Z18" s="43"/>
      <c r="AA18" s="43"/>
    </row>
    <row r="19" spans="1:27" x14ac:dyDescent="0.25">
      <c r="A19" s="49" t="s">
        <v>6</v>
      </c>
      <c r="B19" s="9">
        <v>18</v>
      </c>
      <c r="C19" s="4">
        <v>3.640282629696681</v>
      </c>
      <c r="D19" s="4">
        <v>3.0068937079479006</v>
      </c>
      <c r="E19" s="4">
        <v>1.2041199826559248</v>
      </c>
      <c r="F19" s="4">
        <v>1.2041199826559248</v>
      </c>
      <c r="G19" s="43">
        <v>3.3374592612906562</v>
      </c>
      <c r="H19" s="43">
        <v>2.6998377258672459</v>
      </c>
      <c r="I19" s="43">
        <v>3.3382572302462554</v>
      </c>
      <c r="J19" s="43">
        <v>2.6998377258672459</v>
      </c>
      <c r="Z19" s="43"/>
      <c r="AA19" s="43"/>
    </row>
    <row r="20" spans="1:27" x14ac:dyDescent="0.25">
      <c r="A20" s="49" t="s">
        <v>7</v>
      </c>
      <c r="B20" s="9">
        <v>19</v>
      </c>
      <c r="C20" s="4">
        <v>3.7872478803319538</v>
      </c>
      <c r="D20" s="4">
        <v>3.1427022457376155</v>
      </c>
      <c r="E20" s="4">
        <v>3.2140486794119414</v>
      </c>
      <c r="F20" s="4">
        <v>2.5899496013257077</v>
      </c>
      <c r="G20" s="43">
        <v>3.3535315590777621</v>
      </c>
      <c r="H20" s="43">
        <v>2.6998377258672459</v>
      </c>
      <c r="I20" s="43">
        <v>3.3492775274679554</v>
      </c>
      <c r="J20" s="43">
        <v>2.6998377258672459</v>
      </c>
      <c r="Z20" s="43"/>
      <c r="AA20" s="43"/>
    </row>
    <row r="21" spans="1:27" x14ac:dyDescent="0.25">
      <c r="A21" s="49" t="s">
        <v>7</v>
      </c>
      <c r="B21" s="9">
        <v>20</v>
      </c>
      <c r="C21" s="4">
        <v>3.6612446089593336</v>
      </c>
      <c r="D21" s="4">
        <v>3.04883008652835</v>
      </c>
      <c r="E21" s="4">
        <v>2.9745116927373285</v>
      </c>
      <c r="F21" s="4">
        <v>2.4132997640812519</v>
      </c>
      <c r="G21" s="43">
        <v>3.3220124385824006</v>
      </c>
      <c r="H21" s="43">
        <v>2.6875289612146345</v>
      </c>
      <c r="I21" s="43">
        <v>3.1886472959997172</v>
      </c>
      <c r="J21" s="43">
        <v>2.5740312677277188</v>
      </c>
      <c r="Z21" s="43"/>
      <c r="AA21" s="43"/>
    </row>
    <row r="22" spans="1:27" x14ac:dyDescent="0.25">
      <c r="A22" s="49" t="s">
        <v>9</v>
      </c>
      <c r="B22" s="9">
        <v>21</v>
      </c>
      <c r="C22" s="4">
        <v>2.9052560487484511</v>
      </c>
      <c r="D22" s="4">
        <v>2.4814426285023048</v>
      </c>
      <c r="E22" s="4">
        <v>0.77815125038364363</v>
      </c>
      <c r="F22" s="4">
        <v>0.77815125038364363</v>
      </c>
      <c r="G22" s="43">
        <v>2.271841606536499</v>
      </c>
      <c r="H22" s="43">
        <v>2.0334237554869499</v>
      </c>
      <c r="I22" s="43">
        <v>2.7874604745184151</v>
      </c>
      <c r="J22" s="43">
        <v>2.2810333672477277</v>
      </c>
      <c r="Z22" s="43"/>
      <c r="AA22" s="43"/>
    </row>
    <row r="23" spans="1:27" x14ac:dyDescent="0.25">
      <c r="A23" s="49" t="s">
        <v>9</v>
      </c>
      <c r="B23" s="9">
        <v>22</v>
      </c>
      <c r="C23" s="4">
        <v>1.1139433523068367</v>
      </c>
      <c r="D23" s="4">
        <v>1.1139433523068367</v>
      </c>
      <c r="E23" s="4">
        <v>0.69897000433601886</v>
      </c>
      <c r="F23" s="4">
        <v>0.69897000433601886</v>
      </c>
      <c r="G23" s="43">
        <v>0.6020599913279624</v>
      </c>
      <c r="H23" s="43">
        <v>0.6020599913279624</v>
      </c>
      <c r="I23" s="43">
        <v>0.77815125038364363</v>
      </c>
      <c r="J23" s="43">
        <v>0.77815125038364363</v>
      </c>
      <c r="Z23" s="43"/>
      <c r="AA23" s="43"/>
    </row>
    <row r="24" spans="1:27" x14ac:dyDescent="0.25">
      <c r="A24" s="49" t="s">
        <v>87</v>
      </c>
      <c r="B24" s="9">
        <v>23</v>
      </c>
      <c r="C24" s="4">
        <v>3.2278867046136734</v>
      </c>
      <c r="D24" s="4">
        <v>2.7371926427047373</v>
      </c>
      <c r="E24" s="4">
        <v>2.5622928644564746</v>
      </c>
      <c r="F24" s="4">
        <v>2.1553360374650619</v>
      </c>
      <c r="G24" s="43">
        <v>2.8686444383948255</v>
      </c>
      <c r="H24" s="43">
        <v>2.3364597338485296</v>
      </c>
      <c r="I24" s="43">
        <v>2.7693773260761385</v>
      </c>
      <c r="J24" s="43">
        <v>2.27415784926368</v>
      </c>
      <c r="Z24" s="43"/>
      <c r="AA24" s="43"/>
    </row>
    <row r="25" spans="1:27" x14ac:dyDescent="0.25">
      <c r="A25" s="49" t="s">
        <v>87</v>
      </c>
      <c r="B25" s="9">
        <v>24</v>
      </c>
      <c r="C25" s="4">
        <v>3.4318460456987254</v>
      </c>
      <c r="D25" s="4">
        <v>2.8709888137605755</v>
      </c>
      <c r="E25" s="4">
        <v>3.1411360901207388</v>
      </c>
      <c r="F25" s="4">
        <v>2.5340261060561349</v>
      </c>
      <c r="G25" s="43">
        <v>3.0060379549973173</v>
      </c>
      <c r="H25" s="43">
        <v>2.4329692908744058</v>
      </c>
      <c r="I25" s="43">
        <v>2.4871383754771865</v>
      </c>
      <c r="J25" s="43">
        <v>2.12057393120585</v>
      </c>
      <c r="Z25" s="43"/>
      <c r="AA25" s="43"/>
    </row>
    <row r="26" spans="1:27" x14ac:dyDescent="0.25">
      <c r="A26" s="49" t="s">
        <v>129</v>
      </c>
      <c r="B26" s="9">
        <v>25</v>
      </c>
      <c r="C26" s="4">
        <v>3.6942541120252783</v>
      </c>
      <c r="D26" s="4">
        <v>3.0707764628434346</v>
      </c>
      <c r="E26" s="4">
        <v>3.1189257528257768</v>
      </c>
      <c r="F26" s="4">
        <v>2.5158738437116792</v>
      </c>
      <c r="G26" s="43">
        <v>3.2819419334408249</v>
      </c>
      <c r="H26" s="43">
        <v>2.6464037262230695</v>
      </c>
      <c r="I26" s="43">
        <v>3.2352758766870524</v>
      </c>
      <c r="J26" s="43">
        <v>2.61066016308988</v>
      </c>
      <c r="Z26" s="43"/>
      <c r="AA26" s="43"/>
    </row>
    <row r="27" spans="1:27" x14ac:dyDescent="0.25">
      <c r="A27" s="49" t="s">
        <v>129</v>
      </c>
      <c r="B27" s="9">
        <v>26</v>
      </c>
      <c r="C27" s="4">
        <v>3.6250036010148636</v>
      </c>
      <c r="D27" s="4">
        <v>3.0149403497929366</v>
      </c>
      <c r="E27" s="4">
        <v>3.1726029312098598</v>
      </c>
      <c r="F27" s="4">
        <v>2.5575072019056577</v>
      </c>
      <c r="G27" s="43">
        <v>3.1655410767223731</v>
      </c>
      <c r="H27" s="43">
        <v>2.5514499979728753</v>
      </c>
      <c r="I27" s="43">
        <v>3.1027766148834415</v>
      </c>
      <c r="J27" s="43">
        <v>2.5051499783199058</v>
      </c>
      <c r="Z27" s="43"/>
      <c r="AA27" s="43"/>
    </row>
    <row r="28" spans="1:27" x14ac:dyDescent="0.25">
      <c r="A28" s="49" t="s">
        <v>129</v>
      </c>
      <c r="B28" s="9">
        <v>27</v>
      </c>
      <c r="C28" s="4">
        <v>0.69897000433601886</v>
      </c>
      <c r="D28" s="4">
        <v>0.69897000433601886</v>
      </c>
      <c r="E28" s="4">
        <v>0.6020599913279624</v>
      </c>
      <c r="F28" s="4">
        <v>0.6020599913279624</v>
      </c>
      <c r="G28" s="43">
        <v>0</v>
      </c>
      <c r="H28" s="43">
        <v>0</v>
      </c>
      <c r="I28" s="43">
        <v>0.3010299956639812</v>
      </c>
      <c r="J28" s="43">
        <v>0.3010299956639812</v>
      </c>
      <c r="Z28" s="43"/>
      <c r="AA28" s="43"/>
    </row>
    <row r="29" spans="1:27" x14ac:dyDescent="0.25">
      <c r="A29" s="49" t="s">
        <v>185</v>
      </c>
      <c r="B29" s="9">
        <v>28</v>
      </c>
      <c r="C29" s="4">
        <v>1.0413926851582251</v>
      </c>
      <c r="D29" s="4">
        <v>1.0413926851582251</v>
      </c>
      <c r="E29" s="4">
        <v>1.0413926851582251</v>
      </c>
      <c r="F29" s="4">
        <v>1.0413926851582251</v>
      </c>
      <c r="G29" s="43">
        <v>0</v>
      </c>
      <c r="H29" s="43">
        <v>0</v>
      </c>
      <c r="I29" s="43">
        <v>0</v>
      </c>
      <c r="J29" s="43">
        <v>0</v>
      </c>
      <c r="Z29" s="43"/>
      <c r="AA29" s="43"/>
    </row>
    <row r="30" spans="1:27" x14ac:dyDescent="0.25">
      <c r="A30" s="49" t="s">
        <v>185</v>
      </c>
      <c r="B30" s="9">
        <v>29</v>
      </c>
      <c r="C30" s="4">
        <v>3.3130231103232379</v>
      </c>
      <c r="D30" s="4">
        <v>2.7596678446896306</v>
      </c>
      <c r="E30" s="4">
        <v>1.6334684555795864</v>
      </c>
      <c r="F30" s="4">
        <v>1.6127838567197355</v>
      </c>
      <c r="G30" s="43">
        <v>2.8518696007297661</v>
      </c>
      <c r="H30" s="43">
        <v>2.3222192947339191</v>
      </c>
      <c r="I30" s="43">
        <v>3.1152775913959014</v>
      </c>
      <c r="J30" s="43">
        <v>2.5132176000679389</v>
      </c>
      <c r="Z30" s="43"/>
      <c r="AA30" s="43"/>
    </row>
    <row r="31" spans="1:27" x14ac:dyDescent="0.25">
      <c r="A31" s="49" t="s">
        <v>175</v>
      </c>
      <c r="B31" s="9">
        <v>30</v>
      </c>
      <c r="C31" s="4">
        <v>3.4643404846276673</v>
      </c>
      <c r="D31" s="4">
        <v>2.888179493918325</v>
      </c>
      <c r="E31" s="4">
        <v>2.2430380486862944</v>
      </c>
      <c r="F31" s="4">
        <v>2.0170333392987803</v>
      </c>
      <c r="G31" s="43">
        <v>2.9138138523837167</v>
      </c>
      <c r="H31" s="43">
        <v>2.3598354823398879</v>
      </c>
      <c r="I31" s="43">
        <v>3.2833012287035497</v>
      </c>
      <c r="J31" s="43">
        <v>2.6454222693490919</v>
      </c>
      <c r="Z31" s="43"/>
      <c r="AA31" s="43"/>
    </row>
    <row r="32" spans="1:27" x14ac:dyDescent="0.25">
      <c r="A32" s="49" t="s">
        <v>175</v>
      </c>
      <c r="B32" s="9">
        <v>31</v>
      </c>
      <c r="C32" s="4">
        <v>3.0791812460476247</v>
      </c>
      <c r="D32" s="4">
        <v>2.6473829701146196</v>
      </c>
      <c r="E32" s="4">
        <v>2.3010299956639813</v>
      </c>
      <c r="F32" s="4">
        <v>2.0334237554869499</v>
      </c>
      <c r="G32" s="43">
        <v>2.6364878963533656</v>
      </c>
      <c r="H32" s="43">
        <v>2.1875207208364631</v>
      </c>
      <c r="I32" s="43">
        <v>2.7551122663950713</v>
      </c>
      <c r="J32" s="43">
        <v>2.2648178230095364</v>
      </c>
      <c r="Z32" s="43"/>
      <c r="AA32" s="43"/>
    </row>
    <row r="33" spans="1:27" x14ac:dyDescent="0.25">
      <c r="A33" s="49" t="s">
        <v>50</v>
      </c>
      <c r="B33" s="9">
        <v>32</v>
      </c>
      <c r="C33" s="4">
        <v>3.433449793761596</v>
      </c>
      <c r="D33" s="4">
        <v>2.8668778143374989</v>
      </c>
      <c r="E33" s="4">
        <v>2.7737864449811935</v>
      </c>
      <c r="F33" s="4">
        <v>2.2671717284030137</v>
      </c>
      <c r="G33" s="43">
        <v>3.0141003215196207</v>
      </c>
      <c r="H33" s="43">
        <v>2.4329692908744058</v>
      </c>
      <c r="I33" s="43">
        <v>3.0366288953621612</v>
      </c>
      <c r="J33" s="43">
        <v>2.4502491083193609</v>
      </c>
      <c r="Z33" s="43"/>
      <c r="AA33" s="43"/>
    </row>
    <row r="34" spans="1:27" x14ac:dyDescent="0.25">
      <c r="A34" s="49" t="s">
        <v>50</v>
      </c>
      <c r="B34" s="9">
        <v>33</v>
      </c>
      <c r="C34" s="4">
        <v>1</v>
      </c>
      <c r="D34" s="4">
        <v>1</v>
      </c>
      <c r="E34" s="4">
        <v>0.95424250943932487</v>
      </c>
      <c r="F34" s="4">
        <v>0.95424250943932487</v>
      </c>
      <c r="G34" s="43">
        <v>0</v>
      </c>
      <c r="H34" s="43">
        <v>0</v>
      </c>
      <c r="I34" s="43">
        <v>0.3010299956639812</v>
      </c>
      <c r="J34" s="43">
        <v>0.3010299956639812</v>
      </c>
      <c r="Z34" s="43"/>
      <c r="AA34" s="43"/>
    </row>
    <row r="35" spans="1:27" s="58" customFormat="1" x14ac:dyDescent="0.25">
      <c r="A35" s="58" t="s">
        <v>50</v>
      </c>
      <c r="B35" s="9">
        <v>34</v>
      </c>
      <c r="C35" s="73">
        <v>-9</v>
      </c>
      <c r="D35" s="73">
        <v>-9</v>
      </c>
      <c r="E35" s="73">
        <v>-9</v>
      </c>
      <c r="F35" s="73">
        <v>-9</v>
      </c>
      <c r="G35" s="73">
        <v>-9</v>
      </c>
      <c r="H35" s="73">
        <v>-9</v>
      </c>
      <c r="I35" s="73">
        <v>-9</v>
      </c>
      <c r="J35" s="73">
        <v>-9</v>
      </c>
    </row>
    <row r="36" spans="1:27" x14ac:dyDescent="0.25">
      <c r="A36" s="49" t="s">
        <v>179</v>
      </c>
      <c r="B36" s="9">
        <v>35</v>
      </c>
      <c r="C36" s="4">
        <v>3.3142886609474975</v>
      </c>
      <c r="D36" s="4">
        <v>2.7867514221455614</v>
      </c>
      <c r="E36" s="4">
        <v>2.4183012913197452</v>
      </c>
      <c r="F36" s="4">
        <v>2.0827853703164503</v>
      </c>
      <c r="G36" s="43">
        <v>3.0629578340845103</v>
      </c>
      <c r="H36" s="43">
        <v>2.4712917110589387</v>
      </c>
      <c r="I36" s="43">
        <v>2.8102325179950842</v>
      </c>
      <c r="J36" s="43">
        <v>2.2944662261615929</v>
      </c>
      <c r="Z36" s="43"/>
      <c r="AA36" s="43"/>
    </row>
    <row r="37" spans="1:27" x14ac:dyDescent="0.25">
      <c r="A37" s="49" t="s">
        <v>165</v>
      </c>
      <c r="B37" s="9">
        <v>36</v>
      </c>
      <c r="C37" s="4">
        <v>3.7022581631620941</v>
      </c>
      <c r="D37" s="4">
        <v>3.070037866607755</v>
      </c>
      <c r="E37" s="4">
        <v>3.2164298308762511</v>
      </c>
      <c r="F37" s="4">
        <v>2.5899496013257077</v>
      </c>
      <c r="G37" s="43">
        <v>3.2626883443016963</v>
      </c>
      <c r="H37" s="43">
        <v>2.6242820958356683</v>
      </c>
      <c r="I37" s="43">
        <v>3.1939589780191868</v>
      </c>
      <c r="J37" s="43">
        <v>2.5646660642520893</v>
      </c>
      <c r="Z37" s="43"/>
      <c r="AA37" s="43"/>
    </row>
    <row r="38" spans="1:27" x14ac:dyDescent="0.25">
      <c r="A38" s="49" t="s">
        <v>166</v>
      </c>
      <c r="B38" s="9">
        <v>37</v>
      </c>
      <c r="C38" s="4">
        <v>3.6490426340861766</v>
      </c>
      <c r="D38" s="4">
        <v>2.9978230807457256</v>
      </c>
      <c r="E38" s="4">
        <v>3.1956229435869368</v>
      </c>
      <c r="F38" s="4">
        <v>2.5428254269591797</v>
      </c>
      <c r="G38" s="43">
        <v>3.1690863574870227</v>
      </c>
      <c r="H38" s="43">
        <v>2.5250448070368452</v>
      </c>
      <c r="I38" s="43">
        <v>3.1504494094608808</v>
      </c>
      <c r="J38" s="43">
        <v>2.4955443375464483</v>
      </c>
      <c r="Z38" s="43"/>
      <c r="AA38" s="43"/>
    </row>
    <row r="39" spans="1:27" x14ac:dyDescent="0.25">
      <c r="A39" s="49" t="s">
        <v>166</v>
      </c>
      <c r="B39" s="9">
        <v>38</v>
      </c>
      <c r="C39" s="4">
        <v>3.5160062303860475</v>
      </c>
      <c r="D39" s="4">
        <v>2.9211660506377388</v>
      </c>
      <c r="E39" s="4">
        <v>2.8709888137605755</v>
      </c>
      <c r="F39" s="4">
        <v>2.3242824552976926</v>
      </c>
      <c r="G39" s="43">
        <v>3.1408221801093106</v>
      </c>
      <c r="H39" s="43">
        <v>2.5250448070368452</v>
      </c>
      <c r="I39" s="43">
        <v>3.0633333589517497</v>
      </c>
      <c r="J39" s="43">
        <v>2.4623979978989561</v>
      </c>
      <c r="Z39" s="43"/>
      <c r="AA39" s="43"/>
    </row>
    <row r="40" spans="1:27" x14ac:dyDescent="0.25">
      <c r="A40" s="49" t="s">
        <v>166</v>
      </c>
      <c r="B40" s="9">
        <v>39</v>
      </c>
      <c r="C40" s="4">
        <v>3.7397305285647175</v>
      </c>
      <c r="D40" s="4">
        <v>3.0951693514317551</v>
      </c>
      <c r="E40" s="4">
        <v>3.1658376246901283</v>
      </c>
      <c r="F40" s="4">
        <v>2.5327543789924976</v>
      </c>
      <c r="G40" s="43">
        <v>3.2999429000227671</v>
      </c>
      <c r="H40" s="43">
        <v>2.6493348587121419</v>
      </c>
      <c r="I40" s="43">
        <v>3.308350948586726</v>
      </c>
      <c r="J40" s="43">
        <v>2.6627578316815739</v>
      </c>
      <c r="Z40" s="43"/>
      <c r="AA40" s="43"/>
    </row>
    <row r="41" spans="1:27" x14ac:dyDescent="0.25">
      <c r="A41" s="49" t="s">
        <v>177</v>
      </c>
      <c r="B41" s="9">
        <v>40</v>
      </c>
      <c r="C41" s="4">
        <v>3.2683439139510648</v>
      </c>
      <c r="D41" s="4">
        <v>2.7411515988517849</v>
      </c>
      <c r="E41" s="4">
        <v>2.6785183790401139</v>
      </c>
      <c r="F41" s="4">
        <v>2.1903316981702914</v>
      </c>
      <c r="G41" s="43">
        <v>2.786041210242554</v>
      </c>
      <c r="H41" s="43">
        <v>2.2648178230095364</v>
      </c>
      <c r="I41" s="43">
        <v>2.885926339801431</v>
      </c>
      <c r="J41" s="43">
        <v>2.330413773349191</v>
      </c>
      <c r="Z41" s="43"/>
      <c r="AA41" s="43"/>
    </row>
    <row r="42" spans="1:27" x14ac:dyDescent="0.25">
      <c r="A42" s="49" t="s">
        <v>177</v>
      </c>
      <c r="B42" s="9">
        <v>41</v>
      </c>
      <c r="C42" s="4">
        <v>3.5766868052009957</v>
      </c>
      <c r="D42" s="4">
        <v>2.973589623427257</v>
      </c>
      <c r="E42" s="4">
        <v>3.2132520521963968</v>
      </c>
      <c r="F42" s="4">
        <v>2.5899496013257077</v>
      </c>
      <c r="G42" s="43">
        <v>3.0174507295105362</v>
      </c>
      <c r="H42" s="43">
        <v>2.4265112613645754</v>
      </c>
      <c r="I42" s="43">
        <v>3.0413926851582249</v>
      </c>
      <c r="J42" s="43">
        <v>2.4578818967339924</v>
      </c>
      <c r="Z42" s="43"/>
      <c r="AA42" s="43"/>
    </row>
    <row r="43" spans="1:27" x14ac:dyDescent="0.25">
      <c r="A43" s="49" t="s">
        <v>180</v>
      </c>
      <c r="B43" s="9">
        <v>42</v>
      </c>
      <c r="C43" s="4">
        <v>2.9840770339028309</v>
      </c>
      <c r="D43" s="4">
        <v>2.4409090820652177</v>
      </c>
      <c r="E43" s="4">
        <v>1.2787536009528289</v>
      </c>
      <c r="F43" s="4">
        <v>1.255272505103306</v>
      </c>
      <c r="G43" s="43">
        <v>0</v>
      </c>
      <c r="H43" s="43">
        <v>0</v>
      </c>
      <c r="I43" s="43">
        <v>2.9758911364017928</v>
      </c>
      <c r="J43" s="43">
        <v>2.4132997640812519</v>
      </c>
      <c r="Z43" s="43"/>
      <c r="AA43" s="43"/>
    </row>
    <row r="44" spans="1:27" x14ac:dyDescent="0.25">
      <c r="A44" s="49" t="s">
        <v>180</v>
      </c>
      <c r="B44" s="9">
        <v>43</v>
      </c>
      <c r="C44" s="4">
        <v>3.3741982579290828</v>
      </c>
      <c r="D44" s="4">
        <v>2.8312296938670634</v>
      </c>
      <c r="E44" s="4">
        <v>2.4487063199050798</v>
      </c>
      <c r="F44" s="4">
        <v>2.0969100130080562</v>
      </c>
      <c r="G44" s="43">
        <v>2.6702458530741242</v>
      </c>
      <c r="H44" s="43">
        <v>2.2095150145426308</v>
      </c>
      <c r="I44" s="43">
        <v>3.2095150145426308</v>
      </c>
      <c r="J44" s="43">
        <v>2.5943925503754266</v>
      </c>
      <c r="Z44" s="43"/>
      <c r="AA44" s="43"/>
    </row>
    <row r="45" spans="1:27" x14ac:dyDescent="0.25">
      <c r="A45" s="49" t="s">
        <v>180</v>
      </c>
      <c r="B45" s="9">
        <v>44</v>
      </c>
      <c r="C45" s="4">
        <v>3.4459154139511234</v>
      </c>
      <c r="D45" s="4">
        <v>2.8825245379548803</v>
      </c>
      <c r="E45" s="4">
        <v>3.003029470553618</v>
      </c>
      <c r="F45" s="4">
        <v>2.4265112613645754</v>
      </c>
      <c r="G45" s="43">
        <v>2.8318697742805017</v>
      </c>
      <c r="H45" s="43">
        <v>2.3138672203691533</v>
      </c>
      <c r="I45" s="43">
        <v>3.0445397603924111</v>
      </c>
      <c r="J45" s="43">
        <v>2.4653828514484184</v>
      </c>
      <c r="Z45" s="43"/>
      <c r="AA45" s="43"/>
    </row>
    <row r="46" spans="1:27" x14ac:dyDescent="0.25">
      <c r="A46" s="49" t="s">
        <v>178</v>
      </c>
      <c r="B46" s="9">
        <v>45</v>
      </c>
      <c r="C46" s="4">
        <v>3.2347702951609163</v>
      </c>
      <c r="D46" s="4">
        <v>2.7331972651065692</v>
      </c>
      <c r="E46" s="4">
        <v>2.143014800254095</v>
      </c>
      <c r="F46" s="4">
        <v>1.9637878273455553</v>
      </c>
      <c r="G46" s="43">
        <v>2.5786392099680722</v>
      </c>
      <c r="H46" s="43">
        <v>2.1583624920952498</v>
      </c>
      <c r="I46" s="43">
        <v>3.079543007402906</v>
      </c>
      <c r="J46" s="43">
        <v>2.4871383754771865</v>
      </c>
      <c r="Z46" s="43"/>
      <c r="AA46" s="43"/>
    </row>
    <row r="47" spans="1:27" x14ac:dyDescent="0.25">
      <c r="A47" s="49" t="s">
        <v>178</v>
      </c>
      <c r="B47" s="9">
        <v>46</v>
      </c>
      <c r="C47" s="4">
        <v>3.7926017811649664</v>
      </c>
      <c r="D47" s="4">
        <v>3.1568519010700111</v>
      </c>
      <c r="E47" s="4">
        <v>3.2760019899620501</v>
      </c>
      <c r="F47" s="4">
        <v>2.6483600109809315</v>
      </c>
      <c r="G47" s="43">
        <v>3.3350565194390915</v>
      </c>
      <c r="H47" s="43">
        <v>2.6972293427597176</v>
      </c>
      <c r="I47" s="43">
        <v>3.3332456989619628</v>
      </c>
      <c r="J47" s="43">
        <v>2.6937269489236471</v>
      </c>
      <c r="Z47" s="43"/>
      <c r="AA47" s="43"/>
    </row>
    <row r="48" spans="1:27" x14ac:dyDescent="0.25">
      <c r="A48" s="49" t="s">
        <v>178</v>
      </c>
      <c r="B48" s="9">
        <v>47</v>
      </c>
      <c r="C48" s="4">
        <v>3.7000110623221123</v>
      </c>
      <c r="D48" s="4">
        <v>3.082066934285113</v>
      </c>
      <c r="E48" s="4">
        <v>3.0678145111618402</v>
      </c>
      <c r="F48" s="4">
        <v>2.4828735836087539</v>
      </c>
      <c r="G48" s="43">
        <v>3.2242740142942576</v>
      </c>
      <c r="H48" s="43">
        <v>2.6074550232146687</v>
      </c>
      <c r="I48" s="43">
        <v>3.3362595520141931</v>
      </c>
      <c r="J48" s="43">
        <v>2.6998377258672459</v>
      </c>
      <c r="Z48" s="43"/>
      <c r="AA48" s="43"/>
    </row>
    <row r="49" spans="1:27" x14ac:dyDescent="0.25">
      <c r="A49" s="49" t="s">
        <v>181</v>
      </c>
      <c r="B49" s="9">
        <v>48</v>
      </c>
      <c r="C49" s="4">
        <v>3.7259932589247224</v>
      </c>
      <c r="D49" s="4">
        <v>3.1038037209559568</v>
      </c>
      <c r="E49" s="4">
        <v>3.2617385473525378</v>
      </c>
      <c r="F49" s="4">
        <v>2.6364878963533656</v>
      </c>
      <c r="G49" s="43">
        <v>3.1398790864012365</v>
      </c>
      <c r="H49" s="43">
        <v>2.5403294747908736</v>
      </c>
      <c r="I49" s="43">
        <v>3.3255156633631482</v>
      </c>
      <c r="J49" s="43">
        <v>2.6919651027673601</v>
      </c>
      <c r="Z49" s="43"/>
      <c r="AA49" s="43"/>
    </row>
    <row r="50" spans="1:27" x14ac:dyDescent="0.25">
      <c r="A50" s="49" t="s">
        <v>182</v>
      </c>
      <c r="B50" s="9">
        <v>49</v>
      </c>
      <c r="C50" s="4">
        <v>3.238297067875394</v>
      </c>
      <c r="D50" s="4">
        <v>2.6901960800285138</v>
      </c>
      <c r="E50" s="4">
        <v>1</v>
      </c>
      <c r="F50" s="4">
        <v>1</v>
      </c>
      <c r="G50" s="43">
        <v>2.8893017025063101</v>
      </c>
      <c r="H50" s="43">
        <v>2.3502480183341627</v>
      </c>
      <c r="I50" s="43">
        <v>2.976808337338066</v>
      </c>
      <c r="J50" s="43">
        <v>2.4116197059632301</v>
      </c>
      <c r="Z50" s="43"/>
      <c r="AA50" s="43"/>
    </row>
    <row r="51" spans="1:27" x14ac:dyDescent="0.25">
      <c r="A51" s="49" t="s">
        <v>182</v>
      </c>
      <c r="B51" s="9">
        <v>50</v>
      </c>
      <c r="C51" s="4">
        <v>1.0791812460476249</v>
      </c>
      <c r="D51" s="4">
        <v>1.0791812460476249</v>
      </c>
      <c r="E51" s="4">
        <v>1</v>
      </c>
      <c r="F51" s="4">
        <v>1</v>
      </c>
      <c r="G51" s="43">
        <v>0.3010299956639812</v>
      </c>
      <c r="H51" s="43">
        <v>0.3010299956639812</v>
      </c>
      <c r="I51" s="43">
        <v>0.3010299956639812</v>
      </c>
      <c r="J51" s="43">
        <v>0.3010299956639812</v>
      </c>
      <c r="Z51" s="43"/>
      <c r="AA51" s="43"/>
    </row>
    <row r="52" spans="1:27" x14ac:dyDescent="0.25">
      <c r="A52" s="49" t="s">
        <v>182</v>
      </c>
      <c r="B52" s="9">
        <v>51</v>
      </c>
      <c r="C52" s="4">
        <v>1</v>
      </c>
      <c r="D52" s="4">
        <v>1</v>
      </c>
      <c r="E52" s="4">
        <v>0.77815125038364363</v>
      </c>
      <c r="F52" s="4">
        <v>0.77815125038364363</v>
      </c>
      <c r="G52" s="43">
        <v>0.6020599913279624</v>
      </c>
      <c r="H52" s="43">
        <v>0.6020599913279624</v>
      </c>
      <c r="I52" s="43">
        <v>0.3010299956639812</v>
      </c>
      <c r="J52" s="43">
        <v>0.3010299956639812</v>
      </c>
      <c r="Z52" s="43"/>
      <c r="AA52" s="43"/>
    </row>
    <row r="53" spans="1:27" x14ac:dyDescent="0.25">
      <c r="A53" s="53" t="s">
        <v>183</v>
      </c>
      <c r="B53" s="9">
        <v>52</v>
      </c>
      <c r="C53" s="4">
        <v>1.7481880270062005</v>
      </c>
      <c r="D53" s="4">
        <v>1.6812412373755872</v>
      </c>
      <c r="E53" s="4">
        <v>1</v>
      </c>
      <c r="F53" s="4">
        <v>1</v>
      </c>
      <c r="G53" s="43">
        <v>0.3010299956639812</v>
      </c>
      <c r="H53" s="43">
        <v>0.3010299956639812</v>
      </c>
      <c r="I53" s="43">
        <v>1.6627578316815741</v>
      </c>
      <c r="J53" s="43">
        <v>1.5797835966168101</v>
      </c>
      <c r="K53" s="18"/>
      <c r="Z53" s="43"/>
      <c r="AA53" s="43"/>
    </row>
    <row r="54" spans="1:27" x14ac:dyDescent="0.25">
      <c r="A54" s="53" t="s">
        <v>183</v>
      </c>
      <c r="B54" s="9">
        <v>53</v>
      </c>
      <c r="C54" s="4">
        <v>1.0791812460476249</v>
      </c>
      <c r="D54" s="4">
        <v>1.0791812460476249</v>
      </c>
      <c r="E54" s="4">
        <v>0.84509804001425681</v>
      </c>
      <c r="F54" s="4">
        <v>0.84509804001425681</v>
      </c>
      <c r="G54" s="43">
        <v>0.69897000433601886</v>
      </c>
      <c r="H54" s="43">
        <v>0.69897000433601886</v>
      </c>
      <c r="I54" s="43">
        <v>0.3010299956639812</v>
      </c>
      <c r="J54" s="43">
        <v>0.3010299956639812</v>
      </c>
      <c r="K54" s="18"/>
      <c r="Z54" s="43"/>
      <c r="AA54" s="43"/>
    </row>
    <row r="55" spans="1:27" x14ac:dyDescent="0.25">
      <c r="A55" s="49" t="s">
        <v>181</v>
      </c>
      <c r="B55" s="9">
        <v>54</v>
      </c>
      <c r="C55" s="4">
        <v>3.7628285531890904</v>
      </c>
      <c r="D55" s="4">
        <v>3.1092409685882032</v>
      </c>
      <c r="E55" s="4">
        <v>3.2057455409426621</v>
      </c>
      <c r="F55" s="4">
        <v>2.5599066250361124</v>
      </c>
      <c r="G55" s="43">
        <v>3.3205616801952367</v>
      </c>
      <c r="H55" s="43">
        <v>2.6599162000698504</v>
      </c>
      <c r="I55" s="43">
        <v>3.321391278311689</v>
      </c>
      <c r="J55" s="43">
        <v>2.6702458530741242</v>
      </c>
      <c r="Z55" s="43"/>
      <c r="AA55" s="43"/>
    </row>
    <row r="56" spans="1:27" x14ac:dyDescent="0.25">
      <c r="A56" s="49" t="s">
        <v>184</v>
      </c>
      <c r="B56" s="9">
        <v>55</v>
      </c>
      <c r="C56" s="4">
        <v>3.2415464805965484</v>
      </c>
      <c r="D56" s="4">
        <v>2.7024305364455254</v>
      </c>
      <c r="E56" s="4">
        <v>1.8195439355418688</v>
      </c>
      <c r="F56" s="4">
        <v>1.7558748556724915</v>
      </c>
      <c r="G56" s="43">
        <v>2.8481891169913989</v>
      </c>
      <c r="H56" s="43">
        <v>2.3053513694466239</v>
      </c>
      <c r="I56" s="43">
        <v>2.989004615698537</v>
      </c>
      <c r="J56" s="43">
        <v>2.3926969532596658</v>
      </c>
      <c r="Z56" s="43"/>
      <c r="AA56" s="43"/>
    </row>
    <row r="57" spans="1:27" x14ac:dyDescent="0.25">
      <c r="A57" s="49" t="s">
        <v>184</v>
      </c>
      <c r="B57" s="9">
        <v>56</v>
      </c>
      <c r="C57" s="4">
        <v>0.3010299956639812</v>
      </c>
      <c r="D57" s="4">
        <v>0.3010299956639812</v>
      </c>
      <c r="E57" s="4">
        <v>0</v>
      </c>
      <c r="F57" s="4">
        <v>0</v>
      </c>
      <c r="G57" s="43">
        <v>0.3010299956639812</v>
      </c>
      <c r="H57" s="43">
        <v>0.3010299956639812</v>
      </c>
      <c r="I57" s="43">
        <v>0</v>
      </c>
      <c r="J57" s="43">
        <v>0</v>
      </c>
      <c r="Z57" s="43"/>
      <c r="AA57" s="43"/>
    </row>
    <row r="58" spans="1:27" x14ac:dyDescent="0.25">
      <c r="A58" s="49" t="s">
        <v>166</v>
      </c>
      <c r="B58" s="9">
        <v>57</v>
      </c>
      <c r="C58" s="4">
        <v>3.4743619760326307</v>
      </c>
      <c r="D58" s="4">
        <v>2.8998205024270964</v>
      </c>
      <c r="E58" s="4">
        <v>2.8109042806687006</v>
      </c>
      <c r="F58" s="4">
        <v>2.2944662261615929</v>
      </c>
      <c r="G58" s="43">
        <v>3.09377178149873</v>
      </c>
      <c r="H58" s="43">
        <v>2.4955443375464483</v>
      </c>
      <c r="I58" s="43">
        <v>3.0394141191761372</v>
      </c>
      <c r="J58" s="43">
        <v>2.4563660331290431</v>
      </c>
      <c r="Z58" s="43"/>
      <c r="AA58" s="43"/>
    </row>
    <row r="59" spans="1:27" x14ac:dyDescent="0.25">
      <c r="A59" s="49" t="s">
        <v>166</v>
      </c>
      <c r="B59" s="9">
        <v>58</v>
      </c>
      <c r="C59" s="4">
        <v>3.3165993020938607</v>
      </c>
      <c r="D59" s="4">
        <v>2.7846172926328752</v>
      </c>
      <c r="E59" s="4">
        <v>2.8055008581584002</v>
      </c>
      <c r="F59" s="4">
        <v>2.2833012287035497</v>
      </c>
      <c r="G59" s="43">
        <v>2.8992731873176036</v>
      </c>
      <c r="H59" s="43">
        <v>2.3483048630481607</v>
      </c>
      <c r="I59" s="43">
        <v>2.8082109729242219</v>
      </c>
      <c r="J59" s="43">
        <v>2.2922560713564759</v>
      </c>
      <c r="Z59" s="43"/>
      <c r="AA59" s="43"/>
    </row>
    <row r="60" spans="1:27" x14ac:dyDescent="0.25">
      <c r="A60" s="49" t="s">
        <v>177</v>
      </c>
      <c r="B60" s="9">
        <v>59</v>
      </c>
      <c r="C60" s="4">
        <v>1.3802112417116059</v>
      </c>
      <c r="D60" s="4">
        <v>1.3617278360175928</v>
      </c>
      <c r="E60" s="4">
        <v>1.2304489213782739</v>
      </c>
      <c r="F60" s="4">
        <v>1.2041199826559248</v>
      </c>
      <c r="G60" s="43">
        <v>0.77815125038364363</v>
      </c>
      <c r="H60" s="43">
        <v>0.77815125038364363</v>
      </c>
      <c r="I60" s="43">
        <v>0.47712125471966244</v>
      </c>
      <c r="J60" s="43">
        <v>0.47712125471966244</v>
      </c>
      <c r="Z60" s="43"/>
      <c r="AA60" s="43"/>
    </row>
    <row r="61" spans="1:27" x14ac:dyDescent="0.25">
      <c r="A61" s="49" t="s">
        <v>177</v>
      </c>
      <c r="B61" s="9">
        <v>60</v>
      </c>
      <c r="C61" s="4">
        <v>2.8773713458697738</v>
      </c>
      <c r="D61" s="4">
        <v>2.5502283530550942</v>
      </c>
      <c r="E61" s="4">
        <v>2.3926969532596658</v>
      </c>
      <c r="F61" s="4">
        <v>2.0681858617461617</v>
      </c>
      <c r="G61" s="43">
        <v>2.4393326938302629</v>
      </c>
      <c r="H61" s="43">
        <v>2.0899051114393981</v>
      </c>
      <c r="I61" s="43">
        <v>2.369215857410143</v>
      </c>
      <c r="J61" s="43">
        <v>2.0681858617461617</v>
      </c>
      <c r="Z61" s="43"/>
      <c r="AA61" s="43"/>
    </row>
    <row r="62" spans="1:27" x14ac:dyDescent="0.25">
      <c r="A62" s="49" t="s">
        <v>167</v>
      </c>
      <c r="B62" s="9">
        <v>61</v>
      </c>
      <c r="C62" s="4">
        <v>0.84509804001425681</v>
      </c>
      <c r="D62" s="4">
        <v>0.84509804001425681</v>
      </c>
      <c r="E62" s="4">
        <v>0.77815125038364363</v>
      </c>
      <c r="F62" s="4">
        <v>0.77815125038364363</v>
      </c>
      <c r="G62" s="43">
        <v>0</v>
      </c>
      <c r="H62" s="43">
        <v>0</v>
      </c>
      <c r="I62" s="43">
        <v>0.3010299956639812</v>
      </c>
      <c r="J62" s="43">
        <v>0.3010299956639812</v>
      </c>
      <c r="Z62" s="43"/>
      <c r="AA62" s="43"/>
    </row>
    <row r="63" spans="1:27" x14ac:dyDescent="0.25">
      <c r="A63" s="49" t="s">
        <v>167</v>
      </c>
      <c r="B63" s="9">
        <v>62</v>
      </c>
      <c r="C63" s="4">
        <v>3.5140161804006493</v>
      </c>
      <c r="D63" s="4">
        <v>2.9268567089496922</v>
      </c>
      <c r="E63" s="4">
        <v>2.2624510897304293</v>
      </c>
      <c r="F63" s="4">
        <v>2.012837224705172</v>
      </c>
      <c r="G63" s="43">
        <v>3.1162755875805441</v>
      </c>
      <c r="H63" s="43">
        <v>2.5132176000679389</v>
      </c>
      <c r="I63" s="43">
        <v>3.249931756634195</v>
      </c>
      <c r="J63" s="43">
        <v>2.621176281775035</v>
      </c>
      <c r="Z63" s="43"/>
      <c r="AA63" s="43"/>
    </row>
    <row r="64" spans="1:27" x14ac:dyDescent="0.25">
      <c r="A64" s="49" t="s">
        <v>167</v>
      </c>
      <c r="B64" s="9">
        <v>63</v>
      </c>
      <c r="C64" s="4">
        <v>0.6020599913279624</v>
      </c>
      <c r="D64" s="4">
        <v>0.6020599913279624</v>
      </c>
      <c r="E64" s="4">
        <v>0.3010299956639812</v>
      </c>
      <c r="F64" s="4">
        <v>0.3010299956639812</v>
      </c>
      <c r="G64" s="43">
        <v>0.3010299956639812</v>
      </c>
      <c r="H64" s="43">
        <v>0.3010299956639812</v>
      </c>
      <c r="I64" s="43">
        <v>0.3010299956639812</v>
      </c>
      <c r="J64" s="43">
        <v>0.3010299956639812</v>
      </c>
      <c r="Z64" s="43"/>
      <c r="AA64" s="43"/>
    </row>
    <row r="65" spans="1:27" x14ac:dyDescent="0.25">
      <c r="A65" s="49" t="s">
        <v>168</v>
      </c>
      <c r="B65" s="9">
        <v>64</v>
      </c>
      <c r="C65" s="4">
        <v>3.2229764498933915</v>
      </c>
      <c r="D65" s="4">
        <v>2.7299742856995555</v>
      </c>
      <c r="E65" s="4">
        <v>2.9907826918031377</v>
      </c>
      <c r="F65" s="4">
        <v>2.4183012913197452</v>
      </c>
      <c r="G65" s="43">
        <v>2.5888317255942073</v>
      </c>
      <c r="H65" s="43">
        <v>2.1643528557844371</v>
      </c>
      <c r="I65" s="43">
        <v>2.4857214264815801</v>
      </c>
      <c r="J65" s="43">
        <v>2.1172712956557644</v>
      </c>
      <c r="Z65" s="43"/>
      <c r="AA65" s="43"/>
    </row>
    <row r="66" spans="1:27" x14ac:dyDescent="0.25">
      <c r="A66" s="49" t="s">
        <v>168</v>
      </c>
      <c r="B66" s="9">
        <v>65</v>
      </c>
      <c r="C66" s="4">
        <v>2.5490032620257876</v>
      </c>
      <c r="D66" s="4">
        <v>2.2764618041732443</v>
      </c>
      <c r="E66" s="4">
        <v>1.3979400086720377</v>
      </c>
      <c r="F66" s="4">
        <v>1.3617278360175928</v>
      </c>
      <c r="G66" s="43">
        <v>1.6627578316815741</v>
      </c>
      <c r="H66" s="43">
        <v>1.6434526764861874</v>
      </c>
      <c r="I66" s="43">
        <v>2.4548448600085102</v>
      </c>
      <c r="J66" s="43">
        <v>2.0934216851622351</v>
      </c>
      <c r="Z66" s="43"/>
      <c r="AA66" s="43"/>
    </row>
    <row r="67" spans="1:27" x14ac:dyDescent="0.25">
      <c r="A67" s="49" t="s">
        <v>169</v>
      </c>
      <c r="B67" s="9">
        <v>66</v>
      </c>
      <c r="C67" s="4">
        <v>1.0413926851582251</v>
      </c>
      <c r="D67" s="4">
        <v>1</v>
      </c>
      <c r="E67" s="4">
        <v>1</v>
      </c>
      <c r="F67" s="4">
        <v>0.95424250943932487</v>
      </c>
      <c r="G67" s="43">
        <v>0</v>
      </c>
      <c r="H67" s="43">
        <v>0</v>
      </c>
      <c r="I67" s="43">
        <v>0.3010299956639812</v>
      </c>
      <c r="J67" s="43">
        <v>0.3010299956639812</v>
      </c>
      <c r="Z67" s="43"/>
      <c r="AA67" s="43"/>
    </row>
    <row r="68" spans="1:27" x14ac:dyDescent="0.25">
      <c r="A68" s="49" t="s">
        <v>169</v>
      </c>
      <c r="B68" s="9">
        <v>67</v>
      </c>
      <c r="C68" s="4">
        <v>0.77815125038364363</v>
      </c>
      <c r="D68" s="4">
        <v>0.69897000433601886</v>
      </c>
      <c r="E68" s="4">
        <v>0.6020599913279624</v>
      </c>
      <c r="F68" s="4">
        <v>0.47712125471966244</v>
      </c>
      <c r="G68" s="43">
        <v>0.47712125471966244</v>
      </c>
      <c r="H68" s="43">
        <v>0.47712125471966244</v>
      </c>
      <c r="I68" s="43">
        <v>0</v>
      </c>
      <c r="J68" s="43">
        <v>0</v>
      </c>
      <c r="Z68" s="43"/>
      <c r="AA68" s="43"/>
    </row>
    <row r="69" spans="1:27" x14ac:dyDescent="0.25">
      <c r="A69" s="49" t="s">
        <v>170</v>
      </c>
      <c r="B69" s="9">
        <v>68</v>
      </c>
      <c r="C69" s="4">
        <v>1.0413926851582251</v>
      </c>
      <c r="D69" s="4">
        <v>0.95424250943932487</v>
      </c>
      <c r="E69" s="4">
        <v>0.95424250943932487</v>
      </c>
      <c r="F69" s="4">
        <v>0.84509804001425681</v>
      </c>
      <c r="G69" s="43">
        <v>0.3010299956639812</v>
      </c>
      <c r="H69" s="43">
        <v>0.3010299956639812</v>
      </c>
      <c r="I69" s="43">
        <v>0.3010299956639812</v>
      </c>
      <c r="J69" s="43">
        <v>0.3010299956639812</v>
      </c>
      <c r="Z69" s="43"/>
      <c r="AA69" s="43"/>
    </row>
    <row r="70" spans="1:27" x14ac:dyDescent="0.25">
      <c r="A70" s="49" t="s">
        <v>170</v>
      </c>
      <c r="B70" s="9">
        <v>69</v>
      </c>
      <c r="C70" s="4">
        <v>0.90308998699194354</v>
      </c>
      <c r="D70" s="4">
        <v>0.90308998699194354</v>
      </c>
      <c r="E70" s="4">
        <v>0.69897000433601886</v>
      </c>
      <c r="F70" s="4">
        <v>0.69897000433601886</v>
      </c>
      <c r="G70" s="43">
        <v>0.3010299956639812</v>
      </c>
      <c r="H70" s="43">
        <v>0.3010299956639812</v>
      </c>
      <c r="I70" s="43">
        <v>0.47712125471966244</v>
      </c>
      <c r="J70" s="43">
        <v>0.47712125471966244</v>
      </c>
      <c r="Z70" s="43"/>
      <c r="AA70" s="43"/>
    </row>
    <row r="71" spans="1:27" x14ac:dyDescent="0.25">
      <c r="A71" s="49" t="s">
        <v>183</v>
      </c>
      <c r="B71" s="9">
        <v>70</v>
      </c>
      <c r="C71" s="4">
        <v>3.6461095219788477</v>
      </c>
      <c r="D71" s="4">
        <v>3.03261876085072</v>
      </c>
      <c r="E71" s="4">
        <v>3.0838608008665731</v>
      </c>
      <c r="F71" s="4">
        <v>2.4899584794248346</v>
      </c>
      <c r="G71" s="43">
        <v>3.1105897102992488</v>
      </c>
      <c r="H71" s="43">
        <v>2.510545010206612</v>
      </c>
      <c r="I71" s="43">
        <v>3.2846562827885157</v>
      </c>
      <c r="J71" s="43">
        <v>2.6503075231319366</v>
      </c>
      <c r="Z71" s="43"/>
      <c r="AA71" s="43"/>
    </row>
    <row r="72" spans="1:27" x14ac:dyDescent="0.25">
      <c r="A72" s="49" t="s">
        <v>183</v>
      </c>
      <c r="B72" s="9">
        <v>71</v>
      </c>
      <c r="C72" s="4">
        <v>0</v>
      </c>
      <c r="D72" s="4">
        <v>0</v>
      </c>
      <c r="E72" s="4">
        <v>0</v>
      </c>
      <c r="F72" s="4">
        <v>0</v>
      </c>
      <c r="G72" s="43">
        <v>0</v>
      </c>
      <c r="H72" s="43">
        <v>0</v>
      </c>
      <c r="I72" s="43">
        <v>0</v>
      </c>
      <c r="J72" s="43">
        <v>0</v>
      </c>
      <c r="Z72" s="43"/>
      <c r="AA72" s="43"/>
    </row>
    <row r="73" spans="1:27" x14ac:dyDescent="0.25">
      <c r="A73" s="49" t="s">
        <v>183</v>
      </c>
      <c r="B73" s="9">
        <v>72</v>
      </c>
      <c r="C73" s="4">
        <v>3.3811150807098507</v>
      </c>
      <c r="D73" s="4">
        <v>2.8382192219076257</v>
      </c>
      <c r="E73" s="4">
        <v>2.5024271199844326</v>
      </c>
      <c r="F73" s="4">
        <v>2.1271047983648077</v>
      </c>
      <c r="G73" s="43">
        <v>2.8926510338773004</v>
      </c>
      <c r="H73" s="43">
        <v>2.3521825181113627</v>
      </c>
      <c r="I73" s="43">
        <v>3.1166077439882485</v>
      </c>
      <c r="J73" s="43">
        <v>2.5211380837040362</v>
      </c>
      <c r="Z73" s="43"/>
      <c r="AA73" s="43"/>
    </row>
    <row r="74" spans="1:27" x14ac:dyDescent="0.25">
      <c r="A74" s="49" t="s">
        <v>175</v>
      </c>
      <c r="B74" s="9">
        <v>73</v>
      </c>
      <c r="C74" s="4">
        <v>2.6042260530844699</v>
      </c>
      <c r="D74" s="4">
        <v>2.1986570869544226</v>
      </c>
      <c r="E74" s="4">
        <v>0.84509804001425681</v>
      </c>
      <c r="F74" s="4">
        <v>0.84509804001425681</v>
      </c>
      <c r="G74" s="43">
        <v>0.84509804001425681</v>
      </c>
      <c r="H74" s="43">
        <v>0.84509804001425681</v>
      </c>
      <c r="I74" s="43">
        <v>2.5910646070264991</v>
      </c>
      <c r="J74" s="43">
        <v>2.1643528557844371</v>
      </c>
      <c r="Z74" s="43"/>
      <c r="AA74" s="43"/>
    </row>
    <row r="75" spans="1:27" x14ac:dyDescent="0.25">
      <c r="A75" s="49" t="s">
        <v>175</v>
      </c>
      <c r="B75" s="9">
        <v>74</v>
      </c>
      <c r="C75" s="4">
        <v>3.6784273224338673</v>
      </c>
      <c r="D75" s="4">
        <v>3.0526939419249679</v>
      </c>
      <c r="E75" s="4">
        <v>2.9585638832219674</v>
      </c>
      <c r="F75" s="4">
        <v>2.3926969532596658</v>
      </c>
      <c r="G75" s="43">
        <v>3.2057455409426621</v>
      </c>
      <c r="H75" s="43">
        <v>2.5831987739686229</v>
      </c>
      <c r="I75" s="43">
        <v>3.3533390953113047</v>
      </c>
      <c r="J75" s="43">
        <v>2.6998377258672459</v>
      </c>
      <c r="Z75" s="43"/>
      <c r="AA75" s="43"/>
    </row>
    <row r="76" spans="1:27" x14ac:dyDescent="0.25">
      <c r="A76" s="49" t="s">
        <v>175</v>
      </c>
      <c r="B76" s="9">
        <v>75</v>
      </c>
      <c r="C76" s="4">
        <v>2.9849771264154934</v>
      </c>
      <c r="D76" s="4">
        <v>2.5910646070264991</v>
      </c>
      <c r="E76" s="4">
        <v>2.3765769570565118</v>
      </c>
      <c r="F76" s="4">
        <v>2.0644579892269186</v>
      </c>
      <c r="G76" s="43">
        <v>2.4983105537896004</v>
      </c>
      <c r="H76" s="43">
        <v>2.1105897102992488</v>
      </c>
      <c r="I76" s="43">
        <v>2.6180480967120925</v>
      </c>
      <c r="J76" s="43">
        <v>2.167317334748176</v>
      </c>
      <c r="Z76" s="43"/>
      <c r="AA76" s="43"/>
    </row>
    <row r="77" spans="1:27" x14ac:dyDescent="0.25">
      <c r="A77" s="49" t="s">
        <v>186</v>
      </c>
      <c r="B77" s="9">
        <v>76</v>
      </c>
      <c r="C77" s="4">
        <v>2.1003705451175629</v>
      </c>
      <c r="D77" s="4">
        <v>1.9493900066449128</v>
      </c>
      <c r="E77" s="4">
        <v>1.1139433523068367</v>
      </c>
      <c r="F77" s="4">
        <v>1.0413926851582251</v>
      </c>
      <c r="G77" s="43">
        <v>1</v>
      </c>
      <c r="H77" s="43">
        <v>1</v>
      </c>
      <c r="I77" s="43">
        <v>2.0211892990699383</v>
      </c>
      <c r="J77" s="43">
        <v>1.8450980400142569</v>
      </c>
      <c r="Z77" s="43"/>
      <c r="AA77" s="43"/>
    </row>
    <row r="78" spans="1:27" x14ac:dyDescent="0.25">
      <c r="A78" s="49" t="s">
        <v>186</v>
      </c>
      <c r="B78" s="9">
        <v>77</v>
      </c>
      <c r="C78" s="4">
        <v>3.7316693318286362</v>
      </c>
      <c r="D78" s="4">
        <v>3.088844562727004</v>
      </c>
      <c r="E78" s="4">
        <v>3.1264561134318045</v>
      </c>
      <c r="F78" s="4">
        <v>2.5051499783199058</v>
      </c>
      <c r="G78" s="43">
        <v>3.249931756634195</v>
      </c>
      <c r="H78" s="43">
        <v>2.61066016308988</v>
      </c>
      <c r="I78" s="43">
        <v>3.3573630306151427</v>
      </c>
      <c r="J78" s="43">
        <v>2.6998377258672459</v>
      </c>
      <c r="Z78" s="43"/>
      <c r="AA78" s="43"/>
    </row>
    <row r="79" spans="1:27" x14ac:dyDescent="0.25">
      <c r="A79" s="49" t="s">
        <v>176</v>
      </c>
      <c r="B79" s="9">
        <v>78</v>
      </c>
      <c r="C79" s="4">
        <v>2.910090545594068</v>
      </c>
      <c r="D79" s="4">
        <v>2.5670263661590602</v>
      </c>
      <c r="E79" s="4">
        <v>2.4393326938302629</v>
      </c>
      <c r="F79" s="4">
        <v>2.0969100130080562</v>
      </c>
      <c r="G79" s="43">
        <v>2.3138672203691533</v>
      </c>
      <c r="H79" s="43">
        <v>2.0413926851582249</v>
      </c>
      <c r="I79" s="43">
        <v>2.5237464668115646</v>
      </c>
      <c r="J79" s="43">
        <v>2.1335389083702174</v>
      </c>
      <c r="Z79" s="43"/>
      <c r="AA79" s="43"/>
    </row>
    <row r="80" spans="1:27" x14ac:dyDescent="0.25">
      <c r="A80" s="49" t="s">
        <v>176</v>
      </c>
      <c r="B80" s="9">
        <v>79</v>
      </c>
      <c r="C80" s="4">
        <v>3.1408221801093106</v>
      </c>
      <c r="D80" s="4">
        <v>2.6830470382388496</v>
      </c>
      <c r="E80" s="4">
        <v>2.2900346113625178</v>
      </c>
      <c r="F80" s="4">
        <v>2.0293837776852097</v>
      </c>
      <c r="G80" s="43">
        <v>2.6138418218760693</v>
      </c>
      <c r="H80" s="43">
        <v>2.1789769472931693</v>
      </c>
      <c r="I80" s="43">
        <v>2.8915374576725643</v>
      </c>
      <c r="J80" s="43">
        <v>2.3541084391474008</v>
      </c>
      <c r="Z80" s="43"/>
      <c r="AA80" s="43"/>
    </row>
    <row r="81" spans="1:27" x14ac:dyDescent="0.25">
      <c r="A81" s="49" t="s">
        <v>176</v>
      </c>
      <c r="B81" s="9">
        <v>80</v>
      </c>
      <c r="C81" s="4">
        <v>0.95424250943932487</v>
      </c>
      <c r="D81" s="4">
        <v>0.95424250943932487</v>
      </c>
      <c r="E81" s="4">
        <v>0.77815125038364363</v>
      </c>
      <c r="F81" s="4">
        <v>0.77815125038364363</v>
      </c>
      <c r="G81" s="43">
        <v>0.3010299956639812</v>
      </c>
      <c r="H81" s="43">
        <v>0.3010299956639812</v>
      </c>
      <c r="I81" s="43">
        <v>0.47712125471966244</v>
      </c>
      <c r="J81" s="43">
        <v>0.47712125471966244</v>
      </c>
      <c r="Z81" s="43"/>
      <c r="AA81" s="43"/>
    </row>
    <row r="82" spans="1:27" x14ac:dyDescent="0.25">
      <c r="A82" s="49" t="s">
        <v>174</v>
      </c>
      <c r="B82" s="9">
        <v>81</v>
      </c>
      <c r="C82" s="4">
        <v>0.77815125038364363</v>
      </c>
      <c r="D82" s="4">
        <v>0.77815125038364363</v>
      </c>
      <c r="E82" s="4">
        <v>0.77815125038364363</v>
      </c>
      <c r="F82" s="4">
        <v>0.77815125038364363</v>
      </c>
      <c r="G82" s="43">
        <v>0</v>
      </c>
      <c r="H82" s="43">
        <v>0</v>
      </c>
      <c r="I82" s="43">
        <v>0</v>
      </c>
      <c r="J82" s="43">
        <v>0</v>
      </c>
      <c r="Z82" s="43"/>
      <c r="AA82" s="43"/>
    </row>
    <row r="83" spans="1:27" x14ac:dyDescent="0.25">
      <c r="A83" s="49" t="s">
        <v>174</v>
      </c>
      <c r="B83" s="9">
        <v>82</v>
      </c>
      <c r="C83" s="4">
        <v>0.77815125038364363</v>
      </c>
      <c r="D83" s="4">
        <v>0.77815125038364363</v>
      </c>
      <c r="E83" s="4">
        <v>0.69897000433601886</v>
      </c>
      <c r="F83" s="4">
        <v>0.69897000433601886</v>
      </c>
      <c r="G83" s="43">
        <v>0.3010299956639812</v>
      </c>
      <c r="H83" s="43">
        <v>0.3010299956639812</v>
      </c>
      <c r="I83" s="43">
        <v>0</v>
      </c>
      <c r="J83" s="43">
        <v>0</v>
      </c>
      <c r="Z83" s="43"/>
      <c r="AA83" s="43"/>
    </row>
    <row r="84" spans="1:27" x14ac:dyDescent="0.25">
      <c r="A84" s="49" t="s">
        <v>171</v>
      </c>
      <c r="B84" s="9">
        <v>83</v>
      </c>
      <c r="C84" s="4">
        <v>2.6866362692622934</v>
      </c>
      <c r="D84" s="4">
        <v>2.2355284469075487</v>
      </c>
      <c r="E84" s="4">
        <v>0.69897000433601886</v>
      </c>
      <c r="F84" s="4">
        <v>0.69897000433601886</v>
      </c>
      <c r="G84" s="43">
        <v>0.47712125471966244</v>
      </c>
      <c r="H84" s="43">
        <v>0.47712125471966244</v>
      </c>
      <c r="I84" s="43">
        <v>2.6812412373755872</v>
      </c>
      <c r="J84" s="43">
        <v>2.220108088040055</v>
      </c>
      <c r="Z84" s="43"/>
      <c r="AA84" s="43"/>
    </row>
    <row r="85" spans="1:27" x14ac:dyDescent="0.25">
      <c r="A85" s="49" t="s">
        <v>171</v>
      </c>
      <c r="B85" s="9">
        <v>84</v>
      </c>
      <c r="C85" s="4">
        <v>0</v>
      </c>
      <c r="D85" s="4">
        <v>0</v>
      </c>
      <c r="E85" s="4">
        <v>0</v>
      </c>
      <c r="F85" s="4">
        <v>0</v>
      </c>
      <c r="G85" s="43">
        <v>0</v>
      </c>
      <c r="H85" s="43">
        <v>0</v>
      </c>
      <c r="I85" s="43">
        <v>0</v>
      </c>
      <c r="J85" s="43">
        <v>0</v>
      </c>
      <c r="Z85" s="43"/>
      <c r="AA85" s="43"/>
    </row>
    <row r="86" spans="1:27" x14ac:dyDescent="0.25">
      <c r="A86" s="49" t="s">
        <v>169</v>
      </c>
      <c r="B86" s="9">
        <v>85</v>
      </c>
      <c r="C86" s="4">
        <v>1.9344984512435677</v>
      </c>
      <c r="D86" s="4">
        <v>1.8512583487190752</v>
      </c>
      <c r="E86" s="4">
        <v>0.69897000433601886</v>
      </c>
      <c r="F86" s="4">
        <v>0.69897000433601886</v>
      </c>
      <c r="G86" s="43">
        <v>0.69897000433601886</v>
      </c>
      <c r="H86" s="43">
        <v>0.69897000433601886</v>
      </c>
      <c r="I86" s="43">
        <v>1.8920946026904804</v>
      </c>
      <c r="J86" s="43">
        <v>1.7993405494535817</v>
      </c>
      <c r="Z86" s="43"/>
      <c r="AA86" s="43"/>
    </row>
    <row r="87" spans="1:27" x14ac:dyDescent="0.25">
      <c r="A87" s="49" t="s">
        <v>169</v>
      </c>
      <c r="B87" s="9">
        <v>86</v>
      </c>
      <c r="C87" s="4">
        <v>2.7024305364455254</v>
      </c>
      <c r="D87" s="4">
        <v>2.2455126678141499</v>
      </c>
      <c r="E87" s="4">
        <v>0.6020599913279624</v>
      </c>
      <c r="F87" s="4">
        <v>0.6020599913279624</v>
      </c>
      <c r="G87" s="43">
        <v>0.47712125471966244</v>
      </c>
      <c r="H87" s="43">
        <v>0.47712125471966244</v>
      </c>
      <c r="I87" s="43">
        <v>2.6981005456233897</v>
      </c>
      <c r="J87" s="43">
        <v>2.2329961103921536</v>
      </c>
      <c r="Z87" s="43"/>
      <c r="AA87" s="43"/>
    </row>
    <row r="88" spans="1:27" x14ac:dyDescent="0.25">
      <c r="A88" s="49" t="s">
        <v>179</v>
      </c>
      <c r="B88" s="9">
        <v>87</v>
      </c>
      <c r="C88" s="4">
        <v>1.1760912590556813</v>
      </c>
      <c r="D88" s="4">
        <v>1.146128035678238</v>
      </c>
      <c r="E88" s="4">
        <v>1</v>
      </c>
      <c r="F88" s="4">
        <v>1</v>
      </c>
      <c r="G88" s="43">
        <v>0.47712125471966244</v>
      </c>
      <c r="H88" s="43">
        <v>0.47712125471966244</v>
      </c>
      <c r="I88" s="43">
        <v>0.6020599913279624</v>
      </c>
      <c r="J88" s="43">
        <v>0.47712125471966244</v>
      </c>
      <c r="Z88" s="43"/>
      <c r="AA88" s="43"/>
    </row>
    <row r="89" spans="1:27" x14ac:dyDescent="0.25">
      <c r="A89" s="49" t="s">
        <v>179</v>
      </c>
      <c r="B89" s="9">
        <v>88</v>
      </c>
      <c r="C89" s="4">
        <v>0.69897000433601886</v>
      </c>
      <c r="D89" s="4">
        <v>0.69897000433601886</v>
      </c>
      <c r="E89" s="4">
        <v>0.47712125471966244</v>
      </c>
      <c r="F89" s="4">
        <v>0.47712125471966244</v>
      </c>
      <c r="G89" s="43">
        <v>0</v>
      </c>
      <c r="H89" s="43">
        <v>0</v>
      </c>
      <c r="I89" s="43">
        <v>0.47712125471966244</v>
      </c>
      <c r="J89" s="43">
        <v>0.47712125471966244</v>
      </c>
      <c r="Z89" s="43"/>
      <c r="AA89" s="43"/>
    </row>
    <row r="90" spans="1:27" x14ac:dyDescent="0.25">
      <c r="A90" s="49" t="s">
        <v>174</v>
      </c>
      <c r="B90" s="9">
        <v>89</v>
      </c>
      <c r="C90" s="4">
        <v>3.7769915848564048</v>
      </c>
      <c r="D90" s="4">
        <v>3.1370374547895126</v>
      </c>
      <c r="E90" s="4">
        <v>3.1917303933628562</v>
      </c>
      <c r="F90" s="4">
        <v>2.5693739096150461</v>
      </c>
      <c r="G90" s="43">
        <v>3.3457656931144881</v>
      </c>
      <c r="H90" s="43">
        <v>2.6998377258672459</v>
      </c>
      <c r="I90" s="43">
        <v>3.3451776165427041</v>
      </c>
      <c r="J90" s="43">
        <v>2.6998377258672459</v>
      </c>
      <c r="Z90" s="43"/>
      <c r="AA90" s="43"/>
    </row>
    <row r="91" spans="1:27" x14ac:dyDescent="0.25">
      <c r="A91" s="49" t="s">
        <v>165</v>
      </c>
      <c r="B91" s="9">
        <v>90</v>
      </c>
      <c r="C91" s="4">
        <v>0.77815125038364363</v>
      </c>
      <c r="D91" s="4">
        <v>0.77815125038364363</v>
      </c>
      <c r="E91" s="4">
        <v>0.69897000433601886</v>
      </c>
      <c r="F91" s="4">
        <v>0.69897000433601886</v>
      </c>
      <c r="G91" s="43">
        <v>0.3010299956639812</v>
      </c>
      <c r="H91" s="43">
        <v>0.3010299956639812</v>
      </c>
      <c r="I91" s="43">
        <v>0</v>
      </c>
      <c r="J91" s="43">
        <v>0</v>
      </c>
      <c r="Z91" s="43"/>
      <c r="AA91" s="43"/>
    </row>
    <row r="92" spans="1:27" x14ac:dyDescent="0.25">
      <c r="A92" s="49" t="s">
        <v>172</v>
      </c>
      <c r="B92" s="9">
        <v>91</v>
      </c>
      <c r="C92" s="4">
        <v>3.5705429398818973</v>
      </c>
      <c r="D92" s="4">
        <v>2.9758911364017928</v>
      </c>
      <c r="E92" s="4">
        <v>2.4785664955938436</v>
      </c>
      <c r="F92" s="4">
        <v>2.1105897102992488</v>
      </c>
      <c r="G92" s="43">
        <v>3.2337573629655103</v>
      </c>
      <c r="H92" s="43">
        <v>2.6127838567197355</v>
      </c>
      <c r="I92" s="43">
        <v>3.2324878663529861</v>
      </c>
      <c r="J92" s="43">
        <v>2.6117233080073419</v>
      </c>
      <c r="Z92" s="43"/>
      <c r="AA92" s="43"/>
    </row>
    <row r="93" spans="1:27" x14ac:dyDescent="0.25">
      <c r="A93" s="49" t="s">
        <v>172</v>
      </c>
      <c r="B93" s="9">
        <v>92</v>
      </c>
      <c r="C93" s="4">
        <v>0.6020599913279624</v>
      </c>
      <c r="D93" s="4">
        <v>0.6020599913279624</v>
      </c>
      <c r="E93" s="4">
        <v>0.47712125471966244</v>
      </c>
      <c r="F93" s="4">
        <v>0.47712125471966244</v>
      </c>
      <c r="G93" s="43">
        <v>0.3010299956639812</v>
      </c>
      <c r="H93" s="43">
        <v>0.3010299956639812</v>
      </c>
      <c r="I93" s="43">
        <v>0</v>
      </c>
      <c r="J93" s="43">
        <v>0</v>
      </c>
      <c r="Z93" s="43"/>
      <c r="AA93" s="43"/>
    </row>
    <row r="94" spans="1:27" x14ac:dyDescent="0.25">
      <c r="A94" s="49" t="s">
        <v>168</v>
      </c>
      <c r="B94" s="9">
        <v>93</v>
      </c>
      <c r="C94" s="4">
        <v>2.7664128471123997</v>
      </c>
      <c r="D94" s="4">
        <v>2.4913616938342726</v>
      </c>
      <c r="E94" s="4">
        <v>2.0334237554869499</v>
      </c>
      <c r="F94" s="4">
        <v>1.8864907251724818</v>
      </c>
      <c r="G94" s="43">
        <v>2.4456042032735974</v>
      </c>
      <c r="H94" s="43">
        <v>2.0969100130080562</v>
      </c>
      <c r="I94" s="43">
        <v>2.2988530764097068</v>
      </c>
      <c r="J94" s="43">
        <v>2.0453229787866576</v>
      </c>
      <c r="Z94" s="43"/>
      <c r="AA94" s="43"/>
    </row>
    <row r="95" spans="1:27" x14ac:dyDescent="0.25">
      <c r="A95" s="49" t="s">
        <v>168</v>
      </c>
      <c r="B95" s="9">
        <v>94</v>
      </c>
      <c r="C95" s="4">
        <v>3.114610984232173</v>
      </c>
      <c r="D95" s="4">
        <v>2.663700925389648</v>
      </c>
      <c r="E95" s="4">
        <v>2.2329961103921536</v>
      </c>
      <c r="F95" s="4">
        <v>2.0170333392987803</v>
      </c>
      <c r="G95" s="43">
        <v>2.8549130223078554</v>
      </c>
      <c r="H95" s="43">
        <v>2.3222192947339191</v>
      </c>
      <c r="I95" s="43">
        <v>2.6201360549737576</v>
      </c>
      <c r="J95" s="43">
        <v>2.1760912590556813</v>
      </c>
      <c r="Z95" s="43"/>
      <c r="AA95" s="43"/>
    </row>
    <row r="96" spans="1:27" x14ac:dyDescent="0.25">
      <c r="A96" s="49" t="s">
        <v>175</v>
      </c>
      <c r="B96" s="9">
        <v>95</v>
      </c>
      <c r="C96" s="4">
        <v>0.84509804001425681</v>
      </c>
      <c r="D96" s="4">
        <v>0.84509804001425681</v>
      </c>
      <c r="E96" s="4">
        <v>0.47712125471966244</v>
      </c>
      <c r="F96" s="4">
        <v>0.47712125471966244</v>
      </c>
      <c r="G96" s="43">
        <v>0.6020599913279624</v>
      </c>
      <c r="H96" s="43">
        <v>0.6020599913279624</v>
      </c>
      <c r="I96" s="43">
        <v>0.3010299956639812</v>
      </c>
      <c r="J96" s="43">
        <v>0.3010299956639812</v>
      </c>
      <c r="Z96" s="43"/>
      <c r="AA96" s="43"/>
    </row>
    <row r="97" spans="1:27" x14ac:dyDescent="0.25">
      <c r="A97" s="49" t="s">
        <v>175</v>
      </c>
      <c r="B97" s="9">
        <v>96</v>
      </c>
      <c r="C97" s="4">
        <v>0.69897000433601886</v>
      </c>
      <c r="D97" s="4">
        <v>0.6020599913279624</v>
      </c>
      <c r="E97" s="4">
        <v>0.6020599913279624</v>
      </c>
      <c r="F97" s="4">
        <v>0.47712125471966244</v>
      </c>
      <c r="G97" s="43">
        <v>0.3010299956639812</v>
      </c>
      <c r="H97" s="43">
        <v>0.3010299956639812</v>
      </c>
      <c r="I97" s="43">
        <v>0</v>
      </c>
      <c r="J97" s="43">
        <v>0</v>
      </c>
      <c r="Z97" s="43"/>
      <c r="AA97" s="43"/>
    </row>
    <row r="98" spans="1:27" x14ac:dyDescent="0.25">
      <c r="A98" s="49" t="s">
        <v>170</v>
      </c>
      <c r="B98" s="9">
        <v>97</v>
      </c>
      <c r="C98" s="4">
        <v>0.69897000433601886</v>
      </c>
      <c r="D98" s="4">
        <v>0.69897000433601886</v>
      </c>
      <c r="E98" s="4">
        <v>0.47712125471966244</v>
      </c>
      <c r="F98" s="4">
        <v>0.47712125471966244</v>
      </c>
      <c r="G98" s="43">
        <v>0.3010299956639812</v>
      </c>
      <c r="H98" s="43">
        <v>0.3010299956639812</v>
      </c>
      <c r="I98" s="43">
        <v>0.3010299956639812</v>
      </c>
      <c r="J98" s="43">
        <v>0.3010299956639812</v>
      </c>
      <c r="Z98" s="43"/>
      <c r="AA98" s="43"/>
    </row>
    <row r="99" spans="1:27" x14ac:dyDescent="0.25">
      <c r="A99" s="49" t="s">
        <v>170</v>
      </c>
      <c r="B99" s="9">
        <v>98</v>
      </c>
      <c r="C99" s="4">
        <v>0.69897000433601886</v>
      </c>
      <c r="D99" s="4">
        <v>0.69897000433601886</v>
      </c>
      <c r="E99" s="4">
        <v>0.47712125471966244</v>
      </c>
      <c r="F99" s="4">
        <v>0.47712125471966244</v>
      </c>
      <c r="G99" s="43">
        <v>0.47712125471966244</v>
      </c>
      <c r="H99" s="43">
        <v>0.47712125471966244</v>
      </c>
      <c r="I99" s="43">
        <v>0</v>
      </c>
      <c r="J99" s="43">
        <v>0</v>
      </c>
      <c r="Z99" s="43"/>
      <c r="AA99" s="43"/>
    </row>
    <row r="100" spans="1:27" x14ac:dyDescent="0.25">
      <c r="A100" s="49" t="s">
        <v>170</v>
      </c>
      <c r="B100" s="9">
        <v>99</v>
      </c>
      <c r="C100" s="4">
        <v>0.3010299956639812</v>
      </c>
      <c r="D100" s="4">
        <v>0.3010299956639812</v>
      </c>
      <c r="E100" s="4">
        <v>0.3010299956639812</v>
      </c>
      <c r="F100" s="4">
        <v>0.3010299956639812</v>
      </c>
      <c r="G100" s="43">
        <v>0</v>
      </c>
      <c r="H100" s="43">
        <v>0</v>
      </c>
      <c r="I100" s="43">
        <v>0</v>
      </c>
      <c r="J100" s="43">
        <v>0</v>
      </c>
      <c r="Z100" s="43"/>
      <c r="AA100" s="43"/>
    </row>
    <row r="101" spans="1:27" x14ac:dyDescent="0.25">
      <c r="A101" s="49" t="s">
        <v>165</v>
      </c>
      <c r="B101" s="9">
        <v>100</v>
      </c>
      <c r="C101" s="4">
        <v>3.7298934039632377</v>
      </c>
      <c r="D101" s="4">
        <v>3.0802656273398448</v>
      </c>
      <c r="E101" s="4">
        <v>3.2362852774480286</v>
      </c>
      <c r="F101" s="4">
        <v>2.6009728956867484</v>
      </c>
      <c r="G101" s="43">
        <v>3.2645817292380777</v>
      </c>
      <c r="H101" s="43">
        <v>2.6117233080073419</v>
      </c>
      <c r="I101" s="43">
        <v>3.2574385668598138</v>
      </c>
      <c r="J101" s="43">
        <v>2.5987905067631152</v>
      </c>
      <c r="Z101" s="43"/>
      <c r="AA101" s="43"/>
    </row>
    <row r="102" spans="1:27" x14ac:dyDescent="0.25">
      <c r="A102" s="49" t="s">
        <v>165</v>
      </c>
      <c r="B102" s="9">
        <v>101</v>
      </c>
      <c r="C102" s="4">
        <v>3.6047658847038875</v>
      </c>
      <c r="D102" s="4">
        <v>2.993876914941211</v>
      </c>
      <c r="E102" s="4">
        <v>3.256717745977487</v>
      </c>
      <c r="F102" s="4">
        <v>2.6242820958356683</v>
      </c>
      <c r="G102" s="43">
        <v>3.0849335749367159</v>
      </c>
      <c r="H102" s="43">
        <v>2.4842998393467859</v>
      </c>
      <c r="I102" s="43">
        <v>3.0021660617565078</v>
      </c>
      <c r="J102" s="43">
        <v>2.4183012913197452</v>
      </c>
      <c r="Z102" s="43"/>
      <c r="AA102" s="43"/>
    </row>
    <row r="103" spans="1:27" x14ac:dyDescent="0.25">
      <c r="A103" s="49" t="s">
        <v>171</v>
      </c>
      <c r="B103" s="9">
        <v>102</v>
      </c>
      <c r="C103" s="4">
        <v>3.6376898191184011</v>
      </c>
      <c r="D103" s="4">
        <v>3.0182843084265309</v>
      </c>
      <c r="E103" s="4">
        <v>3.0969100130080562</v>
      </c>
      <c r="F103" s="4">
        <v>2.4941545940184429</v>
      </c>
      <c r="G103" s="43">
        <v>3.1528995963937474</v>
      </c>
      <c r="H103" s="43">
        <v>2.5340261060561349</v>
      </c>
      <c r="I103" s="43">
        <v>3.2232362731029975</v>
      </c>
      <c r="J103" s="43">
        <v>2.5921767573958667</v>
      </c>
      <c r="Z103" s="43"/>
      <c r="AA103" s="43"/>
    </row>
    <row r="104" spans="1:27" x14ac:dyDescent="0.25">
      <c r="A104" s="49" t="s">
        <v>171</v>
      </c>
      <c r="B104" s="9">
        <v>103</v>
      </c>
      <c r="C104" s="4">
        <v>3.5404546136714119</v>
      </c>
      <c r="D104" s="4">
        <v>2.9415114326344032</v>
      </c>
      <c r="E104" s="4">
        <v>3.003029470553618</v>
      </c>
      <c r="F104" s="4">
        <v>2.4183012913197452</v>
      </c>
      <c r="G104" s="43">
        <v>3.1306553490220308</v>
      </c>
      <c r="H104" s="43">
        <v>2.5171958979499744</v>
      </c>
      <c r="I104" s="43">
        <v>3.0472748673841794</v>
      </c>
      <c r="J104" s="43">
        <v>2.4548448600085102</v>
      </c>
      <c r="Z104" s="43"/>
      <c r="AA104" s="43"/>
    </row>
    <row r="105" spans="1:27" x14ac:dyDescent="0.25">
      <c r="A105" s="49" t="s">
        <v>171</v>
      </c>
      <c r="B105" s="9">
        <v>104</v>
      </c>
      <c r="C105" s="4">
        <v>0.95424250943932487</v>
      </c>
      <c r="D105" s="4">
        <v>0.90308998699194354</v>
      </c>
      <c r="E105" s="4">
        <v>0.69897000433601886</v>
      </c>
      <c r="F105" s="4">
        <v>0.69897000433601886</v>
      </c>
      <c r="G105" s="43">
        <v>0</v>
      </c>
      <c r="H105" s="43">
        <v>0</v>
      </c>
      <c r="I105" s="43">
        <v>0.69897000433601886</v>
      </c>
      <c r="J105" s="43">
        <v>0.6020599913279624</v>
      </c>
      <c r="Z105" s="43"/>
      <c r="AA105" s="43"/>
    </row>
    <row r="106" spans="1:27" x14ac:dyDescent="0.25">
      <c r="A106" s="49" t="s">
        <v>177</v>
      </c>
      <c r="B106" s="9">
        <v>105</v>
      </c>
      <c r="C106" s="4">
        <v>1</v>
      </c>
      <c r="D106" s="4">
        <v>1</v>
      </c>
      <c r="E106" s="4">
        <v>0.69897000433601886</v>
      </c>
      <c r="F106" s="4">
        <v>0.69897000433601886</v>
      </c>
      <c r="G106" s="43">
        <v>0.3010299956639812</v>
      </c>
      <c r="H106" s="43">
        <v>0.3010299956639812</v>
      </c>
      <c r="I106" s="43">
        <v>0.69897000433601886</v>
      </c>
      <c r="J106" s="43">
        <v>0.69897000433601886</v>
      </c>
      <c r="Z106" s="43"/>
      <c r="AA106" s="43"/>
    </row>
    <row r="107" spans="1:27" x14ac:dyDescent="0.25">
      <c r="A107" s="49" t="s">
        <v>177</v>
      </c>
      <c r="B107" s="9">
        <v>106</v>
      </c>
      <c r="C107" s="4">
        <v>2.3598354823398879</v>
      </c>
      <c r="D107" s="4">
        <v>2.1789769472931693</v>
      </c>
      <c r="E107" s="4">
        <v>1.3010299956639813</v>
      </c>
      <c r="F107" s="4">
        <v>1.2787536009528289</v>
      </c>
      <c r="G107" s="43">
        <v>1.5440680443502757</v>
      </c>
      <c r="H107" s="43">
        <v>1.505149978319906</v>
      </c>
      <c r="I107" s="43">
        <v>2.2455126678141499</v>
      </c>
      <c r="J107" s="43">
        <v>2.0086001717619175</v>
      </c>
      <c r="Z107" s="43"/>
      <c r="AA107" s="43"/>
    </row>
    <row r="108" spans="1:27" x14ac:dyDescent="0.25">
      <c r="A108" s="49" t="s">
        <v>174</v>
      </c>
      <c r="B108" s="9">
        <v>107</v>
      </c>
      <c r="C108" s="4">
        <v>1.6812412373755872</v>
      </c>
      <c r="D108" s="4">
        <v>1.6434526764861874</v>
      </c>
      <c r="E108" s="4">
        <v>0.77815125038364363</v>
      </c>
      <c r="F108" s="4">
        <v>0.77815125038364363</v>
      </c>
      <c r="G108" s="43">
        <v>0.3010299956639812</v>
      </c>
      <c r="H108" s="43">
        <v>0.3010299956639812</v>
      </c>
      <c r="I108" s="43">
        <v>1.6232492903979006</v>
      </c>
      <c r="J108" s="43">
        <v>1.5797835966168101</v>
      </c>
      <c r="Z108" s="43"/>
      <c r="AA108" s="43"/>
    </row>
    <row r="109" spans="1:27" x14ac:dyDescent="0.25">
      <c r="A109" s="49" t="s">
        <v>174</v>
      </c>
      <c r="B109" s="9">
        <v>108</v>
      </c>
      <c r="C109" s="4">
        <v>0.84509804001425681</v>
      </c>
      <c r="D109" s="4">
        <v>0.84509804001425681</v>
      </c>
      <c r="E109" s="4">
        <v>0.69897000433601886</v>
      </c>
      <c r="F109" s="4">
        <v>0.69897000433601886</v>
      </c>
      <c r="G109" s="43">
        <v>0.3010299956639812</v>
      </c>
      <c r="H109" s="43">
        <v>0.3010299956639812</v>
      </c>
      <c r="I109" s="43">
        <v>0.3010299956639812</v>
      </c>
      <c r="J109" s="43">
        <v>0.3010299956639812</v>
      </c>
      <c r="Z109" s="43"/>
      <c r="AA109" s="43"/>
    </row>
    <row r="110" spans="1:27" x14ac:dyDescent="0.25">
      <c r="A110" s="49" t="s">
        <v>171</v>
      </c>
      <c r="B110" s="9">
        <v>109</v>
      </c>
      <c r="C110" s="4">
        <v>3.7062055418819706</v>
      </c>
      <c r="D110" s="4">
        <v>3.0799044676667209</v>
      </c>
      <c r="E110" s="4">
        <v>3.0546130545568877</v>
      </c>
      <c r="F110" s="4">
        <v>2.4638929889859074</v>
      </c>
      <c r="G110" s="43">
        <v>3.2828486028346449</v>
      </c>
      <c r="H110" s="43">
        <v>2.6454222693490919</v>
      </c>
      <c r="I110" s="43">
        <v>3.308350948586726</v>
      </c>
      <c r="J110" s="43">
        <v>2.6730209071288962</v>
      </c>
      <c r="Z110" s="43"/>
      <c r="AA110" s="43"/>
    </row>
    <row r="111" spans="1:27" x14ac:dyDescent="0.25">
      <c r="A111" s="49" t="s">
        <v>171</v>
      </c>
      <c r="B111" s="9">
        <v>110</v>
      </c>
      <c r="C111" s="4">
        <v>3.274850320016665</v>
      </c>
      <c r="D111" s="4">
        <v>2.7634279935629373</v>
      </c>
      <c r="E111" s="4">
        <v>2.6404814369704219</v>
      </c>
      <c r="F111" s="4">
        <v>2.1931245983544616</v>
      </c>
      <c r="G111" s="43">
        <v>2.8555191556678001</v>
      </c>
      <c r="H111" s="43">
        <v>2.3263358609287512</v>
      </c>
      <c r="I111" s="43">
        <v>2.8639173769578603</v>
      </c>
      <c r="J111" s="43">
        <v>2.330413773349191</v>
      </c>
      <c r="Z111" s="43"/>
      <c r="AA111" s="43"/>
    </row>
    <row r="112" spans="1:27" x14ac:dyDescent="0.25">
      <c r="A112" s="49" t="s">
        <v>171</v>
      </c>
      <c r="B112" s="9">
        <v>111</v>
      </c>
      <c r="C112" s="4">
        <v>3.7044936970092985</v>
      </c>
      <c r="D112" s="4">
        <v>3.0711452904510828</v>
      </c>
      <c r="E112" s="4">
        <v>3.2135177569963047</v>
      </c>
      <c r="F112" s="4">
        <v>2.5865873046717551</v>
      </c>
      <c r="G112" s="43">
        <v>3.2054750367408911</v>
      </c>
      <c r="H112" s="43">
        <v>2.576341350205793</v>
      </c>
      <c r="I112" s="43">
        <v>3.2615007731982804</v>
      </c>
      <c r="J112" s="43">
        <v>2.6201360549737576</v>
      </c>
      <c r="Z112" s="43"/>
      <c r="AA112" s="43"/>
    </row>
    <row r="113" spans="1:27" x14ac:dyDescent="0.25">
      <c r="A113" s="49" t="s">
        <v>104</v>
      </c>
      <c r="B113" s="9">
        <v>112</v>
      </c>
      <c r="C113" s="4">
        <v>3.7573200965466724</v>
      </c>
      <c r="D113" s="4">
        <v>3.1280760126687155</v>
      </c>
      <c r="E113" s="4">
        <v>3.1649473726218416</v>
      </c>
      <c r="F113" s="4">
        <v>2.5550944485783194</v>
      </c>
      <c r="G113" s="43">
        <v>3.3362595520141931</v>
      </c>
      <c r="H113" s="43">
        <v>2.6998377258672459</v>
      </c>
      <c r="I113" s="43">
        <v>3.3201462861110542</v>
      </c>
      <c r="J113" s="43">
        <v>2.6857417386022635</v>
      </c>
      <c r="Z113" s="43"/>
      <c r="AA113" s="43"/>
    </row>
    <row r="114" spans="1:27" x14ac:dyDescent="0.25">
      <c r="A114" s="49" t="s">
        <v>104</v>
      </c>
      <c r="B114" s="9">
        <v>113</v>
      </c>
      <c r="C114" s="4">
        <v>3.8185557792978027</v>
      </c>
      <c r="D114" s="4">
        <v>3.1763806922432702</v>
      </c>
      <c r="E114" s="4">
        <v>3.3410386316775229</v>
      </c>
      <c r="F114" s="4">
        <v>2.6998377258672459</v>
      </c>
      <c r="G114" s="43">
        <v>3.3432115901797474</v>
      </c>
      <c r="H114" s="43">
        <v>2.6998377258672459</v>
      </c>
      <c r="I114" s="43">
        <v>3.3404441148401185</v>
      </c>
      <c r="J114" s="43">
        <v>2.6998377258672459</v>
      </c>
      <c r="Z114" s="43"/>
      <c r="AA114" s="43"/>
    </row>
    <row r="115" spans="1:27" x14ac:dyDescent="0.25">
      <c r="A115" s="49" t="s">
        <v>105</v>
      </c>
      <c r="B115" s="9">
        <v>114</v>
      </c>
      <c r="C115" s="4">
        <v>0.90308998699194354</v>
      </c>
      <c r="D115" s="4">
        <v>0.90308998699194354</v>
      </c>
      <c r="E115" s="4">
        <v>0.69897000433601886</v>
      </c>
      <c r="F115" s="4">
        <v>0.69897000433601886</v>
      </c>
      <c r="G115" s="43">
        <v>0.47712125471966244</v>
      </c>
      <c r="H115" s="43">
        <v>0.47712125471966244</v>
      </c>
      <c r="I115" s="43">
        <v>0.3010299956639812</v>
      </c>
      <c r="J115" s="43">
        <v>0.3010299956639812</v>
      </c>
      <c r="Z115" s="43"/>
      <c r="AA115" s="43"/>
    </row>
    <row r="116" spans="1:27" x14ac:dyDescent="0.25">
      <c r="A116" s="49" t="s">
        <v>105</v>
      </c>
      <c r="B116" s="9">
        <v>115</v>
      </c>
      <c r="C116" s="4">
        <v>3.2043913319192998</v>
      </c>
      <c r="D116" s="4">
        <v>2.720159303405957</v>
      </c>
      <c r="E116" s="4">
        <v>2.6127838567197355</v>
      </c>
      <c r="F116" s="4">
        <v>2.1789769472931693</v>
      </c>
      <c r="G116" s="43">
        <v>2.8331471119127851</v>
      </c>
      <c r="H116" s="43">
        <v>2.3117538610557542</v>
      </c>
      <c r="I116" s="43">
        <v>2.7092699609758308</v>
      </c>
      <c r="J116" s="43">
        <v>2.2329961103921536</v>
      </c>
      <c r="Z116" s="43"/>
      <c r="AA116" s="43"/>
    </row>
    <row r="117" spans="1:27" x14ac:dyDescent="0.25">
      <c r="A117" s="49" t="s">
        <v>106</v>
      </c>
      <c r="B117" s="9">
        <v>116</v>
      </c>
      <c r="C117" s="4">
        <v>3.8075350280688531</v>
      </c>
      <c r="D117" s="4">
        <v>3.1728946977521764</v>
      </c>
      <c r="E117" s="4">
        <v>3.3218054838575393</v>
      </c>
      <c r="F117" s="4">
        <v>2.6893088591236203</v>
      </c>
      <c r="G117" s="43">
        <v>3.3334472744967503</v>
      </c>
      <c r="H117" s="43">
        <v>2.6998377258672459</v>
      </c>
      <c r="I117" s="43">
        <v>3.3362595520141931</v>
      </c>
      <c r="J117" s="43">
        <v>2.6998377258672459</v>
      </c>
      <c r="Z117" s="43"/>
      <c r="AA117" s="43"/>
    </row>
    <row r="118" spans="1:27" x14ac:dyDescent="0.25">
      <c r="A118" s="49" t="s">
        <v>106</v>
      </c>
      <c r="B118" s="9">
        <v>117</v>
      </c>
      <c r="C118" s="4">
        <v>3.8358807318173946</v>
      </c>
      <c r="D118" s="4">
        <v>3.1763806922432702</v>
      </c>
      <c r="E118" s="4">
        <v>3.3461573022320081</v>
      </c>
      <c r="F118" s="4">
        <v>2.6998377258672459</v>
      </c>
      <c r="G118" s="43">
        <v>3.3546845539547285</v>
      </c>
      <c r="H118" s="43">
        <v>2.6998377258672459</v>
      </c>
      <c r="I118" s="43">
        <v>3.375297738217339</v>
      </c>
      <c r="J118" s="43">
        <v>2.6998377258672459</v>
      </c>
      <c r="Z118" s="43"/>
      <c r="AA118" s="43"/>
    </row>
    <row r="119" spans="1:27" x14ac:dyDescent="0.25">
      <c r="A119" s="49" t="s">
        <v>56</v>
      </c>
      <c r="B119" s="9">
        <v>118</v>
      </c>
      <c r="C119" s="4">
        <v>3.81544491624435</v>
      </c>
      <c r="D119" s="4">
        <v>3.1658376246901283</v>
      </c>
      <c r="E119" s="4">
        <v>3.307496037913213</v>
      </c>
      <c r="F119" s="4">
        <v>2.667452952889954</v>
      </c>
      <c r="G119" s="43">
        <v>3.3481100684802376</v>
      </c>
      <c r="H119" s="43">
        <v>2.6998377258672459</v>
      </c>
      <c r="I119" s="43">
        <v>3.3581252852766488</v>
      </c>
      <c r="J119" s="43">
        <v>2.6998377258672459</v>
      </c>
      <c r="Z119" s="43"/>
      <c r="AA119" s="43"/>
    </row>
    <row r="120" spans="1:27" x14ac:dyDescent="0.25">
      <c r="A120" s="49" t="s">
        <v>56</v>
      </c>
      <c r="B120" s="9">
        <v>119</v>
      </c>
      <c r="C120" s="4">
        <v>3.6917002082901615</v>
      </c>
      <c r="D120" s="4">
        <v>3.0511525224473814</v>
      </c>
      <c r="E120" s="4">
        <v>2.4533183400470375</v>
      </c>
      <c r="F120" s="4">
        <v>2.0969100130080562</v>
      </c>
      <c r="G120" s="43">
        <v>3.3571722577230334</v>
      </c>
      <c r="H120" s="43">
        <v>2.6998377258672459</v>
      </c>
      <c r="I120" s="43">
        <v>3.3727279408855955</v>
      </c>
      <c r="J120" s="43">
        <v>2.6998377258672459</v>
      </c>
      <c r="Z120" s="43"/>
      <c r="AA120" s="43"/>
    </row>
    <row r="121" spans="1:27" x14ac:dyDescent="0.25">
      <c r="A121" s="49" t="s">
        <v>55</v>
      </c>
      <c r="B121" s="9">
        <v>120</v>
      </c>
      <c r="C121" s="4">
        <v>3.0580462303952816</v>
      </c>
      <c r="D121" s="4">
        <v>2.6394864892685859</v>
      </c>
      <c r="E121" s="4">
        <v>2.1789769472931693</v>
      </c>
      <c r="F121" s="4">
        <v>1.9956351945975499</v>
      </c>
      <c r="G121" s="43">
        <v>2.8992731873176036</v>
      </c>
      <c r="H121" s="43">
        <v>2.3598354823398879</v>
      </c>
      <c r="I121" s="43">
        <v>2.3031960574204891</v>
      </c>
      <c r="J121" s="43">
        <v>2.0413926851582249</v>
      </c>
      <c r="Z121" s="43"/>
      <c r="AA121" s="43"/>
    </row>
    <row r="122" spans="1:27" x14ac:dyDescent="0.25">
      <c r="A122" s="49" t="s">
        <v>55</v>
      </c>
      <c r="B122" s="9">
        <v>121</v>
      </c>
      <c r="C122" s="4">
        <v>2.5065050324048719</v>
      </c>
      <c r="D122" s="4">
        <v>2.271841606536499</v>
      </c>
      <c r="E122" s="4">
        <v>0.84509804001425681</v>
      </c>
      <c r="F122" s="4">
        <v>0.84509804001425681</v>
      </c>
      <c r="G122" s="43">
        <v>1.8976270912904414</v>
      </c>
      <c r="H122" s="43">
        <v>1.8061799739838871</v>
      </c>
      <c r="I122" s="43">
        <v>2.374748346010104</v>
      </c>
      <c r="J122" s="43">
        <v>2.0718820073061255</v>
      </c>
      <c r="Z122" s="43"/>
      <c r="AA122" s="43"/>
    </row>
    <row r="123" spans="1:27" x14ac:dyDescent="0.25">
      <c r="A123" s="51" t="s">
        <v>107</v>
      </c>
      <c r="B123" s="9">
        <v>122</v>
      </c>
      <c r="C123" s="4">
        <v>3.7692295817365937</v>
      </c>
      <c r="D123" s="4">
        <v>3.1389339402569236</v>
      </c>
      <c r="E123" s="4">
        <v>3.1886472959997172</v>
      </c>
      <c r="F123" s="4">
        <v>2.576341350205793</v>
      </c>
      <c r="G123" s="43">
        <v>3.3356584522893016</v>
      </c>
      <c r="H123" s="43">
        <v>2.6998377258672459</v>
      </c>
      <c r="I123" s="43">
        <v>3.3364597338485296</v>
      </c>
      <c r="J123" s="43">
        <v>2.6998377258672459</v>
      </c>
      <c r="K123" s="6"/>
      <c r="Z123" s="43"/>
      <c r="AA123" s="43"/>
    </row>
    <row r="124" spans="1:27" x14ac:dyDescent="0.25">
      <c r="A124" s="51" t="s">
        <v>107</v>
      </c>
      <c r="B124" s="9">
        <v>123</v>
      </c>
      <c r="C124" s="4">
        <v>2.8937617620579434</v>
      </c>
      <c r="D124" s="4">
        <v>2.5024271199844326</v>
      </c>
      <c r="E124" s="4">
        <v>1.5185139398778875</v>
      </c>
      <c r="F124" s="4">
        <v>1.505149978319906</v>
      </c>
      <c r="G124" s="43">
        <v>2.4409090820652177</v>
      </c>
      <c r="H124" s="43">
        <v>2.0899051114393981</v>
      </c>
      <c r="I124" s="43">
        <v>2.6776069527204931</v>
      </c>
      <c r="J124" s="43">
        <v>2.2174839442139063</v>
      </c>
      <c r="K124" s="6"/>
      <c r="Z124" s="43"/>
      <c r="AA124" s="43"/>
    </row>
    <row r="125" spans="1:27" x14ac:dyDescent="0.25">
      <c r="A125" s="49" t="s">
        <v>110</v>
      </c>
      <c r="B125" s="9">
        <v>124</v>
      </c>
      <c r="C125" s="4">
        <v>3.284881714655453</v>
      </c>
      <c r="D125" s="4">
        <v>2.7395723444500919</v>
      </c>
      <c r="E125" s="4">
        <v>1.5910646070264991</v>
      </c>
      <c r="F125" s="4">
        <v>1.5910646070264991</v>
      </c>
      <c r="G125" s="43">
        <v>2.5646660642520893</v>
      </c>
      <c r="H125" s="43">
        <v>2.1492191126553797</v>
      </c>
      <c r="I125" s="43">
        <v>3.1826999033360424</v>
      </c>
      <c r="J125" s="43">
        <v>2.5693739096150461</v>
      </c>
      <c r="Z125" s="43"/>
      <c r="AA125" s="43"/>
    </row>
    <row r="126" spans="1:27" x14ac:dyDescent="0.25">
      <c r="A126" s="49" t="s">
        <v>110</v>
      </c>
      <c r="B126" s="9">
        <v>125</v>
      </c>
      <c r="C126" s="4">
        <v>3.7548832282521674</v>
      </c>
      <c r="D126" s="4">
        <v>3.1212314551496214</v>
      </c>
      <c r="E126" s="4">
        <v>3.1089031276673134</v>
      </c>
      <c r="F126" s="4">
        <v>2.509202522331103</v>
      </c>
      <c r="G126" s="43">
        <v>3.3414345245781401</v>
      </c>
      <c r="H126" s="43">
        <v>2.6989700043360187</v>
      </c>
      <c r="I126" s="43">
        <v>3.344195715871435</v>
      </c>
      <c r="J126" s="43">
        <v>2.6998377258672459</v>
      </c>
      <c r="Z126" s="43"/>
      <c r="AA126" s="43"/>
    </row>
    <row r="127" spans="1:27" x14ac:dyDescent="0.25">
      <c r="A127" s="49" t="s">
        <v>111</v>
      </c>
      <c r="B127" s="9">
        <v>126</v>
      </c>
      <c r="C127" s="4">
        <v>3.5980240723341899</v>
      </c>
      <c r="D127" s="4">
        <v>2.996949248495381</v>
      </c>
      <c r="E127" s="4">
        <v>3.0852905782300648</v>
      </c>
      <c r="F127" s="4">
        <v>2.4927603890268375</v>
      </c>
      <c r="G127" s="43">
        <v>3.0856472882968564</v>
      </c>
      <c r="H127" s="43">
        <v>2.4927603890268375</v>
      </c>
      <c r="I127" s="43">
        <v>3.1846914308175989</v>
      </c>
      <c r="J127" s="43">
        <v>2.5717088318086878</v>
      </c>
      <c r="Z127" s="43"/>
      <c r="AA127" s="43"/>
    </row>
    <row r="128" spans="1:27" x14ac:dyDescent="0.25">
      <c r="A128" s="49" t="s">
        <v>111</v>
      </c>
      <c r="B128" s="9">
        <v>127</v>
      </c>
      <c r="C128" s="4">
        <v>3.0021660617565078</v>
      </c>
      <c r="D128" s="4">
        <v>2.6063813651106051</v>
      </c>
      <c r="E128" s="4">
        <v>2.2479732663618068</v>
      </c>
      <c r="F128" s="4">
        <v>2.0170333392987803</v>
      </c>
      <c r="G128" s="43">
        <v>2.5301996982030821</v>
      </c>
      <c r="H128" s="43">
        <v>2.1335389083702174</v>
      </c>
      <c r="I128" s="43">
        <v>2.6910814921229687</v>
      </c>
      <c r="J128" s="43">
        <v>2.220108088040055</v>
      </c>
      <c r="Z128" s="43"/>
      <c r="AA128" s="43"/>
    </row>
    <row r="129" spans="1:27" x14ac:dyDescent="0.25">
      <c r="A129" s="49" t="s">
        <v>501</v>
      </c>
      <c r="B129" s="9">
        <v>128</v>
      </c>
      <c r="C129" s="4">
        <v>0.69897000433601886</v>
      </c>
      <c r="D129" s="4">
        <v>0.69897000433601886</v>
      </c>
      <c r="E129" s="4">
        <v>0.69897000433601886</v>
      </c>
      <c r="F129" s="4">
        <v>0.69897000433601886</v>
      </c>
      <c r="G129" s="43">
        <v>0</v>
      </c>
      <c r="H129" s="43">
        <v>0</v>
      </c>
      <c r="I129" s="43">
        <v>0</v>
      </c>
      <c r="J129" s="43">
        <v>0</v>
      </c>
      <c r="Z129" s="43"/>
      <c r="AA129" s="43"/>
    </row>
    <row r="130" spans="1:27" x14ac:dyDescent="0.25">
      <c r="A130" s="49" t="s">
        <v>501</v>
      </c>
      <c r="B130" s="9">
        <v>129</v>
      </c>
      <c r="C130" s="4">
        <v>0.6020599913279624</v>
      </c>
      <c r="D130" s="4">
        <v>0.6020599913279624</v>
      </c>
      <c r="E130" s="4">
        <v>0.47712125471966244</v>
      </c>
      <c r="F130" s="4">
        <v>0.47712125471966244</v>
      </c>
      <c r="G130" s="43">
        <v>0.3010299956639812</v>
      </c>
      <c r="H130" s="43">
        <v>0.3010299956639812</v>
      </c>
      <c r="I130" s="43">
        <v>0</v>
      </c>
      <c r="J130" s="43">
        <v>0</v>
      </c>
      <c r="Z130" s="43"/>
      <c r="AA130" s="43"/>
    </row>
    <row r="131" spans="1:27" x14ac:dyDescent="0.25">
      <c r="A131" s="49" t="s">
        <v>112</v>
      </c>
      <c r="B131" s="9">
        <v>130</v>
      </c>
      <c r="C131" s="4">
        <v>2.2671717284030137</v>
      </c>
      <c r="D131" s="4">
        <v>2.0413926851582249</v>
      </c>
      <c r="E131" s="4">
        <v>1</v>
      </c>
      <c r="F131" s="4">
        <v>0.95424250943932487</v>
      </c>
      <c r="G131" s="43">
        <v>0</v>
      </c>
      <c r="H131" s="43">
        <v>0</v>
      </c>
      <c r="I131" s="43">
        <v>2.2455126678141499</v>
      </c>
      <c r="J131" s="43">
        <v>2.0086001717619175</v>
      </c>
      <c r="Z131" s="43"/>
      <c r="AA131" s="43"/>
    </row>
    <row r="132" spans="1:27" x14ac:dyDescent="0.25">
      <c r="A132" s="49" t="s">
        <v>112</v>
      </c>
      <c r="B132" s="9">
        <v>131</v>
      </c>
      <c r="C132" s="4">
        <v>0.84509804001425681</v>
      </c>
      <c r="D132" s="4">
        <v>0.77815125038364363</v>
      </c>
      <c r="E132" s="4">
        <v>0.6020599913279624</v>
      </c>
      <c r="F132" s="4">
        <v>0.6020599913279624</v>
      </c>
      <c r="G132" s="43">
        <v>0.3010299956639812</v>
      </c>
      <c r="H132" s="43">
        <v>0.3010299956639812</v>
      </c>
      <c r="I132" s="43">
        <v>0.47712125471966244</v>
      </c>
      <c r="J132" s="43">
        <v>0.3010299956639812</v>
      </c>
      <c r="Z132" s="43"/>
      <c r="AA132" s="43"/>
    </row>
    <row r="133" spans="1:27" x14ac:dyDescent="0.25">
      <c r="A133" s="50" t="s">
        <v>113</v>
      </c>
      <c r="B133" s="9">
        <v>132</v>
      </c>
      <c r="C133" s="4">
        <v>3.2395497208404729</v>
      </c>
      <c r="D133" s="4">
        <v>2.7427251313046983</v>
      </c>
      <c r="E133" s="4">
        <v>2.5575072019056577</v>
      </c>
      <c r="F133" s="4">
        <v>2.1492191126553797</v>
      </c>
      <c r="G133" s="43">
        <v>2.621176281775035</v>
      </c>
      <c r="H133" s="43">
        <v>2.1846914308175989</v>
      </c>
      <c r="I133" s="43">
        <v>2.9818186071706636</v>
      </c>
      <c r="J133" s="43">
        <v>2.4166405073382808</v>
      </c>
      <c r="K133" s="1"/>
      <c r="Z133" s="43"/>
      <c r="AA133" s="43"/>
    </row>
    <row r="134" spans="1:27" x14ac:dyDescent="0.25">
      <c r="A134" s="50" t="s">
        <v>113</v>
      </c>
      <c r="B134" s="9">
        <v>133</v>
      </c>
      <c r="C134" s="4">
        <v>3.2509076997008561</v>
      </c>
      <c r="D134" s="4">
        <v>2.7474118078864231</v>
      </c>
      <c r="E134" s="4">
        <v>2.6839471307515121</v>
      </c>
      <c r="F134" s="4">
        <v>2.2121876044039577</v>
      </c>
      <c r="G134" s="43">
        <v>2.1643528557844371</v>
      </c>
      <c r="H134" s="43">
        <v>1.9867717342662448</v>
      </c>
      <c r="I134" s="43">
        <v>3.0625819842281632</v>
      </c>
      <c r="J134" s="43">
        <v>2.4785664955938436</v>
      </c>
      <c r="K134" s="1"/>
      <c r="Z134" s="43"/>
      <c r="AA134" s="43"/>
    </row>
    <row r="135" spans="1:27" x14ac:dyDescent="0.25">
      <c r="A135" s="49" t="s">
        <v>114</v>
      </c>
      <c r="B135" s="9">
        <v>134</v>
      </c>
      <c r="C135" s="4">
        <v>3.7138264243805246</v>
      </c>
      <c r="D135" s="4">
        <v>3.0852905782300648</v>
      </c>
      <c r="E135" s="4">
        <v>3.2003031829815849</v>
      </c>
      <c r="F135" s="4">
        <v>2.5831987739686229</v>
      </c>
      <c r="G135" s="43">
        <v>3.1338581252033348</v>
      </c>
      <c r="H135" s="43">
        <v>2.5250448070368452</v>
      </c>
      <c r="I135" s="43">
        <v>3.3481100684802376</v>
      </c>
      <c r="J135" s="43">
        <v>2.6998377258672459</v>
      </c>
      <c r="Z135" s="43"/>
      <c r="AA135" s="43"/>
    </row>
    <row r="136" spans="1:27" x14ac:dyDescent="0.25">
      <c r="A136" s="49" t="s">
        <v>114</v>
      </c>
      <c r="B136" s="9">
        <v>135</v>
      </c>
      <c r="C136" s="4">
        <v>3.3368598209168092</v>
      </c>
      <c r="D136" s="4">
        <v>2.8055008581584002</v>
      </c>
      <c r="E136" s="4">
        <v>2.7730546933642626</v>
      </c>
      <c r="F136" s="4">
        <v>2.2695129442179165</v>
      </c>
      <c r="G136" s="43">
        <v>2.935003151453655</v>
      </c>
      <c r="H136" s="43">
        <v>2.3838153659804311</v>
      </c>
      <c r="I136" s="43">
        <v>2.8573324964312685</v>
      </c>
      <c r="J136" s="43">
        <v>2.3283796034387376</v>
      </c>
      <c r="Z136" s="43"/>
      <c r="AA136" s="43"/>
    </row>
    <row r="137" spans="1:27" x14ac:dyDescent="0.25">
      <c r="A137" s="52" t="s">
        <v>117</v>
      </c>
      <c r="B137" s="9">
        <v>136</v>
      </c>
      <c r="C137" s="4">
        <v>0.77815125038364363</v>
      </c>
      <c r="D137" s="4">
        <v>0.77815125038364363</v>
      </c>
      <c r="E137" s="4">
        <v>0.6020599913279624</v>
      </c>
      <c r="F137" s="4">
        <v>0.6020599913279624</v>
      </c>
      <c r="G137" s="43">
        <v>0.3010299956639812</v>
      </c>
      <c r="H137" s="43">
        <v>0.3010299956639812</v>
      </c>
      <c r="I137" s="43">
        <v>0.3010299956639812</v>
      </c>
      <c r="J137" s="43">
        <v>0.3010299956639812</v>
      </c>
      <c r="Z137" s="43"/>
      <c r="AA137" s="43"/>
    </row>
    <row r="138" spans="1:27" x14ac:dyDescent="0.25">
      <c r="A138" s="52" t="s">
        <v>117</v>
      </c>
      <c r="B138" s="9">
        <v>137</v>
      </c>
      <c r="C138" s="4">
        <v>2.0492180226701815</v>
      </c>
      <c r="D138" s="4">
        <v>1.9637878273455553</v>
      </c>
      <c r="E138" s="4">
        <v>1.3424226808222062</v>
      </c>
      <c r="F138" s="4">
        <v>1.3222192947339193</v>
      </c>
      <c r="G138" s="43">
        <v>0.84509804001425681</v>
      </c>
      <c r="H138" s="43">
        <v>0.84509804001425681</v>
      </c>
      <c r="I138" s="43">
        <v>1.9294189257142926</v>
      </c>
      <c r="J138" s="43">
        <v>1.8195439355418688</v>
      </c>
      <c r="Z138" s="43"/>
      <c r="AA138" s="43"/>
    </row>
    <row r="139" spans="1:27" x14ac:dyDescent="0.25">
      <c r="A139" s="52" t="s">
        <v>116</v>
      </c>
      <c r="B139" s="9">
        <v>138</v>
      </c>
      <c r="C139" s="4">
        <v>3.2161659022859932</v>
      </c>
      <c r="D139" s="4">
        <v>2.7259116322950483</v>
      </c>
      <c r="E139" s="4">
        <v>2.2944662261615929</v>
      </c>
      <c r="F139" s="4">
        <v>2.0293837776852097</v>
      </c>
      <c r="G139" s="43">
        <v>2.910090545594068</v>
      </c>
      <c r="H139" s="43">
        <v>2.3617278360175931</v>
      </c>
      <c r="I139" s="43">
        <v>2.8041394323353503</v>
      </c>
      <c r="J139" s="43">
        <v>2.2944662261615929</v>
      </c>
      <c r="Z139" s="43"/>
      <c r="AA139" s="43"/>
    </row>
    <row r="140" spans="1:27" x14ac:dyDescent="0.25">
      <c r="A140" s="52" t="s">
        <v>135</v>
      </c>
      <c r="B140" s="9">
        <v>140</v>
      </c>
      <c r="C140" s="4">
        <v>3.8202014594856402</v>
      </c>
      <c r="D140" s="4">
        <v>3.1592663310934941</v>
      </c>
      <c r="E140" s="4">
        <v>3.3059958827708047</v>
      </c>
      <c r="F140" s="4">
        <v>2.6599162000698504</v>
      </c>
      <c r="G140" s="43">
        <v>3.3374592612906562</v>
      </c>
      <c r="H140" s="43">
        <v>2.6875289612146345</v>
      </c>
      <c r="I140" s="43">
        <v>3.3827372657613304</v>
      </c>
      <c r="J140" s="43">
        <v>2.6998377258672459</v>
      </c>
      <c r="Z140" s="43"/>
      <c r="AA140" s="43"/>
    </row>
    <row r="141" spans="1:27" x14ac:dyDescent="0.25">
      <c r="A141" s="52" t="s">
        <v>135</v>
      </c>
      <c r="B141" s="9">
        <v>141</v>
      </c>
      <c r="C141" s="4">
        <v>2.4471580313422194</v>
      </c>
      <c r="D141" s="4">
        <v>2.214843848047698</v>
      </c>
      <c r="E141" s="4">
        <v>1.3222192947339193</v>
      </c>
      <c r="F141" s="4">
        <v>1.3222192947339193</v>
      </c>
      <c r="G141" s="43">
        <v>1.4623979978989561</v>
      </c>
      <c r="H141" s="43">
        <v>1.4623979978989561</v>
      </c>
      <c r="I141" s="43">
        <v>2.3654879848908998</v>
      </c>
      <c r="J141" s="43">
        <v>2.0644579892269186</v>
      </c>
      <c r="Z141" s="43"/>
      <c r="AA141" s="43"/>
    </row>
    <row r="142" spans="1:27" x14ac:dyDescent="0.25">
      <c r="A142" s="51" t="s">
        <v>173</v>
      </c>
      <c r="B142" s="9">
        <v>142</v>
      </c>
      <c r="C142" s="4">
        <v>0.6020599913279624</v>
      </c>
      <c r="D142" s="4">
        <v>0.6020599913279624</v>
      </c>
      <c r="E142" s="4">
        <v>0.3010299956639812</v>
      </c>
      <c r="F142" s="4">
        <v>0.3010299956639812</v>
      </c>
      <c r="G142" s="43">
        <v>0.47712125471966244</v>
      </c>
      <c r="H142" s="43">
        <v>0.47712125471966244</v>
      </c>
      <c r="I142" s="43">
        <v>0</v>
      </c>
      <c r="J142" s="43">
        <v>0</v>
      </c>
      <c r="K142" s="6"/>
      <c r="Z142" s="43"/>
      <c r="AA142" s="43"/>
    </row>
    <row r="143" spans="1:27" x14ac:dyDescent="0.25">
      <c r="A143" s="51" t="s">
        <v>173</v>
      </c>
      <c r="B143" s="9">
        <v>143</v>
      </c>
      <c r="C143" s="4">
        <v>3.8184898222042136</v>
      </c>
      <c r="D143" s="4">
        <v>3.1595671932336202</v>
      </c>
      <c r="E143" s="4">
        <v>3.2946866242794433</v>
      </c>
      <c r="F143" s="4">
        <v>2.6473829701146196</v>
      </c>
      <c r="G143" s="43">
        <v>3.3626709297256672</v>
      </c>
      <c r="H143" s="43">
        <v>2.6998377258672459</v>
      </c>
      <c r="I143" s="43">
        <v>3.3636119798921444</v>
      </c>
      <c r="J143" s="43">
        <v>2.6998377258672459</v>
      </c>
      <c r="K143" s="6"/>
      <c r="Z143" s="43"/>
      <c r="AA143" s="43"/>
    </row>
    <row r="144" spans="1:27" x14ac:dyDescent="0.25">
      <c r="A144" s="51" t="s">
        <v>188</v>
      </c>
      <c r="B144" s="9">
        <v>144</v>
      </c>
      <c r="C144" s="4">
        <v>3.811709026696191</v>
      </c>
      <c r="D144" s="4">
        <v>3.1763806922432702</v>
      </c>
      <c r="E144" s="4">
        <v>3.3342526423342309</v>
      </c>
      <c r="F144" s="4">
        <v>2.6998377258672459</v>
      </c>
      <c r="G144" s="43">
        <v>3.3352572564345317</v>
      </c>
      <c r="H144" s="43">
        <v>2.6998377258672459</v>
      </c>
      <c r="I144" s="43">
        <v>3.3346547668832414</v>
      </c>
      <c r="J144" s="43">
        <v>2.6998377258672459</v>
      </c>
      <c r="K144" s="6"/>
      <c r="Z144" s="43"/>
      <c r="AA144" s="43"/>
    </row>
    <row r="145" spans="1:27" x14ac:dyDescent="0.25">
      <c r="A145" s="51" t="s">
        <v>188</v>
      </c>
      <c r="B145" s="9">
        <v>145</v>
      </c>
      <c r="C145" s="4">
        <v>3.7901443650429005</v>
      </c>
      <c r="D145" s="4">
        <v>3.154119525515847</v>
      </c>
      <c r="E145" s="4">
        <v>3.2564772062416769</v>
      </c>
      <c r="F145" s="4">
        <v>2.6294095991027189</v>
      </c>
      <c r="G145" s="43">
        <v>3.340047317661393</v>
      </c>
      <c r="H145" s="43">
        <v>2.6998377258672459</v>
      </c>
      <c r="I145" s="43">
        <v>3.3378584290410944</v>
      </c>
      <c r="J145" s="43">
        <v>2.6998377258672459</v>
      </c>
      <c r="K145" s="6"/>
      <c r="Z145" s="43"/>
      <c r="AA145" s="43"/>
    </row>
    <row r="146" spans="1:27" x14ac:dyDescent="0.25">
      <c r="A146" s="51" t="s">
        <v>122</v>
      </c>
      <c r="B146" s="9">
        <v>146</v>
      </c>
      <c r="C146" s="4">
        <v>3.5280163411892014</v>
      </c>
      <c r="D146" s="4">
        <v>2.9410142437055695</v>
      </c>
      <c r="E146" s="4">
        <v>2.920123326290724</v>
      </c>
      <c r="F146" s="4">
        <v>2.3654879848908998</v>
      </c>
      <c r="G146" s="43">
        <v>3.0681858617461617</v>
      </c>
      <c r="H146" s="43">
        <v>2.4785664955938436</v>
      </c>
      <c r="I146" s="43">
        <v>3.137670537236755</v>
      </c>
      <c r="J146" s="43">
        <v>2.5340261060561349</v>
      </c>
      <c r="K146" s="6"/>
      <c r="Z146" s="43"/>
      <c r="AA146" s="43"/>
    </row>
    <row r="147" spans="1:27" x14ac:dyDescent="0.25">
      <c r="A147" s="51" t="s">
        <v>122</v>
      </c>
      <c r="B147" s="9">
        <v>147</v>
      </c>
      <c r="C147" s="4">
        <v>3.2156375634350618</v>
      </c>
      <c r="D147" s="4">
        <v>2.7259116322950483</v>
      </c>
      <c r="E147" s="4">
        <v>2.5670263661590602</v>
      </c>
      <c r="F147" s="4">
        <v>2.1522883443830563</v>
      </c>
      <c r="G147" s="43">
        <v>2.5932860670204572</v>
      </c>
      <c r="H147" s="43">
        <v>2.1702617153949575</v>
      </c>
      <c r="I147" s="43">
        <v>2.9464522650130731</v>
      </c>
      <c r="J147" s="43">
        <v>2.3873898263387292</v>
      </c>
      <c r="K147" s="6"/>
      <c r="Z147" s="43"/>
      <c r="AA147" s="43"/>
    </row>
    <row r="148" spans="1:27" x14ac:dyDescent="0.25">
      <c r="A148" s="51" t="s">
        <v>123</v>
      </c>
      <c r="B148" s="9">
        <v>148</v>
      </c>
      <c r="C148" s="4">
        <v>3.4599952560473914</v>
      </c>
      <c r="D148" s="4">
        <v>2.890979596989689</v>
      </c>
      <c r="E148" s="4">
        <v>2.7015679850559273</v>
      </c>
      <c r="F148" s="4">
        <v>2.2227164711475833</v>
      </c>
      <c r="G148" s="43">
        <v>2.907411360774586</v>
      </c>
      <c r="H148" s="43">
        <v>2.3636119798921444</v>
      </c>
      <c r="I148" s="43">
        <v>3.1972805581256192</v>
      </c>
      <c r="J148" s="43">
        <v>2.5820633629117089</v>
      </c>
      <c r="K148" s="6"/>
      <c r="Z148" s="43"/>
      <c r="AA148" s="43"/>
    </row>
    <row r="149" spans="1:27" x14ac:dyDescent="0.25">
      <c r="A149" s="51" t="s">
        <v>123</v>
      </c>
      <c r="B149" s="9">
        <v>149</v>
      </c>
      <c r="C149" s="4">
        <v>3.5445640974960431</v>
      </c>
      <c r="D149" s="4">
        <v>2.9122220565324155</v>
      </c>
      <c r="E149" s="4">
        <v>1.8129133566428555</v>
      </c>
      <c r="F149" s="4">
        <v>1.7323937598229686</v>
      </c>
      <c r="G149" s="43">
        <v>3.0948203803548</v>
      </c>
      <c r="H149" s="43">
        <v>2.4756711883244296</v>
      </c>
      <c r="I149" s="43">
        <v>3.3418300569205104</v>
      </c>
      <c r="J149" s="43">
        <v>2.6683859166900001</v>
      </c>
      <c r="K149" s="6"/>
      <c r="Z149" s="43"/>
      <c r="AA149" s="43"/>
    </row>
    <row r="150" spans="1:27" x14ac:dyDescent="0.25">
      <c r="A150" s="51" t="s">
        <v>136</v>
      </c>
      <c r="B150" s="9">
        <v>150</v>
      </c>
      <c r="C150" s="4">
        <v>3.67089495352021</v>
      </c>
      <c r="D150" s="4">
        <v>3.0519239160461065</v>
      </c>
      <c r="E150" s="43">
        <v>3.0354297381845483</v>
      </c>
      <c r="F150" s="43">
        <v>2.4548448600085102</v>
      </c>
      <c r="G150" s="43">
        <v>3.2771506139637969</v>
      </c>
      <c r="H150" s="43">
        <v>2.6464037262230695</v>
      </c>
      <c r="I150" s="43">
        <v>3.2234959409623944</v>
      </c>
      <c r="J150" s="43">
        <v>2.6031443726201822</v>
      </c>
      <c r="K150" s="6"/>
      <c r="Z150" s="43"/>
      <c r="AA150" s="43"/>
    </row>
    <row r="151" spans="1:27" x14ac:dyDescent="0.25">
      <c r="A151" s="51" t="s">
        <v>136</v>
      </c>
      <c r="B151" s="9">
        <v>151</v>
      </c>
      <c r="C151" s="4">
        <v>3.6155292236371328</v>
      </c>
      <c r="D151" s="4">
        <v>3.0004340774793188</v>
      </c>
      <c r="E151" s="43">
        <v>2.9849771264154934</v>
      </c>
      <c r="F151" s="43">
        <v>2.4082399653118496</v>
      </c>
      <c r="G151" s="43">
        <v>3.173186268412274</v>
      </c>
      <c r="H151" s="43">
        <v>2.5526682161121932</v>
      </c>
      <c r="I151" s="43">
        <v>3.2232362731029975</v>
      </c>
      <c r="J151" s="43">
        <v>2.5910646070264991</v>
      </c>
      <c r="K151" s="6"/>
      <c r="Z151" s="43"/>
      <c r="AA151" s="43"/>
    </row>
    <row r="152" spans="1:27" x14ac:dyDescent="0.25">
      <c r="A152" s="51" t="s">
        <v>125</v>
      </c>
      <c r="B152" s="9">
        <v>152</v>
      </c>
      <c r="C152" s="4">
        <v>2.6972293427597176</v>
      </c>
      <c r="D152" s="4">
        <v>2.403120521175818</v>
      </c>
      <c r="E152" s="43">
        <v>1.3424226808222062</v>
      </c>
      <c r="F152" s="43">
        <v>1.3222192947339193</v>
      </c>
      <c r="G152" s="43">
        <v>2.3117538610557542</v>
      </c>
      <c r="H152" s="43">
        <v>2.0453229787866576</v>
      </c>
      <c r="I152" s="43">
        <v>2.436162647040756</v>
      </c>
      <c r="J152" s="43">
        <v>2.0899051114393981</v>
      </c>
      <c r="K152" s="6"/>
      <c r="Z152" s="43"/>
      <c r="AA152" s="43"/>
    </row>
    <row r="153" spans="1:27" x14ac:dyDescent="0.25">
      <c r="A153" s="51" t="s">
        <v>125</v>
      </c>
      <c r="B153" s="9">
        <v>153</v>
      </c>
      <c r="C153" s="4">
        <v>2.976808337338066</v>
      </c>
      <c r="D153" s="4">
        <v>2.5987905067631152</v>
      </c>
      <c r="E153" s="43">
        <v>2.4828735836087539</v>
      </c>
      <c r="F153" s="43">
        <v>2.1139433523068369</v>
      </c>
      <c r="G153" s="43">
        <v>2.568201724066995</v>
      </c>
      <c r="H153" s="43">
        <v>2.1583624920952498</v>
      </c>
      <c r="I153" s="43">
        <v>2.4409090820652177</v>
      </c>
      <c r="J153" s="43">
        <v>2.0969100130080562</v>
      </c>
      <c r="K153" s="6"/>
      <c r="Z153" s="43"/>
      <c r="AA153" s="43"/>
    </row>
    <row r="154" spans="1:27" x14ac:dyDescent="0.25">
      <c r="A154" s="49" t="s">
        <v>141</v>
      </c>
      <c r="B154" s="9">
        <v>154</v>
      </c>
      <c r="C154" s="4">
        <v>3.5508396050657849</v>
      </c>
      <c r="D154" s="4">
        <v>2.9484129657786009</v>
      </c>
      <c r="E154" s="43">
        <v>3.0350292822023683</v>
      </c>
      <c r="F154" s="43">
        <v>2.4471580313422194</v>
      </c>
      <c r="G154" s="43">
        <v>3.0132586652835167</v>
      </c>
      <c r="H154" s="43">
        <v>2.4216039268698313</v>
      </c>
      <c r="I154" s="43">
        <v>3.1589652603834102</v>
      </c>
      <c r="J154" s="43">
        <v>2.5390760987927767</v>
      </c>
      <c r="Z154" s="43"/>
      <c r="AA154" s="43"/>
    </row>
    <row r="155" spans="1:27" x14ac:dyDescent="0.25">
      <c r="A155" s="49" t="s">
        <v>141</v>
      </c>
      <c r="B155" s="9">
        <v>155</v>
      </c>
      <c r="C155" s="4">
        <v>3.0874264570362855</v>
      </c>
      <c r="D155" s="4">
        <v>2.6454222693490919</v>
      </c>
      <c r="E155" s="43">
        <v>2.514547752660286</v>
      </c>
      <c r="F155" s="43">
        <v>2.1172712956557644</v>
      </c>
      <c r="G155" s="43">
        <v>2.6063813651106051</v>
      </c>
      <c r="H155" s="43">
        <v>2.1702617153949575</v>
      </c>
      <c r="I155" s="43">
        <v>2.6937269489236471</v>
      </c>
      <c r="J155" s="43">
        <v>2.2174839442139063</v>
      </c>
      <c r="Z155" s="43"/>
      <c r="AA155" s="43"/>
    </row>
    <row r="156" spans="1:27" x14ac:dyDescent="0.25">
      <c r="A156" s="52" t="s">
        <v>140</v>
      </c>
      <c r="B156" s="9">
        <v>156</v>
      </c>
      <c r="C156" s="4">
        <v>2.1553360374650619</v>
      </c>
      <c r="D156" s="4">
        <v>2.012837224705172</v>
      </c>
      <c r="E156" s="43">
        <v>2.0043213737826426</v>
      </c>
      <c r="F156" s="43">
        <v>1.8512583487190752</v>
      </c>
      <c r="G156" s="43">
        <v>0.95424250943932487</v>
      </c>
      <c r="H156" s="43">
        <v>0.90308998699194354</v>
      </c>
      <c r="I156" s="43">
        <v>1.5440680443502757</v>
      </c>
      <c r="J156" s="43">
        <v>1.414973347970818</v>
      </c>
      <c r="Z156" s="43"/>
      <c r="AA156" s="43"/>
    </row>
    <row r="157" spans="1:27" x14ac:dyDescent="0.25">
      <c r="A157" s="51" t="s">
        <v>171</v>
      </c>
      <c r="B157" s="9">
        <v>158</v>
      </c>
      <c r="C157" s="4">
        <v>3.725094521081469</v>
      </c>
      <c r="D157" s="4">
        <v>3.0958664534785427</v>
      </c>
      <c r="E157" s="43">
        <v>3.2190603324488611</v>
      </c>
      <c r="F157" s="43">
        <v>2.5954962218255742</v>
      </c>
      <c r="G157" s="43">
        <v>3.2474822606770544</v>
      </c>
      <c r="H157" s="43">
        <v>2.6190933306267428</v>
      </c>
      <c r="I157" s="43">
        <v>3.2760019899620501</v>
      </c>
      <c r="J157" s="43">
        <v>2.6424645202421213</v>
      </c>
      <c r="K157" s="6"/>
      <c r="Z157" s="43"/>
      <c r="AA157" s="43"/>
    </row>
    <row r="158" spans="1:27" x14ac:dyDescent="0.25">
      <c r="A158" s="51" t="s">
        <v>171</v>
      </c>
      <c r="B158" s="9">
        <v>159</v>
      </c>
      <c r="C158" s="4">
        <v>2.2810333672477277</v>
      </c>
      <c r="D158" s="4">
        <v>2.0681858617461617</v>
      </c>
      <c r="E158" s="43">
        <v>0.95424250943932487</v>
      </c>
      <c r="F158" s="43">
        <v>0.95424250943932487</v>
      </c>
      <c r="G158" s="43">
        <v>0.47712125471966244</v>
      </c>
      <c r="H158" s="43">
        <v>0.47712125471966244</v>
      </c>
      <c r="I158" s="43">
        <v>2.2576785748691846</v>
      </c>
      <c r="J158" s="43">
        <v>2.0293837776852097</v>
      </c>
      <c r="K158" s="6"/>
      <c r="Z158" s="43"/>
      <c r="AA158" s="43"/>
    </row>
    <row r="159" spans="1:27" x14ac:dyDescent="0.25">
      <c r="A159" s="51" t="s">
        <v>171</v>
      </c>
      <c r="B159" s="9">
        <v>160</v>
      </c>
      <c r="C159" s="4">
        <v>3.7013952690139202</v>
      </c>
      <c r="D159" s="4">
        <v>3.0722498976135149</v>
      </c>
      <c r="E159" s="43">
        <v>3.2999429000227671</v>
      </c>
      <c r="F159" s="43">
        <v>2.6570558528571038</v>
      </c>
      <c r="G159" s="43">
        <v>3.2319790268315041</v>
      </c>
      <c r="H159" s="43">
        <v>2.5987905067631152</v>
      </c>
      <c r="I159" s="43">
        <v>3.1235249809427321</v>
      </c>
      <c r="J159" s="43">
        <v>2.5211380837040362</v>
      </c>
      <c r="K159" s="6"/>
      <c r="Z159" s="43"/>
      <c r="AA159" s="43"/>
    </row>
    <row r="160" spans="1:27" x14ac:dyDescent="0.25">
      <c r="A160" s="49" t="s">
        <v>145</v>
      </c>
      <c r="B160" s="9">
        <v>161</v>
      </c>
      <c r="C160" s="43">
        <v>3.8135142715418833</v>
      </c>
      <c r="D160" s="43">
        <v>3.1763806922432702</v>
      </c>
      <c r="E160" s="43">
        <v>3.3386556655787003</v>
      </c>
      <c r="F160" s="43">
        <v>2.6998377258672459</v>
      </c>
      <c r="G160" s="43">
        <v>3.3354579006893843</v>
      </c>
      <c r="H160" s="43">
        <v>2.6998377258672459</v>
      </c>
      <c r="I160" s="43">
        <v>3.3354579006893843</v>
      </c>
      <c r="J160" s="43">
        <v>2.6998377258672459</v>
      </c>
      <c r="Z160" s="43"/>
      <c r="AA160" s="43"/>
    </row>
    <row r="161" spans="1:27" x14ac:dyDescent="0.25">
      <c r="A161" s="49" t="s">
        <v>146</v>
      </c>
      <c r="B161" s="9">
        <v>162</v>
      </c>
      <c r="C161" s="43">
        <v>3.7438232216037504</v>
      </c>
      <c r="D161" s="43">
        <v>3.1112625136590655</v>
      </c>
      <c r="E161" s="43">
        <v>3.2812606870550129</v>
      </c>
      <c r="F161" s="43">
        <v>2.6454222693490919</v>
      </c>
      <c r="G161" s="43">
        <v>3.344195715871435</v>
      </c>
      <c r="H161" s="43">
        <v>2.6998377258672459</v>
      </c>
      <c r="I161" s="43">
        <v>3.154119525515847</v>
      </c>
      <c r="J161" s="43">
        <v>2.5453071164658239</v>
      </c>
      <c r="Z161" s="43"/>
      <c r="AA161" s="43"/>
    </row>
    <row r="162" spans="1:27" x14ac:dyDescent="0.25">
      <c r="A162" s="49" t="s">
        <v>146</v>
      </c>
      <c r="B162" s="9">
        <v>163</v>
      </c>
      <c r="C162" s="43">
        <v>3.5427009694481106</v>
      </c>
      <c r="D162" s="43">
        <v>2.9542425094393248</v>
      </c>
      <c r="E162" s="43">
        <v>3.2005769267548483</v>
      </c>
      <c r="F162" s="43">
        <v>2.5865873046717551</v>
      </c>
      <c r="G162" s="43">
        <v>3.0718820073061255</v>
      </c>
      <c r="H162" s="43">
        <v>2.4814426285023048</v>
      </c>
      <c r="I162" s="43">
        <v>2.8597385661971471</v>
      </c>
      <c r="J162" s="43">
        <v>2.3283796034387376</v>
      </c>
      <c r="Z162" s="43"/>
      <c r="AA162" s="43"/>
    </row>
    <row r="163" spans="1:27" x14ac:dyDescent="0.25">
      <c r="A163" s="49" t="s">
        <v>173</v>
      </c>
      <c r="B163" s="9">
        <v>164</v>
      </c>
      <c r="C163">
        <v>3.8257505813480277</v>
      </c>
      <c r="D163">
        <v>3.1763806922432702</v>
      </c>
      <c r="E163">
        <v>3.338854746252323</v>
      </c>
      <c r="F163">
        <v>2.6998377258672459</v>
      </c>
      <c r="G163">
        <v>3.3486941902655412</v>
      </c>
      <c r="H163">
        <v>2.6998377258672459</v>
      </c>
      <c r="I163">
        <v>3.3585059114902354</v>
      </c>
      <c r="J163">
        <v>2.6998377258672459</v>
      </c>
    </row>
    <row r="164" spans="1:27" x14ac:dyDescent="0.25">
      <c r="A164" s="49" t="s">
        <v>6</v>
      </c>
      <c r="B164" s="9">
        <v>165</v>
      </c>
      <c r="C164">
        <v>3.8776592441116087</v>
      </c>
      <c r="D164" s="43">
        <v>3.1763806922432702</v>
      </c>
      <c r="E164" s="43">
        <v>3.388988785124714</v>
      </c>
      <c r="F164" s="43">
        <v>2.6998377258672459</v>
      </c>
      <c r="G164" s="43">
        <v>3.3932241163612975</v>
      </c>
      <c r="H164" s="43">
        <v>2.6998377258672459</v>
      </c>
      <c r="I164" s="43">
        <v>3.4191293077419758</v>
      </c>
      <c r="J164" s="43">
        <v>2.6998377258672459</v>
      </c>
    </row>
    <row r="165" spans="1:27" x14ac:dyDescent="0.25">
      <c r="A165" s="49" t="s">
        <v>6</v>
      </c>
      <c r="B165" s="9">
        <v>166</v>
      </c>
      <c r="C165" s="43">
        <v>1.2304489213782739</v>
      </c>
      <c r="D165" s="43">
        <v>1.2041199826559248</v>
      </c>
      <c r="E165" s="43">
        <v>1.0791812460476249</v>
      </c>
      <c r="F165" s="43">
        <v>1.0413926851582251</v>
      </c>
      <c r="G165" s="43">
        <v>0.3010299956639812</v>
      </c>
      <c r="H165" s="43">
        <v>0.3010299956639812</v>
      </c>
      <c r="I165" s="43">
        <v>0.69897000433601886</v>
      </c>
      <c r="J165" s="43">
        <v>0.69897000433601886</v>
      </c>
    </row>
    <row r="166" spans="1:27" x14ac:dyDescent="0.25">
      <c r="A166" s="49" t="s">
        <v>3</v>
      </c>
      <c r="B166" s="9">
        <v>167</v>
      </c>
      <c r="C166" s="43">
        <v>3.714664992862537</v>
      </c>
      <c r="D166" s="43">
        <v>3.0874264570362855</v>
      </c>
      <c r="E166" s="43">
        <v>2.9159272116971158</v>
      </c>
      <c r="F166" s="43">
        <v>2.3483048630481607</v>
      </c>
      <c r="G166" s="43">
        <v>3.3392526340326998</v>
      </c>
      <c r="H166" s="43">
        <v>2.6998377258672459</v>
      </c>
      <c r="I166" s="43">
        <v>3.3380578754197563</v>
      </c>
      <c r="J166" s="43">
        <v>2.6998377258672459</v>
      </c>
    </row>
    <row r="167" spans="1:27" x14ac:dyDescent="0.25">
      <c r="A167" s="49" t="s">
        <v>3</v>
      </c>
      <c r="B167" s="9">
        <v>168</v>
      </c>
      <c r="C167" s="43">
        <v>3.8120438979302267</v>
      </c>
      <c r="D167" s="43">
        <v>3.1763806922432702</v>
      </c>
      <c r="E167" s="43">
        <v>3.3356584522893016</v>
      </c>
      <c r="F167" s="43">
        <v>2.6998377258672459</v>
      </c>
      <c r="G167" s="43">
        <v>3.3350565194390915</v>
      </c>
      <c r="H167" s="43">
        <v>2.6998377258672459</v>
      </c>
      <c r="I167" s="43">
        <v>3.3344537511509307</v>
      </c>
      <c r="J167" s="43">
        <v>2.6998377258672459</v>
      </c>
    </row>
    <row r="168" spans="1:27" x14ac:dyDescent="0.25">
      <c r="A168" s="49" t="s">
        <v>5</v>
      </c>
      <c r="B168" s="9">
        <v>169</v>
      </c>
      <c r="C168" s="43">
        <v>3.0920184707527971</v>
      </c>
      <c r="D168" s="43">
        <v>2.510545010206612</v>
      </c>
      <c r="E168" s="43">
        <v>0.69897000433601886</v>
      </c>
      <c r="F168" s="43">
        <v>0.69897000433601886</v>
      </c>
      <c r="G168" s="43">
        <v>0.90308998699194354</v>
      </c>
      <c r="H168" s="43">
        <v>0.90308998699194354</v>
      </c>
      <c r="I168" s="43">
        <v>3.0881360887005513</v>
      </c>
      <c r="J168" s="43">
        <v>2.4955443375464483</v>
      </c>
    </row>
    <row r="169" spans="1:27" x14ac:dyDescent="0.25">
      <c r="A169" s="49" t="s">
        <v>5</v>
      </c>
      <c r="B169" s="9">
        <v>170</v>
      </c>
      <c r="C169" s="43">
        <v>3.5982431916536228</v>
      </c>
      <c r="D169" s="43">
        <v>2.9708116108725178</v>
      </c>
      <c r="E169" s="43">
        <v>1.3979400086720377</v>
      </c>
      <c r="F169" s="43">
        <v>1.3802112417116059</v>
      </c>
      <c r="G169" s="43">
        <v>3.2447717614952949</v>
      </c>
      <c r="H169" s="43">
        <v>2.6148972160331345</v>
      </c>
      <c r="I169" s="43">
        <v>3.3394514413064407</v>
      </c>
      <c r="J169" s="43">
        <v>2.6998377258672459</v>
      </c>
    </row>
    <row r="170" spans="1:27" x14ac:dyDescent="0.25">
      <c r="A170" s="49" t="s">
        <v>147</v>
      </c>
      <c r="B170" s="9">
        <v>171</v>
      </c>
      <c r="C170" s="43">
        <v>3.7871769924705538</v>
      </c>
      <c r="D170" s="43">
        <v>3.1510632533537501</v>
      </c>
      <c r="E170" s="43">
        <v>3.2732328340430454</v>
      </c>
      <c r="F170" s="43">
        <v>2.6394864892685859</v>
      </c>
      <c r="G170" s="43">
        <v>3.3176455432211585</v>
      </c>
      <c r="H170" s="43">
        <v>2.6821450763738319</v>
      </c>
      <c r="I170" s="43">
        <v>3.3372595397502756</v>
      </c>
      <c r="J170" s="43">
        <v>2.6998377258672459</v>
      </c>
    </row>
    <row r="171" spans="1:27" x14ac:dyDescent="0.25">
      <c r="A171" s="49" t="s">
        <v>147</v>
      </c>
      <c r="B171" s="9">
        <v>172</v>
      </c>
      <c r="C171" s="43">
        <v>3.8079407212154992</v>
      </c>
      <c r="D171" s="43">
        <v>3.1619666163640749</v>
      </c>
      <c r="E171" s="43">
        <v>3.3453737305590883</v>
      </c>
      <c r="F171" s="43">
        <v>2.6998377258672459</v>
      </c>
      <c r="G171" s="43">
        <v>3.2979792441593623</v>
      </c>
      <c r="H171" s="43">
        <v>2.6580113966571126</v>
      </c>
      <c r="I171" s="43">
        <v>3.3477202170340381</v>
      </c>
      <c r="J171" s="43">
        <v>2.6972293427597176</v>
      </c>
    </row>
    <row r="172" spans="1:27" x14ac:dyDescent="0.25">
      <c r="A172" s="49" t="s">
        <v>9</v>
      </c>
      <c r="B172" s="9">
        <v>173</v>
      </c>
      <c r="C172" s="43">
        <v>1.146128035678238</v>
      </c>
      <c r="D172" s="43">
        <v>1.146128035678238</v>
      </c>
      <c r="E172" s="43">
        <v>1.0791812460476249</v>
      </c>
      <c r="F172" s="43">
        <v>1.0791812460476249</v>
      </c>
      <c r="G172" s="43">
        <v>0.3010299956639812</v>
      </c>
      <c r="H172" s="43">
        <v>0.3010299956639812</v>
      </c>
      <c r="I172" s="43">
        <v>0.3010299956639812</v>
      </c>
      <c r="J172" s="43">
        <v>0.3010299956639812</v>
      </c>
    </row>
    <row r="173" spans="1:27" x14ac:dyDescent="0.25">
      <c r="A173" s="52" t="s">
        <v>113</v>
      </c>
      <c r="B173" s="9">
        <v>174</v>
      </c>
      <c r="C173" s="43">
        <v>3.0216027160282422</v>
      </c>
      <c r="D173" s="43">
        <v>2.6170003411208991</v>
      </c>
      <c r="E173" s="43">
        <v>2.143014800254095</v>
      </c>
      <c r="F173" s="43">
        <v>1.968482948553935</v>
      </c>
      <c r="G173" s="43">
        <v>2.6159500516564012</v>
      </c>
      <c r="H173" s="43">
        <v>2.1818435879447726</v>
      </c>
      <c r="I173" s="43">
        <v>2.6998377258672459</v>
      </c>
      <c r="J173" s="43">
        <v>2.2329961103921536</v>
      </c>
    </row>
    <row r="174" spans="1:27" x14ac:dyDescent="0.25">
      <c r="A174" s="49" t="s">
        <v>112</v>
      </c>
      <c r="B174" s="9">
        <v>175</v>
      </c>
      <c r="C174" s="43">
        <v>3.3525683861793087</v>
      </c>
      <c r="D174" s="43">
        <v>2.8129133566428557</v>
      </c>
      <c r="E174" s="43">
        <v>2.8530895298518657</v>
      </c>
      <c r="F174" s="43">
        <v>2.3201462861110542</v>
      </c>
      <c r="G174" s="43">
        <v>2.9464522650130731</v>
      </c>
      <c r="H174" s="43">
        <v>2.3856062735983121</v>
      </c>
      <c r="I174" s="43">
        <v>2.8175653695597807</v>
      </c>
      <c r="J174" s="43">
        <v>2.3010299956639813</v>
      </c>
    </row>
    <row r="175" spans="1:27" x14ac:dyDescent="0.25">
      <c r="A175" s="49" t="s">
        <v>110</v>
      </c>
      <c r="B175" s="9">
        <v>176</v>
      </c>
      <c r="C175" s="43">
        <v>3.5293019977879805</v>
      </c>
      <c r="D175" s="43">
        <v>2.9380190974762104</v>
      </c>
      <c r="E175" s="43">
        <v>2.9263424466256551</v>
      </c>
      <c r="F175" s="43">
        <v>2.3673559210260189</v>
      </c>
      <c r="G175" s="43">
        <v>2.9786369483844743</v>
      </c>
      <c r="H175" s="43">
        <v>2.4082399653118496</v>
      </c>
      <c r="I175" s="43">
        <v>3.2011238972073794</v>
      </c>
      <c r="J175" s="43">
        <v>2.5797835966168101</v>
      </c>
    </row>
    <row r="176" spans="1:27" x14ac:dyDescent="0.25">
      <c r="A176" s="55" t="s">
        <v>366</v>
      </c>
      <c r="B176" s="9">
        <v>177</v>
      </c>
      <c r="C176">
        <v>2.655138434811382</v>
      </c>
      <c r="D176">
        <v>2.3521825181113627</v>
      </c>
      <c r="E176">
        <v>2.1553360374650619</v>
      </c>
      <c r="F176">
        <v>1.968482948553935</v>
      </c>
      <c r="G176">
        <v>0.6020599913279624</v>
      </c>
      <c r="H176">
        <v>0.6020599913279624</v>
      </c>
      <c r="I176">
        <v>2.4871383754771865</v>
      </c>
      <c r="J176">
        <v>2.1139433523068369</v>
      </c>
    </row>
    <row r="177" spans="1:11" x14ac:dyDescent="0.25">
      <c r="A177" s="55" t="s">
        <v>366</v>
      </c>
      <c r="B177" s="9">
        <v>178</v>
      </c>
      <c r="C177" s="43">
        <v>0.84509804001425681</v>
      </c>
      <c r="D177">
        <v>0.84509804001425681</v>
      </c>
      <c r="E177">
        <v>0.84509804001425681</v>
      </c>
      <c r="F177">
        <v>0.84509804001425681</v>
      </c>
      <c r="G177">
        <v>0</v>
      </c>
      <c r="H177">
        <v>0</v>
      </c>
      <c r="I177">
        <v>0</v>
      </c>
      <c r="J177">
        <v>0</v>
      </c>
      <c r="K177"/>
    </row>
    <row r="178" spans="1:11" x14ac:dyDescent="0.25">
      <c r="A178" s="55" t="s">
        <v>366</v>
      </c>
      <c r="B178" s="9">
        <v>179</v>
      </c>
      <c r="C178" s="43">
        <v>1.146128035678238</v>
      </c>
      <c r="D178">
        <v>1.146128035678238</v>
      </c>
      <c r="E178">
        <v>0.90308998699194354</v>
      </c>
      <c r="F178">
        <v>0.90308998699194354</v>
      </c>
      <c r="G178">
        <v>0.6020599913279624</v>
      </c>
      <c r="H178">
        <v>0.6020599913279624</v>
      </c>
      <c r="I178">
        <v>0.6020599913279624</v>
      </c>
      <c r="J178">
        <v>0.6020599913279624</v>
      </c>
      <c r="K178"/>
    </row>
    <row r="179" spans="1:11" x14ac:dyDescent="0.25">
      <c r="A179" s="55" t="s">
        <v>366</v>
      </c>
      <c r="B179" s="9">
        <v>180</v>
      </c>
      <c r="C179" s="43">
        <v>3.6895752157599384</v>
      </c>
      <c r="D179">
        <v>3.0740846890282438</v>
      </c>
      <c r="E179">
        <v>3.0289777052087778</v>
      </c>
      <c r="F179">
        <v>2.4502491083193609</v>
      </c>
      <c r="G179">
        <v>3.2245330626060857</v>
      </c>
      <c r="H179">
        <v>2.6074550232146687</v>
      </c>
      <c r="I179">
        <v>3.3322364154914434</v>
      </c>
      <c r="J179">
        <v>2.6998377258672459</v>
      </c>
      <c r="K179"/>
    </row>
    <row r="180" spans="1:11" x14ac:dyDescent="0.25">
      <c r="A180" s="55" t="s">
        <v>122</v>
      </c>
      <c r="B180" s="9">
        <v>181</v>
      </c>
      <c r="C180" s="43">
        <v>3.0588054866759067</v>
      </c>
      <c r="D180">
        <v>2.6404814369704219</v>
      </c>
      <c r="E180">
        <v>2.6580113966571126</v>
      </c>
      <c r="F180">
        <v>2.2013971243204513</v>
      </c>
      <c r="G180">
        <v>2.5611013836490559</v>
      </c>
      <c r="H180">
        <v>2.1583624920952498</v>
      </c>
      <c r="I180">
        <v>2.5158738437116792</v>
      </c>
      <c r="J180">
        <v>2.1335389083702174</v>
      </c>
      <c r="K180"/>
    </row>
    <row r="181" spans="1:11" x14ac:dyDescent="0.25">
      <c r="A181" s="55" t="s">
        <v>122</v>
      </c>
      <c r="B181" s="9">
        <v>182</v>
      </c>
      <c r="C181" s="43">
        <v>3.079543007402906</v>
      </c>
      <c r="D181">
        <v>2.6464037262230695</v>
      </c>
      <c r="E181">
        <v>2.1461280356782382</v>
      </c>
      <c r="F181">
        <v>1.9637878273455553</v>
      </c>
      <c r="G181">
        <v>2.7283537820212285</v>
      </c>
      <c r="H181">
        <v>2.2455126678141499</v>
      </c>
      <c r="I181">
        <v>2.7226339225338121</v>
      </c>
      <c r="J181">
        <v>2.2479732663618068</v>
      </c>
      <c r="K181"/>
    </row>
    <row r="182" spans="1:11" x14ac:dyDescent="0.25">
      <c r="A182" s="55" t="s">
        <v>122</v>
      </c>
      <c r="B182" s="9">
        <v>183</v>
      </c>
      <c r="C182" s="43">
        <v>2.9656719712201065</v>
      </c>
      <c r="D182">
        <v>2.5965970956264601</v>
      </c>
      <c r="E182">
        <v>2.3926969532596658</v>
      </c>
      <c r="F182">
        <v>2.0827853703164503</v>
      </c>
      <c r="G182">
        <v>2.6170003411208991</v>
      </c>
      <c r="H182">
        <v>2.1846914308175989</v>
      </c>
      <c r="I182">
        <v>2.4232458739368079</v>
      </c>
      <c r="J182">
        <v>2.0899051114393981</v>
      </c>
      <c r="K182"/>
    </row>
    <row r="183" spans="1:11" x14ac:dyDescent="0.25">
      <c r="A183" s="55" t="s">
        <v>122</v>
      </c>
      <c r="B183" s="9">
        <v>184</v>
      </c>
      <c r="C183" s="43">
        <v>0.90308998699194354</v>
      </c>
      <c r="D183">
        <v>0.90308998699194354</v>
      </c>
      <c r="E183">
        <v>0.77815125038364363</v>
      </c>
      <c r="F183">
        <v>0.77815125038364363</v>
      </c>
      <c r="G183">
        <v>0</v>
      </c>
      <c r="H183">
        <v>0</v>
      </c>
      <c r="I183">
        <v>0.47712125471966244</v>
      </c>
      <c r="J183">
        <v>0.47712125471966244</v>
      </c>
      <c r="K183"/>
    </row>
    <row r="184" spans="1:11" x14ac:dyDescent="0.25">
      <c r="A184" s="58" t="s">
        <v>8</v>
      </c>
      <c r="B184" s="9">
        <v>185</v>
      </c>
      <c r="C184" s="43">
        <v>3.5390760987927767</v>
      </c>
      <c r="D184">
        <v>2.9469432706978256</v>
      </c>
      <c r="E184">
        <v>2.651278013998144</v>
      </c>
      <c r="F184">
        <v>2.2041199826559246</v>
      </c>
      <c r="G184">
        <v>2.9003671286564705</v>
      </c>
      <c r="H184">
        <v>2.3541084391474008</v>
      </c>
      <c r="I184">
        <v>3.3461573022320081</v>
      </c>
      <c r="J184">
        <v>2.6998377258672459</v>
      </c>
      <c r="K184"/>
    </row>
    <row r="185" spans="1:11" x14ac:dyDescent="0.25">
      <c r="A185" s="58" t="s">
        <v>8</v>
      </c>
      <c r="B185" s="9">
        <v>186</v>
      </c>
      <c r="C185" s="43">
        <v>2.4857214264815801</v>
      </c>
      <c r="D185">
        <v>2.1398790864012365</v>
      </c>
      <c r="E185">
        <v>0.77815125038364363</v>
      </c>
      <c r="F185">
        <v>0.77815125038364363</v>
      </c>
      <c r="G185">
        <v>0.69897000433601886</v>
      </c>
      <c r="H185">
        <v>0.69897000433601886</v>
      </c>
      <c r="I185">
        <v>2.4727564493172123</v>
      </c>
      <c r="J185">
        <v>2.1105897102992488</v>
      </c>
      <c r="K185"/>
    </row>
    <row r="186" spans="1:11" x14ac:dyDescent="0.25">
      <c r="A186" s="58" t="s">
        <v>8</v>
      </c>
      <c r="B186" s="9">
        <v>187</v>
      </c>
      <c r="C186" s="43">
        <v>1.0413926851582251</v>
      </c>
      <c r="D186">
        <v>1</v>
      </c>
      <c r="E186">
        <v>0.69897000433601886</v>
      </c>
      <c r="F186">
        <v>0.6020599913279624</v>
      </c>
      <c r="G186">
        <v>0</v>
      </c>
      <c r="H186">
        <v>0</v>
      </c>
      <c r="I186">
        <v>0.84509804001425681</v>
      </c>
      <c r="J186">
        <v>0.84509804001425681</v>
      </c>
      <c r="K186"/>
    </row>
    <row r="187" spans="1:11" x14ac:dyDescent="0.25">
      <c r="A187" s="58" t="s">
        <v>129</v>
      </c>
      <c r="B187" s="9">
        <v>188</v>
      </c>
      <c r="C187" s="43">
        <v>2.5954962218255742</v>
      </c>
      <c r="D187">
        <v>2.1875207208364631</v>
      </c>
      <c r="E187">
        <v>1.0791812460476249</v>
      </c>
      <c r="F187">
        <v>1</v>
      </c>
      <c r="G187">
        <v>0</v>
      </c>
      <c r="H187">
        <v>0</v>
      </c>
      <c r="I187">
        <v>2.5831987739686229</v>
      </c>
      <c r="J187">
        <v>2.1613680022349748</v>
      </c>
      <c r="K187"/>
    </row>
    <row r="188" spans="1:11" x14ac:dyDescent="0.25">
      <c r="A188" s="58" t="s">
        <v>129</v>
      </c>
      <c r="B188" s="9">
        <v>189</v>
      </c>
      <c r="C188" s="43">
        <v>0.90308998699194354</v>
      </c>
      <c r="D188">
        <v>0.90308998699194354</v>
      </c>
      <c r="E188">
        <v>0.6020599913279624</v>
      </c>
      <c r="F188">
        <v>0.6020599913279624</v>
      </c>
      <c r="G188">
        <v>0</v>
      </c>
      <c r="H188">
        <v>0</v>
      </c>
      <c r="I188">
        <v>0.69897000433601886</v>
      </c>
      <c r="J188">
        <v>0.69897000433601886</v>
      </c>
      <c r="K188"/>
    </row>
    <row r="189" spans="1:11" x14ac:dyDescent="0.25">
      <c r="A189" s="58" t="s">
        <v>129</v>
      </c>
      <c r="B189" s="9">
        <v>190</v>
      </c>
      <c r="C189" s="43">
        <v>3.2720737875000099</v>
      </c>
      <c r="D189">
        <v>2.6473829701146196</v>
      </c>
      <c r="E189">
        <v>0.47712125471966244</v>
      </c>
      <c r="F189">
        <v>0.47712125471966244</v>
      </c>
      <c r="G189">
        <v>1.255272505103306</v>
      </c>
      <c r="H189">
        <v>1.255272505103306</v>
      </c>
      <c r="I189">
        <v>3.2676409823459154</v>
      </c>
      <c r="J189">
        <v>2.6283889300503116</v>
      </c>
      <c r="K189"/>
    </row>
    <row r="190" spans="1:11" x14ac:dyDescent="0.25">
      <c r="A190" s="58" t="s">
        <v>50</v>
      </c>
      <c r="B190" s="9">
        <v>191</v>
      </c>
      <c r="C190">
        <v>3.4026052419199146</v>
      </c>
      <c r="D190">
        <v>2.79309160017658</v>
      </c>
      <c r="E190">
        <v>1.146128035678238</v>
      </c>
      <c r="F190">
        <v>1.0791812460476249</v>
      </c>
      <c r="G190">
        <v>2.6665179805548807</v>
      </c>
      <c r="H190">
        <v>2.2041199826559246</v>
      </c>
      <c r="I190">
        <v>3.3119656603683665</v>
      </c>
      <c r="J190">
        <v>2.6541765418779604</v>
      </c>
    </row>
    <row r="191" spans="1:11" x14ac:dyDescent="0.25">
      <c r="A191" s="58" t="s">
        <v>50</v>
      </c>
      <c r="B191" s="9">
        <v>192</v>
      </c>
      <c r="C191">
        <v>3.0923696996291206</v>
      </c>
      <c r="D191">
        <v>2.5078558716958308</v>
      </c>
      <c r="E191">
        <v>1.146128035678238</v>
      </c>
      <c r="F191">
        <v>1</v>
      </c>
      <c r="G191">
        <v>0.95424250943932487</v>
      </c>
      <c r="H191">
        <v>0.95424250943932487</v>
      </c>
      <c r="I191">
        <v>3.0849335749367159</v>
      </c>
      <c r="J191">
        <v>2.4842998393467859</v>
      </c>
    </row>
    <row r="192" spans="1:11" x14ac:dyDescent="0.25">
      <c r="A192" s="58" t="s">
        <v>50</v>
      </c>
      <c r="B192" s="9">
        <v>193</v>
      </c>
      <c r="C192">
        <v>3.7365558471626361</v>
      </c>
      <c r="D192">
        <v>3.1041455505540081</v>
      </c>
      <c r="E192">
        <v>3.2043913319192998</v>
      </c>
      <c r="F192">
        <v>2.5820633629117089</v>
      </c>
      <c r="G192">
        <v>3.2089785172762535</v>
      </c>
      <c r="H192">
        <v>2.5910646070264991</v>
      </c>
      <c r="I192">
        <v>3.3492775274679554</v>
      </c>
      <c r="J192">
        <v>2.6998377258672459</v>
      </c>
    </row>
    <row r="193" spans="1:10" x14ac:dyDescent="0.25">
      <c r="A193" s="58" t="s">
        <v>173</v>
      </c>
      <c r="B193" s="9">
        <v>194</v>
      </c>
      <c r="C193">
        <v>0.47712125471966244</v>
      </c>
      <c r="D193">
        <v>0.47712125471966244</v>
      </c>
      <c r="E193">
        <v>0.47712125471966244</v>
      </c>
      <c r="F193">
        <v>0.47712125471966244</v>
      </c>
      <c r="G193">
        <v>0</v>
      </c>
      <c r="H193">
        <v>0</v>
      </c>
      <c r="I193">
        <v>0</v>
      </c>
      <c r="J193">
        <v>0</v>
      </c>
    </row>
    <row r="194" spans="1:10" x14ac:dyDescent="0.25">
      <c r="A194" s="58" t="s">
        <v>173</v>
      </c>
      <c r="B194" s="9">
        <v>195</v>
      </c>
      <c r="C194">
        <v>0.90308998699194354</v>
      </c>
      <c r="D194">
        <v>0.77815125038364363</v>
      </c>
      <c r="E194">
        <v>0</v>
      </c>
      <c r="F194">
        <v>0</v>
      </c>
      <c r="G194">
        <v>0.77815125038364363</v>
      </c>
      <c r="H194">
        <v>0.6020599913279624</v>
      </c>
      <c r="I194">
        <v>0.47712125471966244</v>
      </c>
      <c r="J194">
        <v>0.47712125471966244</v>
      </c>
    </row>
    <row r="195" spans="1:10" x14ac:dyDescent="0.25">
      <c r="A195" s="58" t="s">
        <v>173</v>
      </c>
      <c r="B195" s="9">
        <v>196</v>
      </c>
      <c r="C195">
        <v>2.2355284469075487</v>
      </c>
      <c r="D195">
        <v>2.0492180226701815</v>
      </c>
      <c r="E195">
        <v>0.90308998699194354</v>
      </c>
      <c r="F195">
        <v>0.90308998699194354</v>
      </c>
      <c r="G195">
        <v>0.3010299956639812</v>
      </c>
      <c r="H195">
        <v>0.3010299956639812</v>
      </c>
      <c r="I195">
        <v>2.214843848047698</v>
      </c>
      <c r="J195">
        <v>2.0170333392987803</v>
      </c>
    </row>
    <row r="196" spans="1:10" x14ac:dyDescent="0.25">
      <c r="A196" s="58" t="s">
        <v>5</v>
      </c>
      <c r="B196" s="9">
        <v>197</v>
      </c>
      <c r="C196">
        <v>3.8328281295393536</v>
      </c>
      <c r="D196">
        <v>3.1763806922432702</v>
      </c>
      <c r="E196">
        <v>3.3527611917238307</v>
      </c>
      <c r="F196">
        <v>2.6998377258672459</v>
      </c>
      <c r="G196">
        <v>3.3600250891893975</v>
      </c>
      <c r="H196">
        <v>2.6998377258672459</v>
      </c>
      <c r="I196">
        <v>3.3546845539547285</v>
      </c>
      <c r="J196">
        <v>2.6998377258672459</v>
      </c>
    </row>
    <row r="197" spans="1:10" x14ac:dyDescent="0.25">
      <c r="A197" s="58" t="s">
        <v>5</v>
      </c>
      <c r="B197" s="9">
        <v>198</v>
      </c>
      <c r="C197">
        <v>3.8147136126959769</v>
      </c>
      <c r="D197">
        <v>3.1763806922432702</v>
      </c>
      <c r="E197">
        <v>3.3370597263205246</v>
      </c>
      <c r="F197">
        <v>2.6998377258672459</v>
      </c>
      <c r="G197">
        <v>3.3366598234544202</v>
      </c>
      <c r="H197">
        <v>2.6998377258672459</v>
      </c>
      <c r="I197">
        <v>3.3394514413064407</v>
      </c>
      <c r="J197">
        <v>2.6998377258672459</v>
      </c>
    </row>
    <row r="198" spans="1:10" x14ac:dyDescent="0.25">
      <c r="A198" s="58" t="s">
        <v>4</v>
      </c>
      <c r="B198" s="9">
        <v>199</v>
      </c>
      <c r="C198">
        <v>0.3010299956639812</v>
      </c>
      <c r="D198">
        <v>0.3010299956639812</v>
      </c>
      <c r="E198">
        <v>0.3010299956639812</v>
      </c>
      <c r="F198">
        <v>0.3010299956639812</v>
      </c>
      <c r="G198">
        <v>0</v>
      </c>
      <c r="H198">
        <v>0</v>
      </c>
      <c r="I198">
        <v>0</v>
      </c>
      <c r="J198">
        <v>0</v>
      </c>
    </row>
    <row r="199" spans="1:10" x14ac:dyDescent="0.25">
      <c r="A199" s="58" t="s">
        <v>4</v>
      </c>
      <c r="B199" s="9">
        <v>200</v>
      </c>
      <c r="C199">
        <v>0</v>
      </c>
      <c r="D199">
        <v>0</v>
      </c>
      <c r="E199">
        <v>0</v>
      </c>
      <c r="F199">
        <v>0</v>
      </c>
      <c r="G199">
        <v>0</v>
      </c>
      <c r="H199">
        <v>0</v>
      </c>
      <c r="I199">
        <v>0</v>
      </c>
      <c r="J199">
        <v>0</v>
      </c>
    </row>
    <row r="200" spans="1:10" x14ac:dyDescent="0.25">
      <c r="A200" s="58" t="s">
        <v>4</v>
      </c>
      <c r="B200" s="9">
        <v>201</v>
      </c>
      <c r="C200">
        <v>0</v>
      </c>
      <c r="D200">
        <v>0</v>
      </c>
      <c r="E200">
        <v>0</v>
      </c>
      <c r="F200">
        <v>0</v>
      </c>
      <c r="G200">
        <v>0</v>
      </c>
      <c r="H200">
        <v>0</v>
      </c>
      <c r="I200">
        <v>0</v>
      </c>
      <c r="J200">
        <v>0</v>
      </c>
    </row>
    <row r="201" spans="1:10" x14ac:dyDescent="0.25">
      <c r="A201" s="58" t="s">
        <v>2</v>
      </c>
      <c r="B201" s="9">
        <v>202</v>
      </c>
      <c r="C201">
        <v>3.055378331375</v>
      </c>
      <c r="D201">
        <v>2.6364878963533656</v>
      </c>
      <c r="E201">
        <v>2.8293037728310249</v>
      </c>
      <c r="F201">
        <v>2.3096301674258988</v>
      </c>
      <c r="G201">
        <v>2.2600713879850747</v>
      </c>
      <c r="H201">
        <v>2.0211892990699383</v>
      </c>
      <c r="I201">
        <v>2.4487063199050798</v>
      </c>
      <c r="J201">
        <v>2.1003705451175629</v>
      </c>
    </row>
    <row r="202" spans="1:10" x14ac:dyDescent="0.25">
      <c r="A202" s="58" t="s">
        <v>2</v>
      </c>
      <c r="B202" s="9">
        <v>203</v>
      </c>
      <c r="C202">
        <v>3.2709116394104814</v>
      </c>
      <c r="D202">
        <v>2.7596678446896306</v>
      </c>
      <c r="E202">
        <v>2.5465426634781312</v>
      </c>
      <c r="F202">
        <v>2.143014800254095</v>
      </c>
      <c r="G202">
        <v>2.9242792860618816</v>
      </c>
      <c r="H202">
        <v>2.3729120029701067</v>
      </c>
      <c r="I202">
        <v>2.8299466959416359</v>
      </c>
      <c r="J202">
        <v>2.3053513694466239</v>
      </c>
    </row>
    <row r="203" spans="1:10" x14ac:dyDescent="0.25">
      <c r="A203" s="58" t="s">
        <v>2</v>
      </c>
      <c r="B203" s="9">
        <v>204</v>
      </c>
      <c r="C203">
        <v>3.6387886671573981</v>
      </c>
      <c r="D203">
        <v>3.030194785356751</v>
      </c>
      <c r="E203">
        <v>3.0744507189545911</v>
      </c>
      <c r="F203">
        <v>2.4828735836087539</v>
      </c>
      <c r="G203">
        <v>3.1532049000842841</v>
      </c>
      <c r="H203">
        <v>2.5465426634781312</v>
      </c>
      <c r="I203">
        <v>3.2417954312951989</v>
      </c>
      <c r="J203">
        <v>2.621176281775035</v>
      </c>
    </row>
    <row r="204" spans="1:10" x14ac:dyDescent="0.25">
      <c r="A204" s="58" t="s">
        <v>5</v>
      </c>
      <c r="B204" s="9">
        <v>205</v>
      </c>
      <c r="C204">
        <v>3.8167051836665151</v>
      </c>
      <c r="D204">
        <v>3.1763806922432702</v>
      </c>
      <c r="E204">
        <v>3.3398487830376369</v>
      </c>
      <c r="F204">
        <v>2.6998377258672459</v>
      </c>
      <c r="G204">
        <v>3.3374592612906562</v>
      </c>
      <c r="H204">
        <v>2.6998377258672459</v>
      </c>
      <c r="I204">
        <v>3.3418300569205104</v>
      </c>
      <c r="J204">
        <v>2.6998377258672459</v>
      </c>
    </row>
    <row r="205" spans="1:10" x14ac:dyDescent="0.25">
      <c r="A205" s="58" t="s">
        <v>3</v>
      </c>
      <c r="B205" s="9">
        <v>206</v>
      </c>
      <c r="C205">
        <v>3.3827372657613304</v>
      </c>
      <c r="D205">
        <v>2.7965743332104296</v>
      </c>
      <c r="E205">
        <v>0.90308998699194354</v>
      </c>
      <c r="F205">
        <v>0.90308998699194354</v>
      </c>
      <c r="G205">
        <v>2.3944516808262164</v>
      </c>
      <c r="H205">
        <v>2.0755469613925306</v>
      </c>
      <c r="I205">
        <v>3.3344537511509307</v>
      </c>
      <c r="J205">
        <v>2.6998377258672459</v>
      </c>
    </row>
    <row r="206" spans="1:10" x14ac:dyDescent="0.25">
      <c r="A206" s="58" t="s">
        <v>3</v>
      </c>
      <c r="B206" s="9">
        <v>207</v>
      </c>
      <c r="C206">
        <v>3.786041210242554</v>
      </c>
      <c r="D206">
        <v>3.1528995963937474</v>
      </c>
      <c r="E206">
        <v>3.2482185611900749</v>
      </c>
      <c r="F206">
        <v>2.6253124509616739</v>
      </c>
      <c r="G206">
        <v>3.3356584522893016</v>
      </c>
      <c r="H206">
        <v>2.6998377258672459</v>
      </c>
      <c r="I206">
        <v>3.3374592612906562</v>
      </c>
      <c r="J206">
        <v>2.6998377258672459</v>
      </c>
    </row>
    <row r="207" spans="1:10" x14ac:dyDescent="0.25">
      <c r="A207" s="58" t="s">
        <v>56</v>
      </c>
      <c r="B207" s="9">
        <v>208</v>
      </c>
      <c r="C207">
        <v>1.1139433523068367</v>
      </c>
      <c r="D207">
        <v>1.1139433523068367</v>
      </c>
      <c r="E207">
        <v>0.95424250943932487</v>
      </c>
      <c r="F207">
        <v>0.95424250943932487</v>
      </c>
      <c r="G207">
        <v>0.6020599913279624</v>
      </c>
      <c r="H207">
        <v>0.6020599913279624</v>
      </c>
      <c r="I207">
        <v>0.3010299956639812</v>
      </c>
      <c r="J207">
        <v>0.3010299956639812</v>
      </c>
    </row>
    <row r="208" spans="1:10" x14ac:dyDescent="0.25">
      <c r="A208" s="58" t="s">
        <v>56</v>
      </c>
      <c r="B208" s="9">
        <v>209</v>
      </c>
      <c r="C208">
        <v>3.2140486794119414</v>
      </c>
      <c r="D208">
        <v>2.6117233080073419</v>
      </c>
      <c r="E208">
        <v>1.146128035678238</v>
      </c>
      <c r="F208">
        <v>1.146128035678238</v>
      </c>
      <c r="G208">
        <v>0.69897000433601886</v>
      </c>
      <c r="H208">
        <v>0.69897000433601886</v>
      </c>
      <c r="I208">
        <v>3.2095150145426308</v>
      </c>
      <c r="J208">
        <v>2.5932860670204572</v>
      </c>
    </row>
    <row r="209" spans="1:10" x14ac:dyDescent="0.25">
      <c r="A209" s="58" t="s">
        <v>56</v>
      </c>
      <c r="B209" s="9">
        <v>210</v>
      </c>
      <c r="C209">
        <v>0.84509804001425681</v>
      </c>
      <c r="D209">
        <v>0.84509804001425681</v>
      </c>
      <c r="E209">
        <v>0.69897000433601886</v>
      </c>
      <c r="F209">
        <v>0.69897000433601886</v>
      </c>
      <c r="G209">
        <v>0.47712125471966244</v>
      </c>
      <c r="H209">
        <v>0.47712125471966244</v>
      </c>
      <c r="I209">
        <v>0</v>
      </c>
      <c r="J209">
        <v>0</v>
      </c>
    </row>
    <row r="210" spans="1:10" x14ac:dyDescent="0.25">
      <c r="A210" s="69" t="s">
        <v>6</v>
      </c>
      <c r="B210" s="71">
        <v>211</v>
      </c>
      <c r="C210">
        <v>3.3771240423464559</v>
      </c>
      <c r="D210">
        <v>2.7151673578484576</v>
      </c>
      <c r="E210">
        <v>1.3010299956639813</v>
      </c>
      <c r="F210">
        <v>1.255272505103306</v>
      </c>
      <c r="G210">
        <v>0.3010299956639812</v>
      </c>
      <c r="H210">
        <v>0.3010299956639812</v>
      </c>
      <c r="I210">
        <v>3.3734637216323691</v>
      </c>
      <c r="J210">
        <v>2.6998377258672459</v>
      </c>
    </row>
    <row r="211" spans="1:10" x14ac:dyDescent="0.25">
      <c r="A211" s="69" t="s">
        <v>6</v>
      </c>
      <c r="B211" s="71">
        <v>212</v>
      </c>
      <c r="C211">
        <v>3.0748164406451748</v>
      </c>
      <c r="D211">
        <v>2.4578818967339924</v>
      </c>
      <c r="E211">
        <v>0.69897000433601886</v>
      </c>
      <c r="F211">
        <v>0.69897000433601886</v>
      </c>
      <c r="G211">
        <v>0.3010299956639812</v>
      </c>
      <c r="H211">
        <v>0.3010299956639812</v>
      </c>
      <c r="I211">
        <v>3.0729847446279304</v>
      </c>
      <c r="J211">
        <v>2.4502491083193609</v>
      </c>
    </row>
    <row r="212" spans="1:10" x14ac:dyDescent="0.25">
      <c r="A212" s="69" t="s">
        <v>6</v>
      </c>
      <c r="B212" s="71">
        <v>213</v>
      </c>
      <c r="C212">
        <v>1.0791812460476249</v>
      </c>
      <c r="D212">
        <v>1.0413926851582251</v>
      </c>
      <c r="E212">
        <v>0.77815125038364363</v>
      </c>
      <c r="F212">
        <v>0.77815125038364363</v>
      </c>
      <c r="G212">
        <v>0</v>
      </c>
      <c r="H212">
        <v>0</v>
      </c>
      <c r="I212">
        <v>0.84509804001425681</v>
      </c>
      <c r="J212">
        <v>0.77815125038364363</v>
      </c>
    </row>
    <row r="213" spans="1:10" x14ac:dyDescent="0.25">
      <c r="A213" s="69" t="s">
        <v>187</v>
      </c>
      <c r="B213" s="71">
        <v>214</v>
      </c>
      <c r="C213">
        <v>3.4952667443878105</v>
      </c>
      <c r="D213">
        <v>2.9111576087399764</v>
      </c>
      <c r="E213">
        <v>2.5158738437116792</v>
      </c>
      <c r="F213">
        <v>2.1003705451175629</v>
      </c>
      <c r="G213">
        <v>2.8007170782823851</v>
      </c>
      <c r="H213">
        <v>2.2787536009528289</v>
      </c>
      <c r="I213">
        <v>3.3364597338485296</v>
      </c>
      <c r="J213">
        <v>2.6998377258672459</v>
      </c>
    </row>
    <row r="214" spans="1:10" x14ac:dyDescent="0.25">
      <c r="A214" s="69" t="s">
        <v>187</v>
      </c>
      <c r="B214" s="71">
        <v>215</v>
      </c>
      <c r="C214">
        <v>3.7949061065168039</v>
      </c>
      <c r="D214">
        <v>3.1479853206838051</v>
      </c>
      <c r="E214">
        <v>3.3220124385824006</v>
      </c>
      <c r="F214">
        <v>2.6683859166900001</v>
      </c>
      <c r="G214">
        <v>3.287129620719111</v>
      </c>
      <c r="H214">
        <v>2.6444385894678386</v>
      </c>
      <c r="I214">
        <v>3.3428173146357332</v>
      </c>
      <c r="J214">
        <v>2.6998377258672459</v>
      </c>
    </row>
    <row r="215" spans="1:10" x14ac:dyDescent="0.25">
      <c r="A215" s="69" t="s">
        <v>187</v>
      </c>
      <c r="B215" s="71">
        <v>216</v>
      </c>
      <c r="C215">
        <v>3.762678563727436</v>
      </c>
      <c r="D215">
        <v>3.131297796597623</v>
      </c>
      <c r="E215">
        <v>3.2462523122993221</v>
      </c>
      <c r="F215">
        <v>2.6190933306267428</v>
      </c>
      <c r="G215">
        <v>3.2695129442179165</v>
      </c>
      <c r="H215">
        <v>2.6414741105040997</v>
      </c>
      <c r="I215">
        <v>3.3362595520141931</v>
      </c>
      <c r="J215">
        <v>2.6998377258672459</v>
      </c>
    </row>
    <row r="216" spans="1:10" x14ac:dyDescent="0.25">
      <c r="A216" s="69" t="s">
        <v>1</v>
      </c>
      <c r="B216" s="71">
        <v>217</v>
      </c>
      <c r="C216">
        <v>3.3814760902750298</v>
      </c>
      <c r="D216">
        <v>2.7937903846908188</v>
      </c>
      <c r="E216">
        <v>1.146128035678238</v>
      </c>
      <c r="F216">
        <v>1.146128035678238</v>
      </c>
      <c r="G216">
        <v>2.287801729930226</v>
      </c>
      <c r="H216">
        <v>2.0374264979406238</v>
      </c>
      <c r="I216">
        <v>3.3426200425533481</v>
      </c>
      <c r="J216">
        <v>2.6998377258672459</v>
      </c>
    </row>
    <row r="217" spans="1:10" x14ac:dyDescent="0.25">
      <c r="A217" s="69" t="s">
        <v>1</v>
      </c>
      <c r="B217" s="71">
        <v>218</v>
      </c>
      <c r="C217">
        <v>2.7466341989375787</v>
      </c>
      <c r="D217">
        <v>2.2671717284030137</v>
      </c>
      <c r="E217">
        <v>0.90308998699194354</v>
      </c>
      <c r="F217">
        <v>0.90308998699194354</v>
      </c>
      <c r="G217">
        <v>0.47712125471966244</v>
      </c>
      <c r="H217">
        <v>0.47712125471966244</v>
      </c>
      <c r="I217">
        <v>2.7395723444500919</v>
      </c>
      <c r="J217">
        <v>2.2455126678141499</v>
      </c>
    </row>
    <row r="218" spans="1:10" x14ac:dyDescent="0.25">
      <c r="A218" s="69" t="s">
        <v>1</v>
      </c>
      <c r="B218" s="71">
        <v>219</v>
      </c>
      <c r="C218">
        <v>2.8129133566428557</v>
      </c>
      <c r="D218">
        <v>2.3159703454569178</v>
      </c>
      <c r="E218">
        <v>0.95424250943932487</v>
      </c>
      <c r="F218">
        <v>0.95424250943932487</v>
      </c>
      <c r="G218">
        <v>0.3010299956639812</v>
      </c>
      <c r="H218">
        <v>0.3010299956639812</v>
      </c>
      <c r="I218">
        <v>2.8068580295188172</v>
      </c>
      <c r="J218">
        <v>2.2966651902615309</v>
      </c>
    </row>
    <row r="219" spans="1:10" x14ac:dyDescent="0.25">
      <c r="A219" s="71" t="s">
        <v>424</v>
      </c>
      <c r="B219" s="71">
        <v>220</v>
      </c>
      <c r="C219">
        <v>0.77815125038364363</v>
      </c>
      <c r="D219">
        <v>0.77815125038364363</v>
      </c>
      <c r="E219">
        <v>0.6020599913279624</v>
      </c>
      <c r="F219">
        <v>0.6020599913279624</v>
      </c>
      <c r="G219">
        <v>0</v>
      </c>
      <c r="H219">
        <v>0</v>
      </c>
      <c r="I219">
        <v>0.47712125471966244</v>
      </c>
      <c r="J219">
        <v>0.47712125471966244</v>
      </c>
    </row>
    <row r="220" spans="1:10" x14ac:dyDescent="0.25">
      <c r="A220" s="71" t="s">
        <v>424</v>
      </c>
      <c r="B220" s="71">
        <v>221</v>
      </c>
      <c r="C220">
        <v>0.47712125471966244</v>
      </c>
      <c r="D220">
        <v>0.47712125471966244</v>
      </c>
      <c r="E220">
        <v>0.47712125471966244</v>
      </c>
      <c r="F220">
        <v>0.47712125471966244</v>
      </c>
      <c r="G220">
        <v>0</v>
      </c>
      <c r="H220">
        <v>0</v>
      </c>
      <c r="I220">
        <v>0</v>
      </c>
      <c r="J220">
        <v>0</v>
      </c>
    </row>
    <row r="221" spans="1:10" x14ac:dyDescent="0.25">
      <c r="A221" s="71" t="s">
        <v>424</v>
      </c>
      <c r="B221" s="71">
        <v>222</v>
      </c>
      <c r="C221">
        <v>3.1092409685882032</v>
      </c>
      <c r="D221">
        <v>2.6570558528571038</v>
      </c>
      <c r="E221">
        <v>2.537819095073274</v>
      </c>
      <c r="F221">
        <v>2.1238516409670858</v>
      </c>
      <c r="G221">
        <v>2.2810333672477277</v>
      </c>
      <c r="H221">
        <v>2.0211892990699383</v>
      </c>
      <c r="I221">
        <v>2.8762178405916421</v>
      </c>
      <c r="J221">
        <v>2.3384564936046046</v>
      </c>
    </row>
    <row r="222" spans="1:10" x14ac:dyDescent="0.25">
      <c r="A222" s="71" t="s">
        <v>129</v>
      </c>
      <c r="B222" s="71">
        <v>223</v>
      </c>
      <c r="C222">
        <v>2.8876173003357359</v>
      </c>
      <c r="D222">
        <v>2.3873898263387292</v>
      </c>
      <c r="E222">
        <v>1.2787536009528289</v>
      </c>
      <c r="F222">
        <v>1.2787536009528289</v>
      </c>
      <c r="G222">
        <v>1.146128035678238</v>
      </c>
      <c r="H222">
        <v>1.0791812460476249</v>
      </c>
      <c r="I222">
        <v>2.869818207979328</v>
      </c>
      <c r="J222">
        <v>2.3324384599156054</v>
      </c>
    </row>
    <row r="223" spans="1:10" x14ac:dyDescent="0.25">
      <c r="A223" s="71" t="s">
        <v>129</v>
      </c>
      <c r="B223" s="71">
        <v>224</v>
      </c>
      <c r="C223">
        <v>0.77815125038364363</v>
      </c>
      <c r="D223">
        <v>0.77815125038364363</v>
      </c>
      <c r="E223">
        <v>0.6020599913279624</v>
      </c>
      <c r="F223">
        <v>0.6020599913279624</v>
      </c>
      <c r="G223">
        <v>0.3010299956639812</v>
      </c>
      <c r="H223">
        <v>0.3010299956639812</v>
      </c>
      <c r="I223">
        <v>0.3010299956639812</v>
      </c>
      <c r="J223">
        <v>0.3010299956639812</v>
      </c>
    </row>
    <row r="224" spans="1:10" x14ac:dyDescent="0.25">
      <c r="A224" s="71" t="s">
        <v>129</v>
      </c>
      <c r="B224" s="71">
        <v>225</v>
      </c>
      <c r="C224">
        <v>0.84509804001425681</v>
      </c>
      <c r="D224">
        <v>0.84509804001425681</v>
      </c>
      <c r="E224">
        <v>0.77815125038364363</v>
      </c>
      <c r="F224">
        <v>0.77815125038364363</v>
      </c>
      <c r="G224">
        <v>0.3010299956639812</v>
      </c>
      <c r="H224">
        <v>0.3010299956639812</v>
      </c>
      <c r="I224">
        <v>0</v>
      </c>
      <c r="J224">
        <v>0</v>
      </c>
    </row>
    <row r="225" spans="1:10" x14ac:dyDescent="0.25">
      <c r="A225" s="71" t="s">
        <v>423</v>
      </c>
      <c r="B225" s="71">
        <v>226</v>
      </c>
      <c r="C225">
        <v>2.7331972651065692</v>
      </c>
      <c r="D225">
        <v>2.4756711883244296</v>
      </c>
      <c r="E225">
        <v>2.0253058652647704</v>
      </c>
      <c r="F225">
        <v>1.8864907251724818</v>
      </c>
      <c r="G225">
        <v>2.2253092817258628</v>
      </c>
      <c r="H225">
        <v>2.012837224705172</v>
      </c>
      <c r="I225">
        <v>2.4297522800024081</v>
      </c>
      <c r="J225">
        <v>2.0827853703164503</v>
      </c>
    </row>
    <row r="226" spans="1:10" x14ac:dyDescent="0.25">
      <c r="A226" s="71" t="s">
        <v>423</v>
      </c>
      <c r="B226" s="71">
        <v>227</v>
      </c>
      <c r="C226">
        <v>0.47712125471966244</v>
      </c>
      <c r="D226">
        <v>0.47712125471966244</v>
      </c>
      <c r="E226">
        <v>0.3010299956639812</v>
      </c>
      <c r="F226">
        <v>0.3010299956639812</v>
      </c>
      <c r="G226">
        <v>0</v>
      </c>
      <c r="H226">
        <v>0</v>
      </c>
      <c r="I226">
        <v>0.3010299956639812</v>
      </c>
      <c r="J226">
        <v>0.3010299956639812</v>
      </c>
    </row>
    <row r="227" spans="1:10" x14ac:dyDescent="0.25">
      <c r="A227" s="71" t="s">
        <v>366</v>
      </c>
      <c r="B227" s="71">
        <v>228</v>
      </c>
      <c r="C227">
        <v>0.3010299956639812</v>
      </c>
      <c r="D227">
        <v>0.3010299956639812</v>
      </c>
      <c r="E227">
        <v>0</v>
      </c>
      <c r="F227">
        <v>0</v>
      </c>
      <c r="G227">
        <v>0</v>
      </c>
      <c r="H227">
        <v>0</v>
      </c>
      <c r="I227">
        <v>0.3010299956639812</v>
      </c>
      <c r="J227">
        <v>0.3010299956639812</v>
      </c>
    </row>
    <row r="228" spans="1:10" x14ac:dyDescent="0.25">
      <c r="A228" s="71" t="s">
        <v>366</v>
      </c>
      <c r="B228" s="71">
        <v>229</v>
      </c>
      <c r="C228">
        <v>0.47712125471966244</v>
      </c>
      <c r="D228">
        <v>0.47712125471966244</v>
      </c>
      <c r="E228">
        <v>0.47712125471966244</v>
      </c>
      <c r="F228">
        <v>0.47712125471966244</v>
      </c>
      <c r="G228">
        <v>0</v>
      </c>
      <c r="H228">
        <v>0</v>
      </c>
      <c r="I228">
        <v>0</v>
      </c>
      <c r="J228">
        <v>0</v>
      </c>
    </row>
    <row r="229" spans="1:10" x14ac:dyDescent="0.25">
      <c r="A229" s="71" t="s">
        <v>449</v>
      </c>
      <c r="B229" s="71">
        <v>230</v>
      </c>
      <c r="C229">
        <v>0.6020599913279624</v>
      </c>
      <c r="D229">
        <v>0.6020599913279624</v>
      </c>
      <c r="E229">
        <v>0.47712125471966244</v>
      </c>
      <c r="F229">
        <v>0.47712125471966244</v>
      </c>
      <c r="G229">
        <v>0.3010299956639812</v>
      </c>
      <c r="H229">
        <v>0.3010299956639812</v>
      </c>
      <c r="I229">
        <v>0</v>
      </c>
      <c r="J229">
        <v>0</v>
      </c>
    </row>
    <row r="230" spans="1:10" x14ac:dyDescent="0.25">
      <c r="A230" s="71" t="s">
        <v>449</v>
      </c>
      <c r="B230" s="71">
        <v>231</v>
      </c>
      <c r="C230">
        <v>3.5376931943673906</v>
      </c>
      <c r="D230">
        <v>2.9355072658247128</v>
      </c>
      <c r="E230">
        <v>3.0273496077747564</v>
      </c>
      <c r="F230">
        <v>2.4424797690644486</v>
      </c>
      <c r="G230">
        <v>2.419955748489758</v>
      </c>
      <c r="H230">
        <v>2.0755469613925306</v>
      </c>
      <c r="I230">
        <v>3.3269499941659988</v>
      </c>
      <c r="J230">
        <v>2.6702458530741242</v>
      </c>
    </row>
    <row r="231" spans="1:10" x14ac:dyDescent="0.25">
      <c r="A231" s="71" t="s">
        <v>425</v>
      </c>
      <c r="B231" s="71">
        <v>232</v>
      </c>
      <c r="C231">
        <v>3.3384564936046046</v>
      </c>
      <c r="D231">
        <v>2.7965743332104296</v>
      </c>
      <c r="E231">
        <v>2.5453071164658239</v>
      </c>
      <c r="F231">
        <v>2.143014800254095</v>
      </c>
      <c r="G231">
        <v>2.8007170782823851</v>
      </c>
      <c r="H231">
        <v>2.2855573090077739</v>
      </c>
      <c r="I231">
        <v>3.0788191830988487</v>
      </c>
      <c r="J231">
        <v>2.4712917110589387</v>
      </c>
    </row>
    <row r="232" spans="1:10" x14ac:dyDescent="0.25">
      <c r="A232" s="71" t="s">
        <v>425</v>
      </c>
      <c r="B232" s="71">
        <v>233</v>
      </c>
      <c r="C232">
        <v>3.4252080511386565</v>
      </c>
      <c r="D232">
        <v>2.8549130223078554</v>
      </c>
      <c r="E232">
        <v>2.9185545305502734</v>
      </c>
      <c r="F232">
        <v>2.3636119798921444</v>
      </c>
      <c r="G232">
        <v>2.9854264740830017</v>
      </c>
      <c r="H232">
        <v>2.4082399653118496</v>
      </c>
      <c r="I232">
        <v>2.9385197251764921</v>
      </c>
      <c r="J232">
        <v>2.3636119798921444</v>
      </c>
    </row>
    <row r="233" spans="1:10" x14ac:dyDescent="0.25">
      <c r="A233" s="71" t="s">
        <v>426</v>
      </c>
      <c r="B233" s="71">
        <v>234</v>
      </c>
      <c r="C233">
        <v>3.8184898222042136</v>
      </c>
      <c r="D233">
        <v>3.1309766916056172</v>
      </c>
      <c r="E233">
        <v>3.2337573629655103</v>
      </c>
      <c r="F233">
        <v>2.5465426634781312</v>
      </c>
      <c r="G233">
        <v>3.4055171069763763</v>
      </c>
      <c r="H233">
        <v>2.6998377258672459</v>
      </c>
      <c r="I233">
        <v>3.3671694885346808</v>
      </c>
      <c r="J233">
        <v>2.6998377258672459</v>
      </c>
    </row>
    <row r="234" spans="1:10" x14ac:dyDescent="0.25">
      <c r="A234" s="71" t="s">
        <v>426</v>
      </c>
      <c r="B234" s="71">
        <v>235</v>
      </c>
      <c r="C234">
        <v>3.8524189929370016</v>
      </c>
      <c r="D234">
        <v>3.1373541113707328</v>
      </c>
      <c r="E234">
        <v>3.230704313612569</v>
      </c>
      <c r="F234">
        <v>2.5705429398818973</v>
      </c>
      <c r="G234">
        <v>3.4398062113933303</v>
      </c>
      <c r="H234">
        <v>2.6998377258672459</v>
      </c>
      <c r="I234">
        <v>3.4260230156898763</v>
      </c>
      <c r="J234">
        <v>2.6998377258672459</v>
      </c>
    </row>
    <row r="235" spans="1:10" x14ac:dyDescent="0.25">
      <c r="A235" s="71" t="s">
        <v>449</v>
      </c>
      <c r="B235" s="71">
        <v>236</v>
      </c>
      <c r="C235">
        <v>0.6020599913279624</v>
      </c>
      <c r="D235">
        <v>0.6020599913279624</v>
      </c>
      <c r="E235">
        <v>0</v>
      </c>
      <c r="F235">
        <v>0</v>
      </c>
      <c r="G235">
        <v>0</v>
      </c>
      <c r="H235">
        <v>0</v>
      </c>
      <c r="I235">
        <v>0.6020599913279624</v>
      </c>
      <c r="J235">
        <v>0.6020599913279624</v>
      </c>
    </row>
    <row r="236" spans="1:10" x14ac:dyDescent="0.25">
      <c r="A236" s="71" t="s">
        <v>449</v>
      </c>
      <c r="B236" s="71">
        <v>237</v>
      </c>
      <c r="C236">
        <v>0.69897000433601886</v>
      </c>
      <c r="D236">
        <v>0.69897000433601886</v>
      </c>
      <c r="E236">
        <v>0.47712125471966244</v>
      </c>
      <c r="F236">
        <v>0.47712125471966244</v>
      </c>
      <c r="G236">
        <v>0.3010299956639812</v>
      </c>
      <c r="H236">
        <v>0.3010299956639812</v>
      </c>
      <c r="I236">
        <v>0.3010299956639812</v>
      </c>
      <c r="J236">
        <v>0.3010299956639812</v>
      </c>
    </row>
    <row r="237" spans="1:10" x14ac:dyDescent="0.25">
      <c r="A237" s="55" t="s">
        <v>423</v>
      </c>
      <c r="B237" s="71">
        <v>238</v>
      </c>
      <c r="C237">
        <v>1.4771212547196624</v>
      </c>
      <c r="D237">
        <v>1.4771212547196624</v>
      </c>
      <c r="E237">
        <v>0.3010299956639812</v>
      </c>
      <c r="F237">
        <v>0.3010299956639812</v>
      </c>
      <c r="G237">
        <v>0</v>
      </c>
      <c r="H237">
        <v>0</v>
      </c>
      <c r="I237">
        <v>1.4623979978989561</v>
      </c>
      <c r="J237">
        <v>1.4623979978989561</v>
      </c>
    </row>
    <row r="238" spans="1:10" x14ac:dyDescent="0.25">
      <c r="A238" s="55" t="s">
        <v>423</v>
      </c>
      <c r="B238" s="71">
        <v>239</v>
      </c>
      <c r="C238">
        <v>1.1139433523068367</v>
      </c>
      <c r="D238">
        <v>1.1139433523068367</v>
      </c>
      <c r="E238">
        <v>0.47712125471966244</v>
      </c>
      <c r="F238">
        <v>0.47712125471966244</v>
      </c>
      <c r="G238">
        <v>0.3010299956639812</v>
      </c>
      <c r="H238">
        <v>0.3010299956639812</v>
      </c>
      <c r="I238">
        <v>1</v>
      </c>
      <c r="J238">
        <v>1</v>
      </c>
    </row>
    <row r="239" spans="1:10" x14ac:dyDescent="0.25">
      <c r="A239" s="72" t="s">
        <v>56</v>
      </c>
      <c r="B239" s="71">
        <v>240</v>
      </c>
      <c r="C239">
        <v>2.2174839442139063</v>
      </c>
      <c r="D239">
        <v>2.0492180226701815</v>
      </c>
      <c r="E239">
        <v>1</v>
      </c>
      <c r="F239">
        <v>0.95424250943932487</v>
      </c>
      <c r="G239">
        <v>0.69897000433601886</v>
      </c>
      <c r="H239">
        <v>0.69897000433601886</v>
      </c>
      <c r="I239">
        <v>2.1818435879447726</v>
      </c>
      <c r="J239">
        <v>2</v>
      </c>
    </row>
    <row r="240" spans="1:10" x14ac:dyDescent="0.25">
      <c r="A240" s="72" t="s">
        <v>56</v>
      </c>
      <c r="B240" s="71">
        <v>241</v>
      </c>
      <c r="C240">
        <v>0.6020599913279624</v>
      </c>
      <c r="D240">
        <v>0.6020599913279624</v>
      </c>
      <c r="E240">
        <v>0.3010299956639812</v>
      </c>
      <c r="F240">
        <v>0.3010299956639812</v>
      </c>
      <c r="G240">
        <v>0.3010299956639812</v>
      </c>
      <c r="H240">
        <v>0.3010299956639812</v>
      </c>
      <c r="I240">
        <v>0.3010299956639812</v>
      </c>
      <c r="J240">
        <v>0.3010299956639812</v>
      </c>
    </row>
    <row r="241" spans="1:10" x14ac:dyDescent="0.25">
      <c r="A241" s="72" t="s">
        <v>427</v>
      </c>
      <c r="B241" s="71">
        <v>242</v>
      </c>
      <c r="C241">
        <v>3.5140161804006493</v>
      </c>
      <c r="D241">
        <v>2.890979596989689</v>
      </c>
      <c r="E241">
        <v>0.95424250943932487</v>
      </c>
      <c r="F241">
        <v>0.95424250943932487</v>
      </c>
      <c r="G241">
        <v>3.00774777800074</v>
      </c>
      <c r="H241">
        <v>2.4313637641589874</v>
      </c>
      <c r="I241">
        <v>3.3504418565350611</v>
      </c>
      <c r="J241">
        <v>2.6998377258672459</v>
      </c>
    </row>
    <row r="242" spans="1:10" x14ac:dyDescent="0.25">
      <c r="A242" s="72" t="s">
        <v>427</v>
      </c>
      <c r="B242" s="71">
        <v>243</v>
      </c>
      <c r="C242">
        <v>0.6020599913279624</v>
      </c>
      <c r="D242">
        <v>0.6020599913279624</v>
      </c>
      <c r="E242">
        <v>0.47712125471966244</v>
      </c>
      <c r="F242">
        <v>0.47712125471966244</v>
      </c>
      <c r="G242">
        <v>0</v>
      </c>
      <c r="H242">
        <v>0</v>
      </c>
      <c r="I242">
        <v>0.3010299956639812</v>
      </c>
      <c r="J242">
        <v>0.3010299956639812</v>
      </c>
    </row>
    <row r="243" spans="1:10" x14ac:dyDescent="0.25">
      <c r="A243" s="71" t="s">
        <v>428</v>
      </c>
      <c r="B243" s="71">
        <v>244</v>
      </c>
      <c r="C243">
        <v>2.0969100130080562</v>
      </c>
      <c r="D243">
        <v>1.919078092376074</v>
      </c>
      <c r="E243">
        <v>0.77815125038364363</v>
      </c>
      <c r="F243">
        <v>0.77815125038364363</v>
      </c>
      <c r="G243">
        <v>0.3010299956639812</v>
      </c>
      <c r="H243">
        <v>0.3010299956639812</v>
      </c>
      <c r="I243">
        <v>2.0755469613925306</v>
      </c>
      <c r="J243">
        <v>1.8864907251724818</v>
      </c>
    </row>
    <row r="244" spans="1:10" x14ac:dyDescent="0.25">
      <c r="A244" s="71" t="s">
        <v>428</v>
      </c>
      <c r="B244" s="71">
        <v>245</v>
      </c>
      <c r="C244">
        <v>1.0791812460476249</v>
      </c>
      <c r="D244">
        <v>0.90308998699194354</v>
      </c>
      <c r="E244">
        <v>0.69897000433601886</v>
      </c>
      <c r="F244">
        <v>0.6020599913279624</v>
      </c>
      <c r="G244">
        <v>0.84509804001425681</v>
      </c>
      <c r="H244">
        <v>0.6020599913279624</v>
      </c>
      <c r="I244">
        <v>0.3010299956639812</v>
      </c>
      <c r="J244">
        <v>0.3010299956639812</v>
      </c>
    </row>
    <row r="245" spans="1:10" x14ac:dyDescent="0.25">
      <c r="A245" s="71" t="s">
        <v>411</v>
      </c>
      <c r="B245" s="71">
        <v>246</v>
      </c>
      <c r="C245">
        <v>3.1652443261253107</v>
      </c>
      <c r="D245">
        <v>2.6954816764901977</v>
      </c>
      <c r="E245">
        <v>2.6483600109809315</v>
      </c>
      <c r="F245">
        <v>2.1958996524092336</v>
      </c>
      <c r="G245">
        <v>2.663700925389648</v>
      </c>
      <c r="H245">
        <v>2.2041199826559246</v>
      </c>
      <c r="I245">
        <v>2.7474118078864231</v>
      </c>
      <c r="J245">
        <v>2.2576785748691846</v>
      </c>
    </row>
    <row r="246" spans="1:10" x14ac:dyDescent="0.25">
      <c r="A246" s="71" t="s">
        <v>411</v>
      </c>
      <c r="B246" s="71">
        <v>247</v>
      </c>
      <c r="C246">
        <v>3.2121876044039577</v>
      </c>
      <c r="D246">
        <v>2.7218106152125467</v>
      </c>
      <c r="E246">
        <v>2.6946051989335689</v>
      </c>
      <c r="F246">
        <v>2.2174839442139063</v>
      </c>
      <c r="G246">
        <v>2.7134905430939424</v>
      </c>
      <c r="H246">
        <v>2.2329961103921536</v>
      </c>
      <c r="I246">
        <v>2.7923916894982539</v>
      </c>
      <c r="J246">
        <v>2.2855573090077739</v>
      </c>
    </row>
    <row r="247" spans="1:10" x14ac:dyDescent="0.25">
      <c r="A247" s="71" t="s">
        <v>428</v>
      </c>
      <c r="B247" s="71">
        <v>248</v>
      </c>
      <c r="C247">
        <v>1</v>
      </c>
      <c r="D247">
        <v>1</v>
      </c>
      <c r="E247">
        <v>0.90308998699194354</v>
      </c>
      <c r="F247">
        <v>0.90308998699194354</v>
      </c>
      <c r="G247">
        <v>0</v>
      </c>
      <c r="H247">
        <v>0</v>
      </c>
      <c r="I247">
        <v>0.47712125471966244</v>
      </c>
      <c r="J247">
        <v>0.47712125471966244</v>
      </c>
    </row>
    <row r="248" spans="1:10" x14ac:dyDescent="0.25">
      <c r="A248" s="71" t="s">
        <v>428</v>
      </c>
      <c r="B248" s="71">
        <v>249</v>
      </c>
      <c r="C248">
        <v>0.6020599913279624</v>
      </c>
      <c r="D248">
        <v>0.6020599913279624</v>
      </c>
      <c r="E248">
        <v>0.6020599913279624</v>
      </c>
      <c r="F248">
        <v>0.6020599913279624</v>
      </c>
      <c r="G248">
        <v>0</v>
      </c>
      <c r="H248">
        <v>0</v>
      </c>
      <c r="I248">
        <v>0</v>
      </c>
      <c r="J248">
        <v>0</v>
      </c>
    </row>
    <row r="249" spans="1:10" x14ac:dyDescent="0.25">
      <c r="A249" s="71" t="s">
        <v>411</v>
      </c>
      <c r="B249" s="71">
        <v>250</v>
      </c>
      <c r="C249">
        <v>2.9253120914996495</v>
      </c>
      <c r="D249">
        <v>2.5751878449276608</v>
      </c>
      <c r="E249">
        <v>2.5415792439465807</v>
      </c>
      <c r="F249">
        <v>2.1461280356782382</v>
      </c>
      <c r="G249">
        <v>2.4857214264815801</v>
      </c>
      <c r="H249">
        <v>2.1139433523068369</v>
      </c>
      <c r="I249">
        <v>2.2787536009528289</v>
      </c>
      <c r="J249">
        <v>2.0334237554869499</v>
      </c>
    </row>
    <row r="250" spans="1:10" x14ac:dyDescent="0.25">
      <c r="A250" s="71" t="s">
        <v>411</v>
      </c>
      <c r="B250" s="71">
        <v>251</v>
      </c>
      <c r="C250">
        <v>2.8188854145940097</v>
      </c>
      <c r="D250">
        <v>2.5198279937757189</v>
      </c>
      <c r="E250">
        <v>2.2624510897304293</v>
      </c>
      <c r="F250">
        <v>2.012837224705172</v>
      </c>
      <c r="G250">
        <v>2.469822015978163</v>
      </c>
      <c r="H250">
        <v>2.1038037209559568</v>
      </c>
      <c r="I250">
        <v>2.2624510897304293</v>
      </c>
      <c r="J250">
        <v>2.012837224705172</v>
      </c>
    </row>
    <row r="251" spans="1:10" x14ac:dyDescent="0.25">
      <c r="A251" s="71" t="s">
        <v>425</v>
      </c>
      <c r="B251" s="71">
        <v>252</v>
      </c>
      <c r="C251">
        <v>3.4599952560473914</v>
      </c>
      <c r="D251">
        <v>2.885926339801431</v>
      </c>
      <c r="E251">
        <v>3.0704073217401198</v>
      </c>
      <c r="F251">
        <v>2.4771212547196626</v>
      </c>
      <c r="G251">
        <v>2.9858753573083936</v>
      </c>
      <c r="H251">
        <v>2.4116197059632301</v>
      </c>
      <c r="I251">
        <v>2.8704039052790269</v>
      </c>
      <c r="J251">
        <v>2.3283796034387376</v>
      </c>
    </row>
    <row r="252" spans="1:10" x14ac:dyDescent="0.25">
      <c r="A252" s="71" t="s">
        <v>425</v>
      </c>
      <c r="B252" s="71">
        <v>253</v>
      </c>
      <c r="C252">
        <v>3.3740147402919116</v>
      </c>
      <c r="D252">
        <v>2.8169038393756605</v>
      </c>
      <c r="E252">
        <v>2.9211660506377388</v>
      </c>
      <c r="F252">
        <v>2.3541084391474008</v>
      </c>
      <c r="G252">
        <v>2.8965262174895554</v>
      </c>
      <c r="H252">
        <v>2.3404441148401185</v>
      </c>
      <c r="I252">
        <v>2.8727388274726686</v>
      </c>
      <c r="J252">
        <v>2.3283796034387376</v>
      </c>
    </row>
    <row r="253" spans="1:10" x14ac:dyDescent="0.25">
      <c r="A253" s="71" t="s">
        <v>425</v>
      </c>
      <c r="B253" s="71">
        <v>254</v>
      </c>
      <c r="C253">
        <v>1.146128035678238</v>
      </c>
      <c r="D253">
        <v>1.146128035678238</v>
      </c>
      <c r="E253">
        <v>0.84509804001425681</v>
      </c>
      <c r="F253">
        <v>0.84509804001425681</v>
      </c>
      <c r="G253">
        <v>0.3010299956639812</v>
      </c>
      <c r="H253">
        <v>0.3010299956639812</v>
      </c>
      <c r="I253">
        <v>0.84509804001425681</v>
      </c>
      <c r="J253">
        <v>0.84509804001425681</v>
      </c>
    </row>
    <row r="254" spans="1:10" x14ac:dyDescent="0.25">
      <c r="A254" s="71" t="s">
        <v>437</v>
      </c>
      <c r="B254" s="71">
        <v>255</v>
      </c>
      <c r="C254">
        <v>0.6020599913279624</v>
      </c>
      <c r="D254">
        <v>0.6020599913279624</v>
      </c>
      <c r="E254">
        <v>0.6020599913279624</v>
      </c>
      <c r="F254">
        <v>0.6020599913279624</v>
      </c>
      <c r="G254">
        <v>0</v>
      </c>
      <c r="H254">
        <v>0</v>
      </c>
      <c r="I254">
        <v>0</v>
      </c>
      <c r="J254">
        <v>0</v>
      </c>
    </row>
    <row r="255" spans="1:10" x14ac:dyDescent="0.25">
      <c r="A255" s="71" t="s">
        <v>437</v>
      </c>
      <c r="B255" s="71">
        <v>256</v>
      </c>
      <c r="C255">
        <v>0.47712125471966244</v>
      </c>
      <c r="D255">
        <v>0.47712125471966244</v>
      </c>
      <c r="E255">
        <v>0</v>
      </c>
      <c r="F255">
        <v>0</v>
      </c>
      <c r="G255">
        <v>0.47712125471966244</v>
      </c>
      <c r="H255">
        <v>0.47712125471966244</v>
      </c>
      <c r="I255">
        <v>0</v>
      </c>
      <c r="J255">
        <v>0</v>
      </c>
    </row>
    <row r="256" spans="1:10" x14ac:dyDescent="0.25">
      <c r="A256" s="71" t="s">
        <v>437</v>
      </c>
      <c r="B256" s="71">
        <v>257</v>
      </c>
      <c r="C256">
        <v>1.6901960800285136</v>
      </c>
      <c r="D256">
        <v>1.6627578316815741</v>
      </c>
      <c r="E256">
        <v>1.3617278360175928</v>
      </c>
      <c r="F256">
        <v>1.3222192947339193</v>
      </c>
      <c r="G256">
        <v>1</v>
      </c>
      <c r="H256">
        <v>0.95424250943932487</v>
      </c>
      <c r="I256">
        <v>1.255272505103306</v>
      </c>
      <c r="J256">
        <v>1.255272505103306</v>
      </c>
    </row>
    <row r="257" spans="1:10" x14ac:dyDescent="0.25">
      <c r="A257" s="71" t="s">
        <v>438</v>
      </c>
      <c r="B257" s="71">
        <v>258</v>
      </c>
      <c r="C257">
        <v>1.0791812460476249</v>
      </c>
      <c r="D257">
        <v>1.0791812460476249</v>
      </c>
      <c r="E257">
        <v>0.69897000433601886</v>
      </c>
      <c r="F257">
        <v>0.69897000433601886</v>
      </c>
      <c r="G257">
        <v>0</v>
      </c>
      <c r="H257">
        <v>0</v>
      </c>
      <c r="I257">
        <v>0.90308998699194354</v>
      </c>
      <c r="J257">
        <v>0.90308998699194354</v>
      </c>
    </row>
    <row r="258" spans="1:10" x14ac:dyDescent="0.25">
      <c r="A258" s="71" t="s">
        <v>439</v>
      </c>
      <c r="B258" s="71">
        <v>259</v>
      </c>
      <c r="C258">
        <v>3.1908917169221698</v>
      </c>
      <c r="D258">
        <v>2.7084209001347128</v>
      </c>
      <c r="E258">
        <v>2.7972675408307164</v>
      </c>
      <c r="F258">
        <v>2.2855573090077739</v>
      </c>
      <c r="G258">
        <v>2.7853298350107671</v>
      </c>
      <c r="H258">
        <v>2.2764618041732443</v>
      </c>
      <c r="I258">
        <v>2.5010592622177517</v>
      </c>
      <c r="J258">
        <v>2.1172712956557644</v>
      </c>
    </row>
    <row r="259" spans="1:10" x14ac:dyDescent="0.25">
      <c r="A259" s="71" t="s">
        <v>439</v>
      </c>
      <c r="B259" s="71">
        <v>260</v>
      </c>
      <c r="C259">
        <v>3.1844074854123203</v>
      </c>
      <c r="D259">
        <v>2.6998377258672459</v>
      </c>
      <c r="E259">
        <v>2.6532125137753435</v>
      </c>
      <c r="F259">
        <v>2.1931245983544616</v>
      </c>
      <c r="G259">
        <v>2.7604224834232118</v>
      </c>
      <c r="H259">
        <v>2.255272505103306</v>
      </c>
      <c r="I259">
        <v>2.7032913781186614</v>
      </c>
      <c r="J259">
        <v>2.2227164711475833</v>
      </c>
    </row>
    <row r="260" spans="1:10" x14ac:dyDescent="0.25">
      <c r="A260" s="71" t="s">
        <v>440</v>
      </c>
      <c r="B260" s="71">
        <v>261</v>
      </c>
      <c r="C260">
        <v>3.7801011914679115</v>
      </c>
      <c r="D260">
        <v>3.1215598441875008</v>
      </c>
      <c r="E260">
        <v>3.230704313612569</v>
      </c>
      <c r="F260">
        <v>2.5854607295085006</v>
      </c>
      <c r="G260">
        <v>3.3104808914626753</v>
      </c>
      <c r="H260">
        <v>2.6493348587121419</v>
      </c>
      <c r="I260">
        <v>3.3586960995738107</v>
      </c>
      <c r="J260">
        <v>2.6937269489236471</v>
      </c>
    </row>
    <row r="261" spans="1:10" x14ac:dyDescent="0.25">
      <c r="A261" s="71" t="s">
        <v>440</v>
      </c>
      <c r="B261" s="71">
        <v>262</v>
      </c>
      <c r="C261">
        <v>2.7347998295888472</v>
      </c>
      <c r="D261">
        <v>2.2504200023088941</v>
      </c>
      <c r="E261">
        <v>0.3010299956639812</v>
      </c>
      <c r="F261">
        <v>0.3010299956639812</v>
      </c>
      <c r="G261">
        <v>0.3010299956639812</v>
      </c>
      <c r="H261">
        <v>0.3010299956639812</v>
      </c>
      <c r="I261">
        <v>2.7331972651065692</v>
      </c>
      <c r="J261">
        <v>2.2455126678141499</v>
      </c>
    </row>
    <row r="262" spans="1:10" x14ac:dyDescent="0.25">
      <c r="A262" s="71" t="s">
        <v>440</v>
      </c>
      <c r="B262" s="71">
        <v>263</v>
      </c>
      <c r="C262">
        <v>3.6924062348336304</v>
      </c>
      <c r="D262">
        <v>3.0707764628434346</v>
      </c>
      <c r="E262">
        <v>2.9444826721501687</v>
      </c>
      <c r="F262">
        <v>2.3838153659804311</v>
      </c>
      <c r="G262">
        <v>3.3402457615679317</v>
      </c>
      <c r="H262">
        <v>2.6998377258672459</v>
      </c>
      <c r="I262">
        <v>3.2690457096576231</v>
      </c>
      <c r="J262">
        <v>2.6394864892685859</v>
      </c>
    </row>
    <row r="263" spans="1:10" x14ac:dyDescent="0.25">
      <c r="A263" s="72" t="s">
        <v>145</v>
      </c>
      <c r="B263" s="71">
        <v>264</v>
      </c>
      <c r="C263">
        <v>3.8020892578817329</v>
      </c>
      <c r="D263">
        <v>3.1565491513317814</v>
      </c>
      <c r="E263">
        <v>3.2643455070500926</v>
      </c>
      <c r="F263">
        <v>2.6374897295125108</v>
      </c>
      <c r="G263">
        <v>3.3467440546048488</v>
      </c>
      <c r="H263">
        <v>2.6998377258672459</v>
      </c>
      <c r="I263">
        <v>3.3583156400821959</v>
      </c>
      <c r="J263">
        <v>2.6998377258672459</v>
      </c>
    </row>
    <row r="264" spans="1:10" x14ac:dyDescent="0.25">
      <c r="A264" s="72" t="s">
        <v>145</v>
      </c>
      <c r="B264" s="71">
        <v>265</v>
      </c>
      <c r="C264">
        <v>3.7789467279686169</v>
      </c>
      <c r="D264">
        <v>3.1476763242410986</v>
      </c>
      <c r="E264">
        <v>3.2808059283936668</v>
      </c>
      <c r="F264">
        <v>2.6532125137753435</v>
      </c>
      <c r="G264">
        <v>3.2986347831244354</v>
      </c>
      <c r="H264">
        <v>2.6683859166900001</v>
      </c>
      <c r="I264">
        <v>3.325310371711061</v>
      </c>
      <c r="J264">
        <v>2.6910814921229687</v>
      </c>
    </row>
    <row r="265" spans="1:10" x14ac:dyDescent="0.25">
      <c r="A265" s="72" t="s">
        <v>450</v>
      </c>
      <c r="B265" s="71">
        <v>266</v>
      </c>
      <c r="C265">
        <v>3.2523675144598987</v>
      </c>
      <c r="D265">
        <v>2.7497363155690611</v>
      </c>
      <c r="E265">
        <v>2.7267272090265724</v>
      </c>
      <c r="F265">
        <v>2.2430380486862944</v>
      </c>
      <c r="G265">
        <v>2.7291647896927702</v>
      </c>
      <c r="H265">
        <v>2.2479732663618068</v>
      </c>
      <c r="I265">
        <v>2.8579352647194289</v>
      </c>
      <c r="J265">
        <v>2.3263358609287512</v>
      </c>
    </row>
    <row r="266" spans="1:10" x14ac:dyDescent="0.25">
      <c r="A266" s="72" t="s">
        <v>450</v>
      </c>
      <c r="B266" s="71">
        <v>267</v>
      </c>
      <c r="C266">
        <v>3.5264685124694775</v>
      </c>
      <c r="D266">
        <v>2.9329808219231981</v>
      </c>
      <c r="E266">
        <v>2.2988530764097068</v>
      </c>
      <c r="F266">
        <v>2.0413926851582249</v>
      </c>
      <c r="G266">
        <v>3.106870544478654</v>
      </c>
      <c r="H266">
        <v>2.5078558716958308</v>
      </c>
      <c r="I266">
        <v>3.2753113545418118</v>
      </c>
      <c r="J266">
        <v>2.6304278750250241</v>
      </c>
    </row>
    <row r="267" spans="1:10" x14ac:dyDescent="0.25">
      <c r="A267" s="72" t="s">
        <v>453</v>
      </c>
      <c r="B267" s="71">
        <v>268</v>
      </c>
      <c r="C267">
        <v>3.6153186566114788</v>
      </c>
      <c r="D267">
        <v>2.9973863843973132</v>
      </c>
      <c r="E267">
        <v>3.2121876044039577</v>
      </c>
      <c r="F267">
        <v>2.5854607295085006</v>
      </c>
      <c r="G267">
        <v>3.1417632302757879</v>
      </c>
      <c r="H267">
        <v>2.5224442335063197</v>
      </c>
      <c r="I267">
        <v>3.0453229787866576</v>
      </c>
      <c r="J267">
        <v>2.4440447959180762</v>
      </c>
    </row>
    <row r="268" spans="1:10" x14ac:dyDescent="0.25">
      <c r="A268" s="72" t="s">
        <v>453</v>
      </c>
      <c r="B268" s="71">
        <v>269</v>
      </c>
      <c r="C268">
        <v>3.1679078100014801</v>
      </c>
      <c r="D268">
        <v>2.6946051989335689</v>
      </c>
      <c r="E268">
        <v>2.9030899869919438</v>
      </c>
      <c r="F268">
        <v>2.3521825181113627</v>
      </c>
      <c r="G268">
        <v>2.4857214264815801</v>
      </c>
      <c r="H268">
        <v>2.1139433523068369</v>
      </c>
      <c r="I268">
        <v>2.5658478186735176</v>
      </c>
      <c r="J268">
        <v>2.1522883443830563</v>
      </c>
    </row>
    <row r="269" spans="1:10" x14ac:dyDescent="0.25">
      <c r="A269" s="72" t="s">
        <v>452</v>
      </c>
      <c r="B269" s="71">
        <v>270</v>
      </c>
      <c r="C269">
        <v>0.95424250943932487</v>
      </c>
      <c r="D269">
        <v>0.95424250943932487</v>
      </c>
      <c r="E269">
        <v>0.6020599913279624</v>
      </c>
      <c r="F269">
        <v>0.6020599913279624</v>
      </c>
      <c r="G269">
        <v>0</v>
      </c>
      <c r="H269">
        <v>0</v>
      </c>
      <c r="I269">
        <v>0.77815125038364363</v>
      </c>
      <c r="J269">
        <v>0.77815125038364363</v>
      </c>
    </row>
    <row r="270" spans="1:10" x14ac:dyDescent="0.25">
      <c r="A270" s="72" t="s">
        <v>452</v>
      </c>
      <c r="B270" s="71">
        <v>271</v>
      </c>
      <c r="C270">
        <v>0.6020599913279624</v>
      </c>
      <c r="D270">
        <v>0.6020599913279624</v>
      </c>
      <c r="E270">
        <v>0.6020599913279624</v>
      </c>
      <c r="F270">
        <v>0.6020599913279624</v>
      </c>
      <c r="G270">
        <v>0</v>
      </c>
      <c r="H270">
        <v>0</v>
      </c>
      <c r="I270">
        <v>0</v>
      </c>
      <c r="J270">
        <v>0</v>
      </c>
    </row>
    <row r="271" spans="1:10" x14ac:dyDescent="0.25">
      <c r="A271" s="72" t="s">
        <v>439</v>
      </c>
      <c r="B271" s="71">
        <v>272</v>
      </c>
      <c r="C271">
        <v>3.6349808000512285</v>
      </c>
      <c r="D271">
        <v>3.0257153839013409</v>
      </c>
      <c r="E271">
        <v>3.2785249647370174</v>
      </c>
      <c r="F271">
        <v>2.6493348587121419</v>
      </c>
      <c r="G271">
        <v>3.1051694279993316</v>
      </c>
      <c r="H271">
        <v>2.509202522331103</v>
      </c>
      <c r="I271">
        <v>3.0584260244570052</v>
      </c>
      <c r="J271">
        <v>2.4683473304121573</v>
      </c>
    </row>
    <row r="272" spans="1:10" x14ac:dyDescent="0.25">
      <c r="A272" s="72" t="s">
        <v>439</v>
      </c>
      <c r="B272" s="71">
        <v>273</v>
      </c>
      <c r="C272">
        <v>3.6059511575648728</v>
      </c>
      <c r="D272">
        <v>2.9804578922761</v>
      </c>
      <c r="E272">
        <v>2.5843312243675309</v>
      </c>
      <c r="F272">
        <v>2.1613680022349748</v>
      </c>
      <c r="G272">
        <v>3.2564772062416769</v>
      </c>
      <c r="H272">
        <v>2.6148972160331345</v>
      </c>
      <c r="I272">
        <v>3.2669369111591728</v>
      </c>
      <c r="J272">
        <v>2.6031443726201822</v>
      </c>
    </row>
    <row r="273" spans="1:10" x14ac:dyDescent="0.25">
      <c r="A273" s="72" t="s">
        <v>454</v>
      </c>
      <c r="B273" s="71">
        <v>274</v>
      </c>
      <c r="C273">
        <v>3.3263358609287512</v>
      </c>
      <c r="D273">
        <v>2.7965743332104296</v>
      </c>
      <c r="E273">
        <v>2.9885589568786157</v>
      </c>
      <c r="F273">
        <v>2.4216039268698313</v>
      </c>
      <c r="G273">
        <v>2.5932860670204572</v>
      </c>
      <c r="H273">
        <v>2.173186268412274</v>
      </c>
      <c r="I273">
        <v>2.8785217955012063</v>
      </c>
      <c r="J273">
        <v>2.3324384599156054</v>
      </c>
    </row>
    <row r="274" spans="1:10" x14ac:dyDescent="0.25">
      <c r="A274" s="72" t="s">
        <v>454</v>
      </c>
      <c r="B274" s="71">
        <v>275</v>
      </c>
      <c r="C274">
        <v>3.8147801457458046</v>
      </c>
      <c r="D274">
        <v>3.171726453653231</v>
      </c>
      <c r="E274">
        <v>3.327563260187278</v>
      </c>
      <c r="F274">
        <v>2.6857417386022635</v>
      </c>
      <c r="G274">
        <v>3.3426200425533481</v>
      </c>
      <c r="H274">
        <v>2.6998377258672459</v>
      </c>
      <c r="I274">
        <v>3.3430144971507678</v>
      </c>
      <c r="J274">
        <v>2.6998377258672459</v>
      </c>
    </row>
    <row r="275" spans="1:10" x14ac:dyDescent="0.25">
      <c r="A275" s="72" t="s">
        <v>451</v>
      </c>
      <c r="B275" s="71">
        <v>276</v>
      </c>
      <c r="C275">
        <v>0.3010299956639812</v>
      </c>
      <c r="D275">
        <v>0.3010299956639812</v>
      </c>
      <c r="E275">
        <v>0</v>
      </c>
      <c r="F275">
        <v>0</v>
      </c>
      <c r="G275">
        <v>0</v>
      </c>
      <c r="H275">
        <v>0</v>
      </c>
      <c r="I275">
        <v>0.3010299956639812</v>
      </c>
      <c r="J275">
        <v>0.3010299956639812</v>
      </c>
    </row>
    <row r="276" spans="1:10" x14ac:dyDescent="0.25">
      <c r="A276" s="72" t="s">
        <v>451</v>
      </c>
      <c r="B276" s="71">
        <v>277</v>
      </c>
      <c r="C276">
        <v>1</v>
      </c>
      <c r="D276">
        <v>0.90308998699194354</v>
      </c>
      <c r="E276">
        <v>0.84509804001425681</v>
      </c>
      <c r="F276">
        <v>0.69897000433601886</v>
      </c>
      <c r="G276">
        <v>0.3010299956639812</v>
      </c>
      <c r="H276">
        <v>0.3010299956639812</v>
      </c>
      <c r="I276">
        <v>0.47712125471966244</v>
      </c>
      <c r="J276">
        <v>0.47712125471966244</v>
      </c>
    </row>
    <row r="277" spans="1:10" x14ac:dyDescent="0.25">
      <c r="A277" s="72" t="s">
        <v>455</v>
      </c>
      <c r="B277" s="71">
        <v>278</v>
      </c>
      <c r="C277">
        <v>2.6190933306267428</v>
      </c>
      <c r="D277">
        <v>2.2479732663618068</v>
      </c>
      <c r="E277">
        <v>1.5910646070264991</v>
      </c>
      <c r="F277">
        <v>1.5185139398778875</v>
      </c>
      <c r="G277">
        <v>0.3010299956639812</v>
      </c>
      <c r="H277">
        <v>0.3010299956639812</v>
      </c>
      <c r="I277">
        <v>2.576341350205793</v>
      </c>
      <c r="J277">
        <v>2.1583624920952498</v>
      </c>
    </row>
    <row r="278" spans="1:10" x14ac:dyDescent="0.25">
      <c r="A278" s="72" t="s">
        <v>455</v>
      </c>
      <c r="B278" s="71">
        <v>279</v>
      </c>
      <c r="C278">
        <v>2.9237619608287004</v>
      </c>
      <c r="D278">
        <v>2.5550944485783194</v>
      </c>
      <c r="E278">
        <v>2.3201462861110542</v>
      </c>
      <c r="F278">
        <v>2.0253058652647704</v>
      </c>
      <c r="G278">
        <v>2.3201462861110542</v>
      </c>
      <c r="H278">
        <v>2.0253058652647704</v>
      </c>
      <c r="I278">
        <v>2.6263403673750423</v>
      </c>
      <c r="J278">
        <v>2.173186268412274</v>
      </c>
    </row>
    <row r="279" spans="1:10" x14ac:dyDescent="0.25">
      <c r="A279" s="72" t="s">
        <v>455</v>
      </c>
      <c r="B279" s="71">
        <v>280</v>
      </c>
      <c r="C279">
        <v>3.6090605499300872</v>
      </c>
      <c r="D279">
        <v>2.9849771264154934</v>
      </c>
      <c r="E279">
        <v>3.1209028176145273</v>
      </c>
      <c r="F279">
        <v>2.4969296480732148</v>
      </c>
      <c r="G279">
        <v>3.0895518828864539</v>
      </c>
      <c r="H279">
        <v>2.4742162640762553</v>
      </c>
      <c r="I279">
        <v>3.1809855807867304</v>
      </c>
      <c r="J279">
        <v>2.5514499979728753</v>
      </c>
    </row>
    <row r="280" spans="1:10" x14ac:dyDescent="0.25">
      <c r="A280" s="72" t="s">
        <v>455</v>
      </c>
      <c r="B280" s="71">
        <v>281</v>
      </c>
      <c r="C280">
        <v>3.7237839369653294</v>
      </c>
      <c r="D280">
        <v>3.0874264570362855</v>
      </c>
      <c r="E280">
        <v>3.182414652434554</v>
      </c>
      <c r="F280">
        <v>2.5526682161121932</v>
      </c>
      <c r="G280">
        <v>3.2595938788859486</v>
      </c>
      <c r="H280">
        <v>2.6232492903979003</v>
      </c>
      <c r="I280">
        <v>3.2913688504515828</v>
      </c>
      <c r="J280">
        <v>2.651278013998144</v>
      </c>
    </row>
    <row r="281" spans="1:10" x14ac:dyDescent="0.25">
      <c r="A281" s="72" t="s">
        <v>454</v>
      </c>
      <c r="B281" s="71">
        <v>282</v>
      </c>
      <c r="C281">
        <v>3.6573427368146261</v>
      </c>
      <c r="D281">
        <v>3.0406023401140732</v>
      </c>
      <c r="E281">
        <v>2.9319661147281728</v>
      </c>
      <c r="F281">
        <v>2.369215857410143</v>
      </c>
      <c r="G281">
        <v>3.1818435879447726</v>
      </c>
      <c r="H281">
        <v>2.568201724066995</v>
      </c>
      <c r="I281">
        <v>3.3364597338485296</v>
      </c>
      <c r="J281">
        <v>2.6954816764901977</v>
      </c>
    </row>
    <row r="282" spans="1:10" x14ac:dyDescent="0.25">
      <c r="A282" s="72" t="s">
        <v>454</v>
      </c>
      <c r="B282" s="71">
        <v>283</v>
      </c>
      <c r="C282">
        <v>3.781898919351149</v>
      </c>
      <c r="D282">
        <v>3.1392492175716069</v>
      </c>
      <c r="E282">
        <v>3.216957207361097</v>
      </c>
      <c r="F282">
        <v>2.5843312243675309</v>
      </c>
      <c r="G282">
        <v>3.3402457615679317</v>
      </c>
      <c r="H282">
        <v>2.6946051989335689</v>
      </c>
      <c r="I282">
        <v>3.3457656931144881</v>
      </c>
      <c r="J282">
        <v>2.6998377258672459</v>
      </c>
    </row>
    <row r="283" spans="1:10" x14ac:dyDescent="0.25">
      <c r="A283" s="72" t="s">
        <v>423</v>
      </c>
      <c r="B283" s="71">
        <v>284</v>
      </c>
      <c r="C283">
        <v>0.84509804001425681</v>
      </c>
      <c r="D283">
        <v>0.84509804001425681</v>
      </c>
      <c r="E283">
        <v>0.69897000433601886</v>
      </c>
      <c r="F283">
        <v>0.69897000433601886</v>
      </c>
      <c r="G283">
        <v>0.3010299956639812</v>
      </c>
      <c r="H283">
        <v>0.3010299956639812</v>
      </c>
      <c r="I283">
        <v>0.3010299956639812</v>
      </c>
      <c r="J283">
        <v>0.3010299956639812</v>
      </c>
    </row>
    <row r="284" spans="1:10" x14ac:dyDescent="0.25">
      <c r="A284" s="72" t="s">
        <v>423</v>
      </c>
      <c r="B284" s="71">
        <v>285</v>
      </c>
      <c r="C284">
        <v>1.2041199826559248</v>
      </c>
      <c r="D284">
        <v>1.1760912590556813</v>
      </c>
      <c r="E284">
        <v>1.1760912590556813</v>
      </c>
      <c r="F284">
        <v>1.146128035678238</v>
      </c>
      <c r="G284">
        <v>0</v>
      </c>
      <c r="H284">
        <v>0</v>
      </c>
      <c r="I284">
        <v>0.3010299956639812</v>
      </c>
      <c r="J284">
        <v>0.3010299956639812</v>
      </c>
    </row>
    <row r="285" spans="1:10" x14ac:dyDescent="0.25">
      <c r="A285" s="72" t="s">
        <v>457</v>
      </c>
      <c r="B285" s="71">
        <v>286</v>
      </c>
      <c r="C285">
        <v>3.0591846176313711</v>
      </c>
      <c r="D285">
        <v>2.6364878963533656</v>
      </c>
      <c r="E285">
        <v>2.4683473304121573</v>
      </c>
      <c r="F285">
        <v>2.1072099696478683</v>
      </c>
      <c r="G285">
        <v>2.7134905430939424</v>
      </c>
      <c r="H285">
        <v>2.2329961103921536</v>
      </c>
      <c r="I285">
        <v>2.5276299008713385</v>
      </c>
      <c r="J285">
        <v>2.1335389083702174</v>
      </c>
    </row>
    <row r="286" spans="1:10" x14ac:dyDescent="0.25">
      <c r="A286" s="72" t="s">
        <v>457</v>
      </c>
      <c r="B286" s="71">
        <v>287</v>
      </c>
      <c r="C286">
        <v>0.95424250943932487</v>
      </c>
      <c r="D286">
        <v>0.95424250943932487</v>
      </c>
      <c r="E286">
        <v>0.69897000433601886</v>
      </c>
      <c r="F286">
        <v>0.69897000433601886</v>
      </c>
      <c r="G286">
        <v>0.47712125471966244</v>
      </c>
      <c r="H286">
        <v>0.47712125471966244</v>
      </c>
      <c r="I286">
        <v>0.47712125471966244</v>
      </c>
      <c r="J286">
        <v>0.47712125471966244</v>
      </c>
    </row>
    <row r="287" spans="1:10" x14ac:dyDescent="0.25">
      <c r="A287" s="72" t="s">
        <v>460</v>
      </c>
      <c r="B287" s="71">
        <v>288</v>
      </c>
      <c r="C287">
        <v>1</v>
      </c>
      <c r="D287">
        <v>1</v>
      </c>
      <c r="E287">
        <v>0.77815125038364363</v>
      </c>
      <c r="F287">
        <v>0.77815125038364363</v>
      </c>
      <c r="G287">
        <v>0.47712125471966244</v>
      </c>
      <c r="H287">
        <v>0.47712125471966244</v>
      </c>
      <c r="I287">
        <v>0.47712125471966244</v>
      </c>
      <c r="J287">
        <v>0.47712125471966244</v>
      </c>
    </row>
    <row r="288" spans="1:10" x14ac:dyDescent="0.25">
      <c r="A288" s="72" t="s">
        <v>460</v>
      </c>
      <c r="B288" s="71">
        <v>289</v>
      </c>
      <c r="C288">
        <v>0.77815125038364363</v>
      </c>
      <c r="D288">
        <v>0.77815125038364363</v>
      </c>
      <c r="E288">
        <v>0.6020599913279624</v>
      </c>
      <c r="F288">
        <v>0.6020599913279624</v>
      </c>
      <c r="G288">
        <v>0.47712125471966244</v>
      </c>
      <c r="H288">
        <v>0.47712125471966244</v>
      </c>
      <c r="I288">
        <v>0</v>
      </c>
      <c r="J288">
        <v>0</v>
      </c>
    </row>
    <row r="289" spans="1:10" x14ac:dyDescent="0.25">
      <c r="A289" s="72" t="s">
        <v>450</v>
      </c>
      <c r="B289" s="71">
        <v>290</v>
      </c>
      <c r="C289">
        <v>3.3825573219087857</v>
      </c>
      <c r="D289">
        <v>2.8350561017201161</v>
      </c>
      <c r="E289">
        <v>2.9542425094393248</v>
      </c>
      <c r="F289">
        <v>2.3961993470957363</v>
      </c>
      <c r="G289">
        <v>2.6180480967120925</v>
      </c>
      <c r="H289">
        <v>2.1789769472931693</v>
      </c>
      <c r="I289">
        <v>3.0413926851582249</v>
      </c>
      <c r="J289">
        <v>2.4563660331290431</v>
      </c>
    </row>
    <row r="290" spans="1:10" x14ac:dyDescent="0.25">
      <c r="A290" s="72" t="s">
        <v>450</v>
      </c>
      <c r="B290" s="71">
        <v>291</v>
      </c>
      <c r="C290">
        <v>3.1983821300082944</v>
      </c>
      <c r="D290">
        <v>2.7176705030022621</v>
      </c>
      <c r="E290">
        <v>2.935003151453655</v>
      </c>
      <c r="F290">
        <v>2.3802112417116059</v>
      </c>
      <c r="G290">
        <v>2.6263403673750423</v>
      </c>
      <c r="H290">
        <v>2.1875207208364631</v>
      </c>
      <c r="I290">
        <v>2.4727564493172123</v>
      </c>
      <c r="J290">
        <v>2.1139433523068369</v>
      </c>
    </row>
    <row r="291" spans="1:10" x14ac:dyDescent="0.25">
      <c r="A291" s="72" t="s">
        <v>458</v>
      </c>
      <c r="B291" s="71">
        <v>292</v>
      </c>
      <c r="C291">
        <v>2.7387805584843692</v>
      </c>
      <c r="D291">
        <v>2.2600713879850747</v>
      </c>
      <c r="E291">
        <v>0.84509804001425681</v>
      </c>
      <c r="F291">
        <v>0.84509804001425681</v>
      </c>
      <c r="G291">
        <v>0.47712125471966244</v>
      </c>
      <c r="H291">
        <v>0.47712125471966244</v>
      </c>
      <c r="I291">
        <v>2.7323937598229686</v>
      </c>
      <c r="J291">
        <v>2.2405492482825999</v>
      </c>
    </row>
    <row r="292" spans="1:10" x14ac:dyDescent="0.25">
      <c r="A292" s="72" t="s">
        <v>458</v>
      </c>
      <c r="B292" s="71">
        <v>293</v>
      </c>
      <c r="C292">
        <v>2.3424226808222062</v>
      </c>
      <c r="D292">
        <v>2.0453229787866576</v>
      </c>
      <c r="E292">
        <v>0.77815125038364363</v>
      </c>
      <c r="F292">
        <v>0.77815125038364363</v>
      </c>
      <c r="G292">
        <v>0.3010299956639812</v>
      </c>
      <c r="H292">
        <v>0.3010299956639812</v>
      </c>
      <c r="I292">
        <v>2.330413773349191</v>
      </c>
      <c r="J292">
        <v>2.0211892990699383</v>
      </c>
    </row>
    <row r="293" spans="1:10" x14ac:dyDescent="0.25">
      <c r="A293" s="72" t="s">
        <v>452</v>
      </c>
      <c r="B293" s="71">
        <v>294</v>
      </c>
      <c r="C293">
        <v>0.90308998699194354</v>
      </c>
      <c r="D293">
        <v>0.90308998699194354</v>
      </c>
      <c r="E293">
        <v>0.77815125038364363</v>
      </c>
      <c r="F293">
        <v>0.77815125038364363</v>
      </c>
      <c r="G293">
        <v>0</v>
      </c>
      <c r="H293">
        <v>0</v>
      </c>
      <c r="I293">
        <v>0.47712125471966244</v>
      </c>
      <c r="J293">
        <v>0.47712125471966244</v>
      </c>
    </row>
    <row r="294" spans="1:10" x14ac:dyDescent="0.25">
      <c r="A294" s="72" t="s">
        <v>452</v>
      </c>
      <c r="B294" s="71">
        <v>295</v>
      </c>
      <c r="C294">
        <v>0.6020599913279624</v>
      </c>
      <c r="D294">
        <v>0.6020599913279624</v>
      </c>
      <c r="E294">
        <v>0.3010299956639812</v>
      </c>
      <c r="F294">
        <v>0.3010299956639812</v>
      </c>
      <c r="G294">
        <v>0.3010299956639812</v>
      </c>
      <c r="H294">
        <v>0.3010299956639812</v>
      </c>
      <c r="I294">
        <v>0.3010299956639812</v>
      </c>
      <c r="J294">
        <v>0.3010299956639812</v>
      </c>
    </row>
    <row r="295" spans="1:10" x14ac:dyDescent="0.25">
      <c r="A295" s="72" t="s">
        <v>439</v>
      </c>
      <c r="B295" s="71">
        <v>296</v>
      </c>
      <c r="C295">
        <v>3.1010593549081156</v>
      </c>
      <c r="D295">
        <v>2.6522463410033232</v>
      </c>
      <c r="E295">
        <v>2.7589118923979736</v>
      </c>
      <c r="F295">
        <v>2.2600713879850747</v>
      </c>
      <c r="G295">
        <v>2.5550944485783194</v>
      </c>
      <c r="H295">
        <v>2.1398790864012365</v>
      </c>
      <c r="I295">
        <v>2.5198279937757189</v>
      </c>
      <c r="J295">
        <v>2.1172712956557644</v>
      </c>
    </row>
    <row r="296" spans="1:10" x14ac:dyDescent="0.25">
      <c r="A296" s="72" t="s">
        <v>439</v>
      </c>
      <c r="B296" s="71">
        <v>297</v>
      </c>
      <c r="C296">
        <v>0.77815125038364363</v>
      </c>
      <c r="D296">
        <v>0.77815125038364363</v>
      </c>
      <c r="E296">
        <v>0.77815125038364363</v>
      </c>
      <c r="F296">
        <v>0.77815125038364363</v>
      </c>
      <c r="G296">
        <v>0</v>
      </c>
      <c r="H296">
        <v>0</v>
      </c>
      <c r="I296">
        <v>0</v>
      </c>
      <c r="J296">
        <v>0</v>
      </c>
    </row>
    <row r="297" spans="1:10" x14ac:dyDescent="0.25">
      <c r="A297" s="72" t="s">
        <v>462</v>
      </c>
      <c r="B297" s="71">
        <v>298</v>
      </c>
      <c r="C297">
        <v>2.576341350205793</v>
      </c>
      <c r="D297">
        <v>2.3909351071033793</v>
      </c>
      <c r="E297">
        <v>1.6989700043360187</v>
      </c>
      <c r="F297">
        <v>1.6989700043360187</v>
      </c>
      <c r="G297">
        <v>2.2479732663618068</v>
      </c>
      <c r="H297">
        <v>2.0211892990699383</v>
      </c>
      <c r="I297">
        <v>2.1818435879447726</v>
      </c>
      <c r="J297">
        <v>1.968482948553935</v>
      </c>
    </row>
    <row r="298" spans="1:10" x14ac:dyDescent="0.25">
      <c r="A298" s="72" t="s">
        <v>462</v>
      </c>
      <c r="B298" s="71">
        <v>299</v>
      </c>
      <c r="C298">
        <v>2.9429995933660407</v>
      </c>
      <c r="D298">
        <v>2.5797835966168101</v>
      </c>
      <c r="E298">
        <v>2.4578818967339924</v>
      </c>
      <c r="F298">
        <v>2.1003705451175629</v>
      </c>
      <c r="G298">
        <v>2.4517864355242902</v>
      </c>
      <c r="H298">
        <v>2.1003705451175629</v>
      </c>
      <c r="I298">
        <v>2.4899584794248346</v>
      </c>
      <c r="J298">
        <v>2.1139433523068369</v>
      </c>
    </row>
    <row r="299" spans="1:10" x14ac:dyDescent="0.25">
      <c r="A299" s="72" t="s">
        <v>462</v>
      </c>
      <c r="B299" s="71">
        <v>300</v>
      </c>
      <c r="C299">
        <v>3.0310042813635367</v>
      </c>
      <c r="D299">
        <v>2.5622928644564746</v>
      </c>
      <c r="E299">
        <v>1.3617278360175928</v>
      </c>
      <c r="F299">
        <v>1.3222192947339193</v>
      </c>
      <c r="G299">
        <v>2.6324572921847245</v>
      </c>
      <c r="H299">
        <v>2.1875207208364631</v>
      </c>
      <c r="I299">
        <v>2.7951845896824241</v>
      </c>
      <c r="J299">
        <v>2.2833012287035497</v>
      </c>
    </row>
    <row r="300" spans="1:10" x14ac:dyDescent="0.25">
      <c r="A300" s="72" t="s">
        <v>458</v>
      </c>
      <c r="B300" s="71">
        <v>301</v>
      </c>
      <c r="C300">
        <v>3.284205067701794</v>
      </c>
      <c r="D300">
        <v>2.7708520116421442</v>
      </c>
      <c r="E300">
        <v>2.5809249756756194</v>
      </c>
      <c r="F300">
        <v>2.1643528557844371</v>
      </c>
      <c r="G300">
        <v>2.7795964912578244</v>
      </c>
      <c r="H300">
        <v>2.2787536009528289</v>
      </c>
      <c r="I300">
        <v>2.9745116927373285</v>
      </c>
      <c r="J300">
        <v>2.4082399653118496</v>
      </c>
    </row>
    <row r="301" spans="1:10" x14ac:dyDescent="0.25">
      <c r="A301" s="72" t="s">
        <v>458</v>
      </c>
      <c r="B301" s="71">
        <v>302</v>
      </c>
      <c r="C301">
        <v>0.69897000433601886</v>
      </c>
      <c r="D301">
        <v>0.69897000433601886</v>
      </c>
      <c r="E301">
        <v>0</v>
      </c>
      <c r="F301">
        <v>0</v>
      </c>
      <c r="G301">
        <v>0.6020599913279624</v>
      </c>
      <c r="H301">
        <v>0.6020599913279624</v>
      </c>
      <c r="I301">
        <v>0.3010299956639812</v>
      </c>
      <c r="J301">
        <v>0.3010299956639812</v>
      </c>
    </row>
    <row r="302" spans="1:10" x14ac:dyDescent="0.25">
      <c r="A302" s="72" t="s">
        <v>458</v>
      </c>
      <c r="B302" s="71">
        <v>303</v>
      </c>
      <c r="C302">
        <v>0.95424250943932487</v>
      </c>
      <c r="D302">
        <v>0.95424250943932487</v>
      </c>
      <c r="E302">
        <v>0.77815125038364363</v>
      </c>
      <c r="F302">
        <v>0.77815125038364363</v>
      </c>
      <c r="G302">
        <v>0.6020599913279624</v>
      </c>
      <c r="H302">
        <v>0.6020599913279624</v>
      </c>
      <c r="I302">
        <v>0</v>
      </c>
      <c r="J302">
        <v>0</v>
      </c>
    </row>
    <row r="303" spans="1:10" x14ac:dyDescent="0.25">
      <c r="A303" s="72" t="s">
        <v>464</v>
      </c>
      <c r="B303" s="71">
        <v>304</v>
      </c>
      <c r="C303">
        <v>3.4970679363985049</v>
      </c>
      <c r="D303">
        <v>2.916453948549925</v>
      </c>
      <c r="E303">
        <v>3.1784013415337551</v>
      </c>
      <c r="F303">
        <v>2.5634810853944106</v>
      </c>
      <c r="G303">
        <v>2.8432327780980096</v>
      </c>
      <c r="H303">
        <v>2.3159703454569178</v>
      </c>
      <c r="I303">
        <v>2.9722028383790646</v>
      </c>
      <c r="J303">
        <v>2.4048337166199381</v>
      </c>
    </row>
    <row r="304" spans="1:10" x14ac:dyDescent="0.25">
      <c r="A304" s="72" t="s">
        <v>464</v>
      </c>
      <c r="B304" s="71">
        <v>305</v>
      </c>
      <c r="C304">
        <v>3.524915147539867</v>
      </c>
      <c r="D304">
        <v>2.9309490311675228</v>
      </c>
      <c r="E304">
        <v>2.808885867359812</v>
      </c>
      <c r="F304">
        <v>2.2695129442179165</v>
      </c>
      <c r="G304">
        <v>3.0004340774793188</v>
      </c>
      <c r="H304">
        <v>2.424881636631067</v>
      </c>
      <c r="I304">
        <v>3.2319790268315041</v>
      </c>
      <c r="J304">
        <v>2.6053050461411096</v>
      </c>
    </row>
    <row r="305" spans="1:10" x14ac:dyDescent="0.25">
      <c r="A305" s="72" t="s">
        <v>423</v>
      </c>
      <c r="B305" s="71">
        <v>306</v>
      </c>
      <c r="C305">
        <v>0.3010299956639812</v>
      </c>
      <c r="D305">
        <v>0.3010299956639812</v>
      </c>
      <c r="E305">
        <v>0.3010299956639812</v>
      </c>
      <c r="F305">
        <v>0.3010299956639812</v>
      </c>
      <c r="G305">
        <v>0</v>
      </c>
      <c r="H305">
        <v>0</v>
      </c>
      <c r="I305">
        <v>0</v>
      </c>
      <c r="J305">
        <v>0</v>
      </c>
    </row>
    <row r="306" spans="1:10" x14ac:dyDescent="0.25">
      <c r="A306" s="72" t="s">
        <v>463</v>
      </c>
      <c r="B306" s="71">
        <v>307</v>
      </c>
      <c r="C306">
        <v>0.47712125471966244</v>
      </c>
      <c r="D306">
        <v>0.47712125471966244</v>
      </c>
      <c r="E306">
        <v>0.47712125471966244</v>
      </c>
      <c r="F306">
        <v>0.47712125471966244</v>
      </c>
      <c r="G306">
        <v>0</v>
      </c>
      <c r="H306">
        <v>0</v>
      </c>
      <c r="I306">
        <v>0</v>
      </c>
      <c r="J306">
        <v>0</v>
      </c>
    </row>
    <row r="307" spans="1:10" x14ac:dyDescent="0.25">
      <c r="A307" s="72" t="s">
        <v>463</v>
      </c>
      <c r="B307" s="71">
        <v>308</v>
      </c>
      <c r="C307">
        <v>1.8573324964312685</v>
      </c>
      <c r="D307">
        <v>1.8061799739838871</v>
      </c>
      <c r="E307">
        <v>1.255272505103306</v>
      </c>
      <c r="F307">
        <v>1.255272505103306</v>
      </c>
      <c r="G307">
        <v>0.6020599913279624</v>
      </c>
      <c r="H307">
        <v>0.6020599913279624</v>
      </c>
      <c r="I307">
        <v>1.7160033436347992</v>
      </c>
      <c r="J307">
        <v>1.6434526764861874</v>
      </c>
    </row>
    <row r="308" spans="1:10" x14ac:dyDescent="0.25">
      <c r="A308" s="72" t="s">
        <v>145</v>
      </c>
      <c r="B308" s="71">
        <v>309</v>
      </c>
      <c r="C308">
        <v>3.7317498835272636</v>
      </c>
      <c r="D308">
        <v>2.9965116721541785</v>
      </c>
      <c r="E308">
        <v>0.90308998699194354</v>
      </c>
      <c r="F308">
        <v>0.77815125038364363</v>
      </c>
      <c r="G308">
        <v>3.4429498695778618</v>
      </c>
      <c r="H308">
        <v>2.6875289612146345</v>
      </c>
      <c r="I308">
        <v>3.4171394097273255</v>
      </c>
      <c r="J308">
        <v>2.6998377258672459</v>
      </c>
    </row>
    <row r="309" spans="1:10" x14ac:dyDescent="0.25">
      <c r="A309" s="72" t="s">
        <v>145</v>
      </c>
      <c r="B309" s="71">
        <v>310</v>
      </c>
      <c r="C309">
        <v>0.69897000433601886</v>
      </c>
      <c r="D309">
        <v>0.69897000433601886</v>
      </c>
      <c r="E309">
        <v>0.47712125471966244</v>
      </c>
      <c r="F309">
        <v>0.47712125471966244</v>
      </c>
      <c r="G309">
        <v>0.47712125471966244</v>
      </c>
      <c r="H309">
        <v>0.47712125471966244</v>
      </c>
      <c r="I309">
        <v>0</v>
      </c>
      <c r="J309">
        <v>0</v>
      </c>
    </row>
    <row r="310" spans="1:10" x14ac:dyDescent="0.25">
      <c r="A310" s="72" t="s">
        <v>423</v>
      </c>
      <c r="B310" s="71">
        <v>311</v>
      </c>
      <c r="C310">
        <v>0.3010299956639812</v>
      </c>
      <c r="D310">
        <v>0.3010299956639812</v>
      </c>
      <c r="E310">
        <v>0</v>
      </c>
      <c r="F310">
        <v>0</v>
      </c>
      <c r="G310">
        <v>0</v>
      </c>
      <c r="H310">
        <v>0</v>
      </c>
      <c r="I310">
        <v>0.3010299956639812</v>
      </c>
      <c r="J310">
        <v>0.3010299956639812</v>
      </c>
    </row>
    <row r="311" spans="1:10" x14ac:dyDescent="0.25">
      <c r="A311" s="72" t="s">
        <v>506</v>
      </c>
      <c r="B311" s="139">
        <v>312</v>
      </c>
      <c r="C311">
        <v>0.3010299956639812</v>
      </c>
      <c r="D311" s="72">
        <v>0.3010299956639812</v>
      </c>
      <c r="E311" s="72">
        <v>0</v>
      </c>
      <c r="F311" s="72">
        <v>0</v>
      </c>
      <c r="G311" s="72">
        <v>0</v>
      </c>
      <c r="H311" s="72">
        <v>0</v>
      </c>
      <c r="I311" s="72">
        <v>0.3010299956639812</v>
      </c>
      <c r="J311" s="72">
        <v>0.3010299956639812</v>
      </c>
    </row>
    <row r="312" spans="1:10" x14ac:dyDescent="0.25">
      <c r="A312" s="72" t="s">
        <v>506</v>
      </c>
      <c r="B312" s="139">
        <v>313</v>
      </c>
      <c r="C312" s="72">
        <v>0.95424250943932487</v>
      </c>
      <c r="D312" s="72">
        <v>0.90308998699194354</v>
      </c>
      <c r="E312" s="72">
        <v>0.77815125038364363</v>
      </c>
      <c r="F312" s="72">
        <v>0.77815125038364363</v>
      </c>
      <c r="G312" s="72">
        <v>0.3010299956639812</v>
      </c>
      <c r="H312" s="72">
        <v>0.3010299956639812</v>
      </c>
      <c r="I312" s="72">
        <v>0.47712125471966244</v>
      </c>
      <c r="J312" s="72">
        <v>0.3010299956639812</v>
      </c>
    </row>
    <row r="313" spans="1:10" x14ac:dyDescent="0.25">
      <c r="A313" s="72" t="s">
        <v>490</v>
      </c>
      <c r="B313" s="139">
        <v>314</v>
      </c>
      <c r="C313" s="72">
        <v>0.77815125038364363</v>
      </c>
      <c r="D313" s="72">
        <v>0.77815125038364363</v>
      </c>
      <c r="E313" s="72">
        <v>0.47712125471966244</v>
      </c>
      <c r="F313" s="72">
        <v>0.47712125471966244</v>
      </c>
      <c r="G313" s="72">
        <v>0.6020599913279624</v>
      </c>
      <c r="H313" s="72">
        <v>0.6020599913279624</v>
      </c>
      <c r="I313" s="72">
        <v>0</v>
      </c>
      <c r="J313" s="72">
        <v>0</v>
      </c>
    </row>
    <row r="314" spans="1:10" x14ac:dyDescent="0.25">
      <c r="A314" s="72" t="s">
        <v>489</v>
      </c>
      <c r="B314" s="139">
        <v>315</v>
      </c>
      <c r="C314" s="72">
        <v>3.1202447955463652</v>
      </c>
      <c r="D314" s="72">
        <v>2.6665179805548807</v>
      </c>
      <c r="E314" s="72">
        <v>2.6711728427150834</v>
      </c>
      <c r="F314" s="72">
        <v>2.2095150145426308</v>
      </c>
      <c r="G314" s="72">
        <v>2.7831886910752575</v>
      </c>
      <c r="H314" s="72">
        <v>2.271841606536499</v>
      </c>
      <c r="I314" s="72">
        <v>2.3891660843645326</v>
      </c>
      <c r="J314" s="72">
        <v>2.0681858617461617</v>
      </c>
    </row>
    <row r="315" spans="1:10" x14ac:dyDescent="0.25">
      <c r="A315" s="72" t="s">
        <v>507</v>
      </c>
      <c r="B315" s="139">
        <v>316</v>
      </c>
      <c r="C315" s="72">
        <v>3.8146470694518562</v>
      </c>
      <c r="D315" s="72">
        <v>3.1763806922432702</v>
      </c>
      <c r="E315" s="72">
        <v>3.3406423775607053</v>
      </c>
      <c r="F315" s="72">
        <v>2.6998377258672459</v>
      </c>
      <c r="G315" s="72">
        <v>3.3356584522893016</v>
      </c>
      <c r="H315" s="72">
        <v>2.6998377258672459</v>
      </c>
      <c r="I315" s="72">
        <v>3.3366598234544202</v>
      </c>
      <c r="J315" s="72">
        <v>2.6998377258672459</v>
      </c>
    </row>
    <row r="316" spans="1:10" x14ac:dyDescent="0.25">
      <c r="A316" s="72" t="s">
        <v>507</v>
      </c>
      <c r="B316" s="139">
        <v>317</v>
      </c>
      <c r="C316" s="72">
        <v>3.7407573233077707</v>
      </c>
      <c r="D316" s="72">
        <v>3.1156105116742996</v>
      </c>
      <c r="E316" s="72">
        <v>3.1818435879447726</v>
      </c>
      <c r="F316" s="72">
        <v>2.568201724066995</v>
      </c>
      <c r="G316" s="72">
        <v>3.3134453704264142</v>
      </c>
      <c r="H316" s="72">
        <v>2.6821450763738319</v>
      </c>
      <c r="I316" s="72">
        <v>3.2853322276438846</v>
      </c>
      <c r="J316" s="72">
        <v>2.6589648426644348</v>
      </c>
    </row>
    <row r="317" spans="1:10" x14ac:dyDescent="0.25">
      <c r="A317" s="72" t="s">
        <v>186</v>
      </c>
      <c r="B317" s="139">
        <v>318</v>
      </c>
      <c r="C317" s="72">
        <v>3.7640266076920375</v>
      </c>
      <c r="D317" s="72">
        <v>3.1182647260894791</v>
      </c>
      <c r="E317" s="72">
        <v>3.1105897102992488</v>
      </c>
      <c r="F317" s="72">
        <v>2.4955443375464483</v>
      </c>
      <c r="G317" s="72">
        <v>3.355643050220869</v>
      </c>
      <c r="H317" s="72">
        <v>2.6998377258672459</v>
      </c>
      <c r="I317" s="72">
        <v>3.3525683861793087</v>
      </c>
      <c r="J317" s="72">
        <v>2.6998377258672459</v>
      </c>
    </row>
    <row r="318" spans="1:10" x14ac:dyDescent="0.25">
      <c r="A318" s="72" t="s">
        <v>186</v>
      </c>
      <c r="B318" s="139">
        <v>319</v>
      </c>
      <c r="C318" s="72">
        <v>0.47712125471966244</v>
      </c>
      <c r="D318" s="72">
        <v>0.47712125471966244</v>
      </c>
      <c r="E318" s="72">
        <v>0.3010299956639812</v>
      </c>
      <c r="F318" s="72">
        <v>0.3010299956639812</v>
      </c>
      <c r="G318" s="72">
        <v>0.3010299956639812</v>
      </c>
      <c r="H318" s="72">
        <v>0.3010299956639812</v>
      </c>
      <c r="I318" s="72">
        <v>0</v>
      </c>
      <c r="J318" s="72">
        <v>0</v>
      </c>
    </row>
    <row r="319" spans="1:10" x14ac:dyDescent="0.25">
      <c r="A319" s="72" t="s">
        <v>504</v>
      </c>
      <c r="B319" s="139">
        <v>320</v>
      </c>
      <c r="C319" s="72">
        <v>1</v>
      </c>
      <c r="D319" s="72">
        <v>1</v>
      </c>
      <c r="E319" s="72">
        <v>0.90308998699194354</v>
      </c>
      <c r="F319" s="72">
        <v>0.90308998699194354</v>
      </c>
      <c r="G319" s="72">
        <v>0</v>
      </c>
      <c r="H319" s="72">
        <v>0</v>
      </c>
      <c r="I319" s="72">
        <v>0.47712125471966244</v>
      </c>
      <c r="J319" s="72">
        <v>0.47712125471966244</v>
      </c>
    </row>
    <row r="320" spans="1:10" x14ac:dyDescent="0.25">
      <c r="A320" s="72" t="s">
        <v>504</v>
      </c>
      <c r="B320" s="139">
        <v>321</v>
      </c>
      <c r="C320" s="72">
        <v>3.8213169705910972</v>
      </c>
      <c r="D320" s="72">
        <v>3.1763806922432702</v>
      </c>
      <c r="E320" s="72">
        <v>3.3496659840966299</v>
      </c>
      <c r="F320" s="72">
        <v>2.6998377258672459</v>
      </c>
      <c r="G320" s="72">
        <v>3.3426200425533481</v>
      </c>
      <c r="H320" s="72">
        <v>2.6998377258672459</v>
      </c>
      <c r="I320" s="72">
        <v>3.3406423775607053</v>
      </c>
      <c r="J320" s="72">
        <v>2.6998377258672459</v>
      </c>
    </row>
    <row r="321" spans="1:10" x14ac:dyDescent="0.25">
      <c r="A321" s="72" t="s">
        <v>505</v>
      </c>
      <c r="B321" s="139">
        <v>322</v>
      </c>
      <c r="C321" s="72">
        <v>3.5354207180561734</v>
      </c>
      <c r="D321" s="72">
        <v>2.9444826721501687</v>
      </c>
      <c r="E321" s="72">
        <v>3.0565237240791006</v>
      </c>
      <c r="F321" s="72">
        <v>2.4638929889859074</v>
      </c>
      <c r="G321" s="72">
        <v>3.1408221801093106</v>
      </c>
      <c r="H321" s="72">
        <v>2.5340261060561349</v>
      </c>
      <c r="I321" s="72">
        <v>2.9595183769729982</v>
      </c>
      <c r="J321" s="72">
        <v>2.3961993470957363</v>
      </c>
    </row>
    <row r="322" spans="1:10" x14ac:dyDescent="0.25">
      <c r="A322" s="72" t="s">
        <v>505</v>
      </c>
      <c r="B322" s="139">
        <v>323</v>
      </c>
      <c r="C322" s="72">
        <v>0.84509804001425681</v>
      </c>
      <c r="D322" s="72">
        <v>0.84509804001425681</v>
      </c>
      <c r="E322" s="72">
        <v>0.47712125471966244</v>
      </c>
      <c r="F322" s="72">
        <v>0.47712125471966244</v>
      </c>
      <c r="G322" s="72">
        <v>0.47712125471966244</v>
      </c>
      <c r="H322" s="72">
        <v>0.47712125471966244</v>
      </c>
      <c r="I322" s="72">
        <v>0.47712125471966244</v>
      </c>
      <c r="J322" s="72">
        <v>0.47712125471966244</v>
      </c>
    </row>
    <row r="323" spans="1:10" x14ac:dyDescent="0.25">
      <c r="A323" s="72" t="s">
        <v>505</v>
      </c>
      <c r="B323" s="139">
        <v>324</v>
      </c>
      <c r="C323" s="72">
        <v>3.3928727454020793</v>
      </c>
      <c r="D323" s="72">
        <v>2.8469553250198238</v>
      </c>
      <c r="E323" s="72">
        <v>2.9365137424788932</v>
      </c>
      <c r="F323" s="72">
        <v>2.3856062735983121</v>
      </c>
      <c r="G323" s="72">
        <v>2.869818207979328</v>
      </c>
      <c r="H323" s="72">
        <v>2.3384564936046046</v>
      </c>
      <c r="I323" s="72">
        <v>2.9385197251764921</v>
      </c>
      <c r="J323" s="72">
        <v>2.3873898263387292</v>
      </c>
    </row>
    <row r="324" spans="1:10" x14ac:dyDescent="0.25">
      <c r="A324" s="72" t="s">
        <v>507</v>
      </c>
      <c r="B324" s="139">
        <v>325</v>
      </c>
      <c r="C324" s="72">
        <v>1.2041199826559248</v>
      </c>
      <c r="D324" s="72">
        <v>1.2041199826559248</v>
      </c>
      <c r="E324" s="72">
        <v>1.1760912590556813</v>
      </c>
      <c r="F324" s="72">
        <v>1.1760912590556813</v>
      </c>
      <c r="G324" s="72">
        <v>0.3010299956639812</v>
      </c>
      <c r="H324" s="72">
        <v>0.3010299956639812</v>
      </c>
      <c r="I324" s="72">
        <v>0</v>
      </c>
      <c r="J324" s="72">
        <v>0</v>
      </c>
    </row>
    <row r="325" spans="1:10" x14ac:dyDescent="0.25">
      <c r="A325" s="72" t="s">
        <v>489</v>
      </c>
      <c r="B325" s="139">
        <v>326</v>
      </c>
      <c r="C325" s="72">
        <v>3.3710678622717363</v>
      </c>
      <c r="D325" s="72">
        <v>2.7803173121401512</v>
      </c>
      <c r="E325" s="72">
        <v>1.255272505103306</v>
      </c>
      <c r="F325" s="72">
        <v>1.146128035678238</v>
      </c>
      <c r="G325" s="72">
        <v>2.8293037728310249</v>
      </c>
      <c r="H325" s="72">
        <v>2.307496037913213</v>
      </c>
      <c r="I325" s="72">
        <v>3.2198463860243609</v>
      </c>
      <c r="J325" s="72">
        <v>2.5888317255942073</v>
      </c>
    </row>
    <row r="326" spans="1:10" x14ac:dyDescent="0.25">
      <c r="A326" s="72" t="s">
        <v>489</v>
      </c>
      <c r="B326" s="139">
        <v>327</v>
      </c>
      <c r="C326" s="72">
        <v>3.8171024042569233</v>
      </c>
      <c r="D326" s="72">
        <v>3.173186268412274</v>
      </c>
      <c r="E326" s="72">
        <v>3.3438023331616549</v>
      </c>
      <c r="F326" s="72">
        <v>2.6901960800285138</v>
      </c>
      <c r="G326" s="72">
        <v>3.3382572302462554</v>
      </c>
      <c r="H326" s="72">
        <v>2.6998377258672459</v>
      </c>
      <c r="I326" s="72">
        <v>3.3382572302462554</v>
      </c>
      <c r="J326" s="72">
        <v>2.6998377258672459</v>
      </c>
    </row>
    <row r="327" spans="1:10" x14ac:dyDescent="0.25">
      <c r="C327" s="73"/>
      <c r="D327" s="73"/>
      <c r="E327" s="73"/>
      <c r="F327" s="73"/>
      <c r="G327" s="73"/>
      <c r="H327" s="73"/>
      <c r="I327" s="73"/>
      <c r="J327" s="73"/>
    </row>
    <row r="328" spans="1:10" x14ac:dyDescent="0.25">
      <c r="C328" s="73"/>
      <c r="D328" s="73"/>
      <c r="E328" s="73"/>
      <c r="F328" s="73"/>
      <c r="G328" s="73"/>
      <c r="H328" s="73"/>
      <c r="I328" s="73"/>
      <c r="J328" s="73"/>
    </row>
    <row r="329" spans="1:10" x14ac:dyDescent="0.25">
      <c r="C329" s="73"/>
      <c r="D329" s="73"/>
      <c r="E329" s="73"/>
      <c r="F329" s="73"/>
      <c r="G329" s="73"/>
      <c r="H329" s="73"/>
      <c r="I329" s="73"/>
      <c r="J329" s="73"/>
    </row>
    <row r="330" spans="1:10" x14ac:dyDescent="0.25">
      <c r="C330" s="73"/>
      <c r="D330" s="73"/>
      <c r="E330" s="73"/>
      <c r="F330" s="73"/>
      <c r="G330" s="73"/>
      <c r="H330" s="73"/>
      <c r="I330" s="73"/>
      <c r="J330" s="73"/>
    </row>
    <row r="331" spans="1:10" x14ac:dyDescent="0.25">
      <c r="C331" s="73"/>
      <c r="D331" s="73"/>
      <c r="E331" s="73"/>
      <c r="F331" s="73"/>
      <c r="G331" s="73"/>
      <c r="H331" s="73"/>
      <c r="I331" s="73"/>
      <c r="J331" s="73"/>
    </row>
    <row r="332" spans="1:10" x14ac:dyDescent="0.25">
      <c r="C332" s="73"/>
      <c r="D332" s="73"/>
      <c r="E332" s="73"/>
      <c r="F332" s="73"/>
      <c r="G332" s="73"/>
      <c r="H332" s="73"/>
      <c r="I332" s="73"/>
      <c r="J332" s="73"/>
    </row>
    <row r="333" spans="1:10" x14ac:dyDescent="0.25">
      <c r="C333" s="73"/>
      <c r="D333" s="73"/>
      <c r="E333" s="73"/>
      <c r="F333" s="73"/>
      <c r="G333" s="73"/>
      <c r="H333" s="73"/>
      <c r="I333" s="73"/>
      <c r="J333" s="73"/>
    </row>
    <row r="334" spans="1:10" x14ac:dyDescent="0.25">
      <c r="C334" s="73"/>
      <c r="D334" s="73"/>
      <c r="E334" s="73"/>
      <c r="F334" s="73"/>
      <c r="G334" s="73"/>
      <c r="H334" s="73"/>
      <c r="I334" s="73"/>
      <c r="J334" s="73"/>
    </row>
    <row r="335" spans="1:10" x14ac:dyDescent="0.25">
      <c r="C335" s="73"/>
      <c r="D335" s="73"/>
      <c r="E335" s="73"/>
      <c r="F335" s="73"/>
      <c r="G335" s="73"/>
      <c r="H335" s="73"/>
      <c r="I335" s="73"/>
      <c r="J335" s="73"/>
    </row>
    <row r="336" spans="1:10" x14ac:dyDescent="0.25">
      <c r="C336" s="73"/>
      <c r="D336" s="73"/>
      <c r="E336" s="73"/>
      <c r="F336" s="73"/>
      <c r="G336" s="73"/>
      <c r="H336" s="73"/>
      <c r="I336" s="73"/>
      <c r="J336" s="73"/>
    </row>
    <row r="337" spans="3:10" x14ac:dyDescent="0.25">
      <c r="C337" s="73"/>
      <c r="D337" s="73"/>
      <c r="E337" s="73"/>
      <c r="F337" s="73"/>
      <c r="G337" s="73"/>
      <c r="H337" s="73"/>
      <c r="I337" s="73"/>
      <c r="J337" s="73"/>
    </row>
    <row r="338" spans="3:10" x14ac:dyDescent="0.25">
      <c r="C338" s="73"/>
      <c r="D338" s="73"/>
      <c r="E338" s="73"/>
      <c r="F338" s="73"/>
      <c r="G338" s="73"/>
      <c r="H338" s="73"/>
      <c r="I338" s="73"/>
      <c r="J338" s="73"/>
    </row>
    <row r="339" spans="3:10" x14ac:dyDescent="0.25">
      <c r="C339" s="73"/>
      <c r="D339" s="73"/>
      <c r="E339" s="73"/>
      <c r="F339" s="73"/>
      <c r="G339" s="73"/>
      <c r="H339" s="73"/>
      <c r="I339" s="73"/>
      <c r="J339" s="73"/>
    </row>
    <row r="340" spans="3:10" x14ac:dyDescent="0.25">
      <c r="C340" s="73"/>
      <c r="D340" s="73"/>
      <c r="E340" s="73"/>
      <c r="F340" s="73"/>
      <c r="G340" s="73"/>
      <c r="H340" s="73"/>
      <c r="I340" s="73"/>
      <c r="J340" s="73"/>
    </row>
    <row r="341" spans="3:10" x14ac:dyDescent="0.25">
      <c r="C341" s="73"/>
      <c r="D341" s="73"/>
      <c r="E341" s="73"/>
      <c r="F341" s="73"/>
      <c r="G341" s="73"/>
      <c r="H341" s="73"/>
      <c r="I341" s="73"/>
      <c r="J341" s="73"/>
    </row>
    <row r="342" spans="3:10" x14ac:dyDescent="0.25">
      <c r="C342" s="73"/>
      <c r="D342" s="73"/>
      <c r="E342" s="73"/>
      <c r="F342" s="73"/>
      <c r="G342" s="73"/>
      <c r="H342" s="73"/>
      <c r="I342" s="73"/>
      <c r="J342" s="73"/>
    </row>
    <row r="343" spans="3:10" x14ac:dyDescent="0.25">
      <c r="C343" s="73"/>
      <c r="D343" s="73"/>
      <c r="E343" s="73"/>
      <c r="F343" s="73"/>
      <c r="G343" s="73"/>
      <c r="H343" s="73"/>
      <c r="I343" s="73"/>
      <c r="J343" s="73"/>
    </row>
  </sheetData>
  <sortState ref="A2:J218">
    <sortCondition ref="B2:B218"/>
    <sortCondition ref="A2:A218"/>
  </sortState>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B181"/>
  <sheetViews>
    <sheetView topLeftCell="A23" workbookViewId="0">
      <selection activeCell="B185" sqref="B185"/>
    </sheetView>
  </sheetViews>
  <sheetFormatPr defaultRowHeight="15" x14ac:dyDescent="0.25"/>
  <cols>
    <col min="1" max="1" width="13.42578125" style="58" bestFit="1" customWidth="1"/>
  </cols>
  <sheetData>
    <row r="1" spans="1:1" x14ac:dyDescent="0.25">
      <c r="A1" s="58" t="s">
        <v>502</v>
      </c>
    </row>
    <row r="2" spans="1:1" x14ac:dyDescent="0.25">
      <c r="A2" s="58" t="s">
        <v>328</v>
      </c>
    </row>
    <row r="3" spans="1:1" x14ac:dyDescent="0.25">
      <c r="A3" s="58" t="s">
        <v>329</v>
      </c>
    </row>
    <row r="4" spans="1:1" x14ac:dyDescent="0.25">
      <c r="A4" s="58" t="s">
        <v>330</v>
      </c>
    </row>
    <row r="5" spans="1:1" x14ac:dyDescent="0.25">
      <c r="A5" s="58" t="s">
        <v>192</v>
      </c>
    </row>
    <row r="6" spans="1:1" x14ac:dyDescent="0.25">
      <c r="A6" s="58" t="s">
        <v>193</v>
      </c>
    </row>
    <row r="7" spans="1:1" x14ac:dyDescent="0.25">
      <c r="A7" s="58" t="s">
        <v>194</v>
      </c>
    </row>
    <row r="8" spans="1:1" x14ac:dyDescent="0.25">
      <c r="A8" s="58" t="s">
        <v>195</v>
      </c>
    </row>
    <row r="9" spans="1:1" x14ac:dyDescent="0.25">
      <c r="A9" s="58" t="s">
        <v>196</v>
      </c>
    </row>
    <row r="10" spans="1:1" x14ac:dyDescent="0.25">
      <c r="A10" s="58" t="s">
        <v>197</v>
      </c>
    </row>
    <row r="11" spans="1:1" x14ac:dyDescent="0.25">
      <c r="A11" s="58" t="s">
        <v>198</v>
      </c>
    </row>
    <row r="12" spans="1:1" x14ac:dyDescent="0.25">
      <c r="A12" s="58" t="s">
        <v>199</v>
      </c>
    </row>
    <row r="13" spans="1:1" x14ac:dyDescent="0.25">
      <c r="A13" s="58" t="s">
        <v>200</v>
      </c>
    </row>
    <row r="14" spans="1:1" x14ac:dyDescent="0.25">
      <c r="A14" s="58" t="s">
        <v>201</v>
      </c>
    </row>
    <row r="15" spans="1:1" x14ac:dyDescent="0.25">
      <c r="A15" s="58" t="s">
        <v>202</v>
      </c>
    </row>
    <row r="16" spans="1:1" x14ac:dyDescent="0.25">
      <c r="A16" s="58" t="s">
        <v>203</v>
      </c>
    </row>
    <row r="17" spans="1:1" x14ac:dyDescent="0.25">
      <c r="A17" s="58" t="s">
        <v>204</v>
      </c>
    </row>
    <row r="18" spans="1:1" x14ac:dyDescent="0.25">
      <c r="A18" s="58" t="s">
        <v>191</v>
      </c>
    </row>
    <row r="19" spans="1:1" x14ac:dyDescent="0.25">
      <c r="A19" s="58" t="s">
        <v>205</v>
      </c>
    </row>
    <row r="20" spans="1:1" x14ac:dyDescent="0.25">
      <c r="A20" s="58" t="s">
        <v>211</v>
      </c>
    </row>
    <row r="21" spans="1:1" x14ac:dyDescent="0.25">
      <c r="A21" s="58" t="s">
        <v>212</v>
      </c>
    </row>
    <row r="22" spans="1:1" x14ac:dyDescent="0.25">
      <c r="A22" s="58" t="s">
        <v>213</v>
      </c>
    </row>
    <row r="23" spans="1:1" x14ac:dyDescent="0.25">
      <c r="A23" s="58" t="s">
        <v>214</v>
      </c>
    </row>
    <row r="24" spans="1:1" x14ac:dyDescent="0.25">
      <c r="A24" s="58" t="s">
        <v>215</v>
      </c>
    </row>
    <row r="25" spans="1:1" x14ac:dyDescent="0.25">
      <c r="A25" s="58" t="s">
        <v>216</v>
      </c>
    </row>
    <row r="26" spans="1:1" x14ac:dyDescent="0.25">
      <c r="A26" s="58" t="s">
        <v>217</v>
      </c>
    </row>
    <row r="27" spans="1:1" x14ac:dyDescent="0.25">
      <c r="A27" s="58" t="s">
        <v>206</v>
      </c>
    </row>
    <row r="28" spans="1:1" x14ac:dyDescent="0.25">
      <c r="A28" s="58" t="s">
        <v>218</v>
      </c>
    </row>
    <row r="29" spans="1:1" x14ac:dyDescent="0.25">
      <c r="A29" s="58" t="s">
        <v>219</v>
      </c>
    </row>
    <row r="30" spans="1:1" x14ac:dyDescent="0.25">
      <c r="A30" s="58" t="s">
        <v>207</v>
      </c>
    </row>
    <row r="31" spans="1:1" x14ac:dyDescent="0.25">
      <c r="A31" s="58" t="s">
        <v>208</v>
      </c>
    </row>
    <row r="32" spans="1:1" x14ac:dyDescent="0.25">
      <c r="A32" s="58" t="s">
        <v>209</v>
      </c>
    </row>
    <row r="33" spans="1:1" x14ac:dyDescent="0.25">
      <c r="A33" s="58" t="s">
        <v>210</v>
      </c>
    </row>
    <row r="34" spans="1:1" x14ac:dyDescent="0.25">
      <c r="A34" s="58" t="s">
        <v>331</v>
      </c>
    </row>
    <row r="35" spans="1:1" x14ac:dyDescent="0.25">
      <c r="A35" s="58" t="s">
        <v>332</v>
      </c>
    </row>
    <row r="36" spans="1:1" x14ac:dyDescent="0.25">
      <c r="A36" s="58" t="s">
        <v>333</v>
      </c>
    </row>
    <row r="37" spans="1:1" x14ac:dyDescent="0.25">
      <c r="A37" s="58" t="s">
        <v>334</v>
      </c>
    </row>
    <row r="38" spans="1:1" x14ac:dyDescent="0.25">
      <c r="A38" s="58" t="s">
        <v>421</v>
      </c>
    </row>
    <row r="39" spans="1:1" x14ac:dyDescent="0.25">
      <c r="A39" s="58" t="s">
        <v>335</v>
      </c>
    </row>
    <row r="40" spans="1:1" x14ac:dyDescent="0.25">
      <c r="A40" s="58" t="s">
        <v>220</v>
      </c>
    </row>
    <row r="41" spans="1:1" x14ac:dyDescent="0.25">
      <c r="A41" s="58" t="s">
        <v>225</v>
      </c>
    </row>
    <row r="42" spans="1:1" x14ac:dyDescent="0.25">
      <c r="A42" s="58" t="s">
        <v>226</v>
      </c>
    </row>
    <row r="43" spans="1:1" x14ac:dyDescent="0.25">
      <c r="A43" s="58" t="s">
        <v>227</v>
      </c>
    </row>
    <row r="44" spans="1:1" x14ac:dyDescent="0.25">
      <c r="A44" s="58" t="s">
        <v>228</v>
      </c>
    </row>
    <row r="45" spans="1:1" x14ac:dyDescent="0.25">
      <c r="A45" s="58" t="s">
        <v>229</v>
      </c>
    </row>
    <row r="46" spans="1:1" x14ac:dyDescent="0.25">
      <c r="A46" s="58" t="s">
        <v>221</v>
      </c>
    </row>
    <row r="47" spans="1:1" x14ac:dyDescent="0.25">
      <c r="A47" s="58" t="s">
        <v>230</v>
      </c>
    </row>
    <row r="48" spans="1:1" x14ac:dyDescent="0.25">
      <c r="A48" s="58" t="s">
        <v>231</v>
      </c>
    </row>
    <row r="49" spans="1:1" x14ac:dyDescent="0.25">
      <c r="A49" s="58" t="s">
        <v>232</v>
      </c>
    </row>
    <row r="50" spans="1:1" x14ac:dyDescent="0.25">
      <c r="A50" s="58" t="s">
        <v>222</v>
      </c>
    </row>
    <row r="51" spans="1:1" x14ac:dyDescent="0.25">
      <c r="A51" s="58" t="s">
        <v>223</v>
      </c>
    </row>
    <row r="52" spans="1:1" x14ac:dyDescent="0.25">
      <c r="A52" s="58" t="s">
        <v>224</v>
      </c>
    </row>
    <row r="53" spans="1:1" x14ac:dyDescent="0.25">
      <c r="A53" s="58" t="s">
        <v>233</v>
      </c>
    </row>
    <row r="54" spans="1:1" x14ac:dyDescent="0.25">
      <c r="A54" s="58" t="s">
        <v>303</v>
      </c>
    </row>
    <row r="55" spans="1:1" x14ac:dyDescent="0.25">
      <c r="A55" s="58" t="s">
        <v>304</v>
      </c>
    </row>
    <row r="56" spans="1:1" x14ac:dyDescent="0.25">
      <c r="A56" s="58" t="s">
        <v>239</v>
      </c>
    </row>
    <row r="57" spans="1:1" x14ac:dyDescent="0.25">
      <c r="A57" s="58" t="s">
        <v>240</v>
      </c>
    </row>
    <row r="58" spans="1:1" x14ac:dyDescent="0.25">
      <c r="A58" s="58" t="s">
        <v>241</v>
      </c>
    </row>
    <row r="59" spans="1:1" x14ac:dyDescent="0.25">
      <c r="A59" s="58" t="s">
        <v>242</v>
      </c>
    </row>
    <row r="60" spans="1:1" x14ac:dyDescent="0.25">
      <c r="A60" s="58" t="s">
        <v>243</v>
      </c>
    </row>
    <row r="61" spans="1:1" x14ac:dyDescent="0.25">
      <c r="A61" s="58" t="s">
        <v>244</v>
      </c>
    </row>
    <row r="62" spans="1:1" x14ac:dyDescent="0.25">
      <c r="A62" s="58" t="s">
        <v>245</v>
      </c>
    </row>
    <row r="63" spans="1:1" x14ac:dyDescent="0.25">
      <c r="A63" s="58" t="s">
        <v>246</v>
      </c>
    </row>
    <row r="64" spans="1:1" x14ac:dyDescent="0.25">
      <c r="A64" s="58" t="s">
        <v>234</v>
      </c>
    </row>
    <row r="65" spans="1:1" x14ac:dyDescent="0.25">
      <c r="A65" s="58" t="s">
        <v>247</v>
      </c>
    </row>
    <row r="66" spans="1:1" x14ac:dyDescent="0.25">
      <c r="A66" s="58" t="s">
        <v>248</v>
      </c>
    </row>
    <row r="67" spans="1:1" x14ac:dyDescent="0.25">
      <c r="A67" s="58" t="s">
        <v>249</v>
      </c>
    </row>
    <row r="68" spans="1:1" x14ac:dyDescent="0.25">
      <c r="A68" s="58" t="s">
        <v>250</v>
      </c>
    </row>
    <row r="69" spans="1:1" x14ac:dyDescent="0.25">
      <c r="A69" s="58" t="s">
        <v>251</v>
      </c>
    </row>
    <row r="70" spans="1:1" x14ac:dyDescent="0.25">
      <c r="A70" s="58" t="s">
        <v>252</v>
      </c>
    </row>
    <row r="71" spans="1:1" x14ac:dyDescent="0.25">
      <c r="A71" s="58" t="s">
        <v>253</v>
      </c>
    </row>
    <row r="72" spans="1:1" x14ac:dyDescent="0.25">
      <c r="A72" s="58" t="s">
        <v>254</v>
      </c>
    </row>
    <row r="73" spans="1:1" x14ac:dyDescent="0.25">
      <c r="A73" s="58" t="s">
        <v>255</v>
      </c>
    </row>
    <row r="74" spans="1:1" x14ac:dyDescent="0.25">
      <c r="A74" s="58" t="s">
        <v>256</v>
      </c>
    </row>
    <row r="75" spans="1:1" x14ac:dyDescent="0.25">
      <c r="A75" s="58" t="s">
        <v>257</v>
      </c>
    </row>
    <row r="76" spans="1:1" x14ac:dyDescent="0.25">
      <c r="A76" s="58" t="s">
        <v>258</v>
      </c>
    </row>
    <row r="77" spans="1:1" x14ac:dyDescent="0.25">
      <c r="A77" s="58" t="s">
        <v>259</v>
      </c>
    </row>
    <row r="78" spans="1:1" x14ac:dyDescent="0.25">
      <c r="A78" s="58" t="s">
        <v>260</v>
      </c>
    </row>
    <row r="79" spans="1:1" x14ac:dyDescent="0.25">
      <c r="A79" s="58" t="s">
        <v>261</v>
      </c>
    </row>
    <row r="80" spans="1:1" x14ac:dyDescent="0.25">
      <c r="A80" s="58" t="s">
        <v>262</v>
      </c>
    </row>
    <row r="81" spans="1:1" x14ac:dyDescent="0.25">
      <c r="A81" s="58" t="s">
        <v>263</v>
      </c>
    </row>
    <row r="82" spans="1:1" x14ac:dyDescent="0.25">
      <c r="A82" s="58" t="s">
        <v>264</v>
      </c>
    </row>
    <row r="83" spans="1:1" x14ac:dyDescent="0.25">
      <c r="A83" s="58" t="s">
        <v>265</v>
      </c>
    </row>
    <row r="84" spans="1:1" x14ac:dyDescent="0.25">
      <c r="A84" s="58" t="s">
        <v>266</v>
      </c>
    </row>
    <row r="85" spans="1:1" x14ac:dyDescent="0.25">
      <c r="A85" s="58" t="s">
        <v>267</v>
      </c>
    </row>
    <row r="86" spans="1:1" x14ac:dyDescent="0.25">
      <c r="A86" s="58" t="s">
        <v>235</v>
      </c>
    </row>
    <row r="87" spans="1:1" x14ac:dyDescent="0.25">
      <c r="A87" s="58" t="s">
        <v>268</v>
      </c>
    </row>
    <row r="88" spans="1:1" x14ac:dyDescent="0.25">
      <c r="A88" s="58" t="s">
        <v>269</v>
      </c>
    </row>
    <row r="89" spans="1:1" x14ac:dyDescent="0.25">
      <c r="A89" s="58" t="s">
        <v>270</v>
      </c>
    </row>
    <row r="90" spans="1:1" x14ac:dyDescent="0.25">
      <c r="A90" s="58" t="s">
        <v>271</v>
      </c>
    </row>
    <row r="91" spans="1:1" x14ac:dyDescent="0.25">
      <c r="A91" s="58" t="s">
        <v>236</v>
      </c>
    </row>
    <row r="92" spans="1:1" x14ac:dyDescent="0.25">
      <c r="A92" s="58" t="s">
        <v>272</v>
      </c>
    </row>
    <row r="93" spans="1:1" x14ac:dyDescent="0.25">
      <c r="A93" s="58" t="s">
        <v>273</v>
      </c>
    </row>
    <row r="94" spans="1:1" x14ac:dyDescent="0.25">
      <c r="A94" s="58" t="s">
        <v>274</v>
      </c>
    </row>
    <row r="95" spans="1:1" x14ac:dyDescent="0.25">
      <c r="A95" s="58" t="s">
        <v>275</v>
      </c>
    </row>
    <row r="96" spans="1:1" x14ac:dyDescent="0.25">
      <c r="A96" s="58" t="s">
        <v>276</v>
      </c>
    </row>
    <row r="97" spans="1:1" x14ac:dyDescent="0.25">
      <c r="A97" s="58" t="s">
        <v>277</v>
      </c>
    </row>
    <row r="98" spans="1:1" x14ac:dyDescent="0.25">
      <c r="A98" s="58" t="s">
        <v>278</v>
      </c>
    </row>
    <row r="99" spans="1:1" x14ac:dyDescent="0.25">
      <c r="A99" s="58" t="s">
        <v>279</v>
      </c>
    </row>
    <row r="100" spans="1:1" x14ac:dyDescent="0.25">
      <c r="A100" s="58" t="s">
        <v>280</v>
      </c>
    </row>
    <row r="101" spans="1:1" x14ac:dyDescent="0.25">
      <c r="A101" s="58" t="s">
        <v>281</v>
      </c>
    </row>
    <row r="102" spans="1:1" x14ac:dyDescent="0.25">
      <c r="A102" s="58" t="s">
        <v>282</v>
      </c>
    </row>
    <row r="103" spans="1:1" x14ac:dyDescent="0.25">
      <c r="A103" s="58" t="s">
        <v>283</v>
      </c>
    </row>
    <row r="104" spans="1:1" x14ac:dyDescent="0.25">
      <c r="A104" s="58" t="s">
        <v>284</v>
      </c>
    </row>
    <row r="105" spans="1:1" x14ac:dyDescent="0.25">
      <c r="A105" s="58" t="s">
        <v>285</v>
      </c>
    </row>
    <row r="106" spans="1:1" x14ac:dyDescent="0.25">
      <c r="A106" s="58" t="s">
        <v>286</v>
      </c>
    </row>
    <row r="107" spans="1:1" x14ac:dyDescent="0.25">
      <c r="A107" s="58" t="s">
        <v>287</v>
      </c>
    </row>
    <row r="108" spans="1:1" x14ac:dyDescent="0.25">
      <c r="A108" s="58" t="s">
        <v>288</v>
      </c>
    </row>
    <row r="109" spans="1:1" x14ac:dyDescent="0.25">
      <c r="A109" s="58" t="s">
        <v>237</v>
      </c>
    </row>
    <row r="110" spans="1:1" x14ac:dyDescent="0.25">
      <c r="A110" s="58" t="s">
        <v>289</v>
      </c>
    </row>
    <row r="111" spans="1:1" x14ac:dyDescent="0.25">
      <c r="A111" s="58" t="s">
        <v>290</v>
      </c>
    </row>
    <row r="112" spans="1:1" x14ac:dyDescent="0.25">
      <c r="A112" s="58" t="s">
        <v>291</v>
      </c>
    </row>
    <row r="113" spans="1:1" x14ac:dyDescent="0.25">
      <c r="A113" s="58" t="s">
        <v>292</v>
      </c>
    </row>
    <row r="114" spans="1:1" x14ac:dyDescent="0.25">
      <c r="A114" s="58" t="s">
        <v>293</v>
      </c>
    </row>
    <row r="115" spans="1:1" x14ac:dyDescent="0.25">
      <c r="A115" s="58" t="s">
        <v>294</v>
      </c>
    </row>
    <row r="116" spans="1:1" x14ac:dyDescent="0.25">
      <c r="A116" s="58" t="s">
        <v>295</v>
      </c>
    </row>
    <row r="117" spans="1:1" x14ac:dyDescent="0.25">
      <c r="A117" s="58" t="s">
        <v>238</v>
      </c>
    </row>
    <row r="118" spans="1:1" x14ac:dyDescent="0.25">
      <c r="A118" s="58" t="s">
        <v>296</v>
      </c>
    </row>
    <row r="119" spans="1:1" x14ac:dyDescent="0.25">
      <c r="A119" s="58" t="s">
        <v>297</v>
      </c>
    </row>
    <row r="120" spans="1:1" x14ac:dyDescent="0.25">
      <c r="A120" s="58" t="s">
        <v>298</v>
      </c>
    </row>
    <row r="121" spans="1:1" x14ac:dyDescent="0.25">
      <c r="A121" s="58" t="s">
        <v>299</v>
      </c>
    </row>
    <row r="122" spans="1:1" x14ac:dyDescent="0.25">
      <c r="A122" s="58" t="s">
        <v>300</v>
      </c>
    </row>
    <row r="123" spans="1:1" x14ac:dyDescent="0.25">
      <c r="A123" s="58" t="s">
        <v>301</v>
      </c>
    </row>
    <row r="124" spans="1:1" x14ac:dyDescent="0.25">
      <c r="A124" s="58" t="s">
        <v>302</v>
      </c>
    </row>
    <row r="125" spans="1:1" x14ac:dyDescent="0.25">
      <c r="A125" s="58" t="s">
        <v>311</v>
      </c>
    </row>
    <row r="126" spans="1:1" x14ac:dyDescent="0.25">
      <c r="A126" s="58" t="s">
        <v>312</v>
      </c>
    </row>
    <row r="127" spans="1:1" x14ac:dyDescent="0.25">
      <c r="A127" s="58" t="s">
        <v>313</v>
      </c>
    </row>
    <row r="128" spans="1:1" x14ac:dyDescent="0.25">
      <c r="A128" s="58" t="s">
        <v>305</v>
      </c>
    </row>
    <row r="129" spans="1:1" x14ac:dyDescent="0.25">
      <c r="A129" s="58" t="s">
        <v>314</v>
      </c>
    </row>
    <row r="130" spans="1:1" x14ac:dyDescent="0.25">
      <c r="A130" s="58" t="s">
        <v>315</v>
      </c>
    </row>
    <row r="131" spans="1:1" x14ac:dyDescent="0.25">
      <c r="A131" s="58" t="s">
        <v>306</v>
      </c>
    </row>
    <row r="132" spans="1:1" x14ac:dyDescent="0.25">
      <c r="A132" s="58" t="s">
        <v>307</v>
      </c>
    </row>
    <row r="133" spans="1:1" x14ac:dyDescent="0.25">
      <c r="A133" s="58" t="s">
        <v>308</v>
      </c>
    </row>
    <row r="134" spans="1:1" x14ac:dyDescent="0.25">
      <c r="A134" s="58" t="s">
        <v>309</v>
      </c>
    </row>
    <row r="135" spans="1:1" x14ac:dyDescent="0.25">
      <c r="A135" s="58" t="s">
        <v>310</v>
      </c>
    </row>
    <row r="136" spans="1:1" x14ac:dyDescent="0.25">
      <c r="A136" s="58" t="s">
        <v>336</v>
      </c>
    </row>
    <row r="137" spans="1:1" x14ac:dyDescent="0.25">
      <c r="A137" s="58" t="s">
        <v>499</v>
      </c>
    </row>
    <row r="138" spans="1:1" x14ac:dyDescent="0.25">
      <c r="A138" s="58" t="s">
        <v>500</v>
      </c>
    </row>
    <row r="139" spans="1:1" x14ac:dyDescent="0.25">
      <c r="A139" s="58" t="s">
        <v>337</v>
      </c>
    </row>
    <row r="140" spans="1:1" x14ac:dyDescent="0.25">
      <c r="A140" s="58" t="s">
        <v>338</v>
      </c>
    </row>
    <row r="141" spans="1:1" x14ac:dyDescent="0.25">
      <c r="A141" s="58" t="s">
        <v>339</v>
      </c>
    </row>
    <row r="142" spans="1:1" x14ac:dyDescent="0.25">
      <c r="A142" s="58" t="s">
        <v>340</v>
      </c>
    </row>
    <row r="143" spans="1:1" x14ac:dyDescent="0.25">
      <c r="A143" s="58" t="s">
        <v>341</v>
      </c>
    </row>
    <row r="144" spans="1:1" x14ac:dyDescent="0.25">
      <c r="A144" s="58" t="s">
        <v>342</v>
      </c>
    </row>
    <row r="145" spans="1:1" x14ac:dyDescent="0.25">
      <c r="A145" s="72" t="s">
        <v>343</v>
      </c>
    </row>
    <row r="146" spans="1:1" x14ac:dyDescent="0.25">
      <c r="A146" s="58" t="s">
        <v>316</v>
      </c>
    </row>
    <row r="147" spans="1:1" x14ac:dyDescent="0.25">
      <c r="A147" s="58" t="s">
        <v>324</v>
      </c>
    </row>
    <row r="148" spans="1:1" x14ac:dyDescent="0.25">
      <c r="A148" s="58" t="s">
        <v>325</v>
      </c>
    </row>
    <row r="149" spans="1:1" x14ac:dyDescent="0.25">
      <c r="A149" s="58" t="s">
        <v>326</v>
      </c>
    </row>
    <row r="150" spans="1:1" x14ac:dyDescent="0.25">
      <c r="A150" s="58" t="s">
        <v>317</v>
      </c>
    </row>
    <row r="151" spans="1:1" x14ac:dyDescent="0.25">
      <c r="A151" s="58" t="s">
        <v>318</v>
      </c>
    </row>
    <row r="152" spans="1:1" x14ac:dyDescent="0.25">
      <c r="A152" s="58" t="s">
        <v>319</v>
      </c>
    </row>
    <row r="153" spans="1:1" x14ac:dyDescent="0.25">
      <c r="A153" s="58" t="s">
        <v>320</v>
      </c>
    </row>
    <row r="154" spans="1:1" x14ac:dyDescent="0.25">
      <c r="A154" s="58" t="s">
        <v>321</v>
      </c>
    </row>
    <row r="155" spans="1:1" x14ac:dyDescent="0.25">
      <c r="A155" s="58" t="s">
        <v>322</v>
      </c>
    </row>
    <row r="156" spans="1:1" x14ac:dyDescent="0.25">
      <c r="A156" s="58" t="s">
        <v>323</v>
      </c>
    </row>
    <row r="157" spans="1:1" x14ac:dyDescent="0.25">
      <c r="A157" s="58" t="s">
        <v>498</v>
      </c>
    </row>
    <row r="158" spans="1:1" x14ac:dyDescent="0.25">
      <c r="A158" s="58" t="s">
        <v>344</v>
      </c>
    </row>
    <row r="159" spans="1:1" x14ac:dyDescent="0.25">
      <c r="A159" s="58" t="s">
        <v>345</v>
      </c>
    </row>
    <row r="160" spans="1:1" x14ac:dyDescent="0.25">
      <c r="A160" s="58" t="s">
        <v>327</v>
      </c>
    </row>
    <row r="161" spans="1:1" x14ac:dyDescent="0.25">
      <c r="A161" s="58" t="s">
        <v>346</v>
      </c>
    </row>
    <row r="162" spans="1:1" x14ac:dyDescent="0.25">
      <c r="A162" s="58" t="s">
        <v>136</v>
      </c>
    </row>
    <row r="163" spans="1:1" x14ac:dyDescent="0.25">
      <c r="A163" s="58" t="s">
        <v>147</v>
      </c>
    </row>
    <row r="164" spans="1:1" x14ac:dyDescent="0.25">
      <c r="A164" s="58" t="s">
        <v>347</v>
      </c>
    </row>
    <row r="165" spans="1:1" x14ac:dyDescent="0.25">
      <c r="A165" s="58" t="s">
        <v>348</v>
      </c>
    </row>
    <row r="166" spans="1:1" x14ac:dyDescent="0.25">
      <c r="A166" s="58" t="s">
        <v>349</v>
      </c>
    </row>
    <row r="167" spans="1:1" x14ac:dyDescent="0.25">
      <c r="A167" s="58" t="s">
        <v>350</v>
      </c>
    </row>
    <row r="168" spans="1:1" x14ac:dyDescent="0.25">
      <c r="A168" s="58" t="s">
        <v>351</v>
      </c>
    </row>
    <row r="169" spans="1:1" x14ac:dyDescent="0.25">
      <c r="A169" s="58" t="s">
        <v>352</v>
      </c>
    </row>
    <row r="170" spans="1:1" x14ac:dyDescent="0.25">
      <c r="A170" s="58" t="s">
        <v>353</v>
      </c>
    </row>
    <row r="171" spans="1:1" x14ac:dyDescent="0.25">
      <c r="A171" s="58" t="s">
        <v>354</v>
      </c>
    </row>
    <row r="172" spans="1:1" x14ac:dyDescent="0.25">
      <c r="A172" s="58" t="s">
        <v>355</v>
      </c>
    </row>
    <row r="173" spans="1:1" x14ac:dyDescent="0.25">
      <c r="A173" s="58" t="s">
        <v>356</v>
      </c>
    </row>
    <row r="174" spans="1:1" x14ac:dyDescent="0.25">
      <c r="A174" s="58" t="s">
        <v>357</v>
      </c>
    </row>
    <row r="175" spans="1:1" x14ac:dyDescent="0.25">
      <c r="A175" s="58" t="s">
        <v>358</v>
      </c>
    </row>
    <row r="176" spans="1:1" x14ac:dyDescent="0.25">
      <c r="A176" s="58" t="s">
        <v>359</v>
      </c>
    </row>
    <row r="177" spans="1:2" x14ac:dyDescent="0.25">
      <c r="A177" s="58" t="s">
        <v>360</v>
      </c>
    </row>
    <row r="178" spans="1:2" x14ac:dyDescent="0.25">
      <c r="A178" s="72" t="s">
        <v>361</v>
      </c>
    </row>
    <row r="179" spans="1:2" x14ac:dyDescent="0.25">
      <c r="A179" s="58" t="s">
        <v>362</v>
      </c>
    </row>
    <row r="180" spans="1:2" x14ac:dyDescent="0.25">
      <c r="A180" s="58" t="s">
        <v>363</v>
      </c>
    </row>
    <row r="181" spans="1:2" x14ac:dyDescent="0.25">
      <c r="A181" s="72" t="s">
        <v>364</v>
      </c>
      <c r="B181" s="72"/>
    </row>
  </sheetData>
  <sortState ref="A1:A181">
    <sortCondition ref="A1:A181"/>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all mice (except april 2012)</vt:lpstr>
      <vt:lpstr>pivots</vt:lpstr>
      <vt:lpstr>plusN</vt:lpstr>
      <vt:lpstr>All inst data</vt:lpstr>
      <vt:lpstr>HMDPinst</vt:lpstr>
      <vt:lpstr>HMDPinstLG</vt:lpstr>
      <vt:lpstr>genotypedStrains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JentschLab JentschLab</cp:lastModifiedBy>
  <cp:lastPrinted>2014-04-06T05:08:41Z</cp:lastPrinted>
  <dcterms:created xsi:type="dcterms:W3CDTF">2013-02-27T21:53:10Z</dcterms:created>
  <dcterms:modified xsi:type="dcterms:W3CDTF">2017-08-02T00:42:12Z</dcterms:modified>
</cp:coreProperties>
</file>